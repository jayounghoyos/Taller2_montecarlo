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Uniforme" sheetId="2" state="visible" r:id="rId2"/>
    <sheet name="Empirica" sheetId="3" state="visible" r:id="rId3"/>
    <sheet name="Politicas" sheetId="4" state="visible" r:id="rId4"/>
  </sheets>
  <definedNames>
    <definedName name="PuntoReorden">Parametros!$B$4</definedName>
    <definedName name="CantPedido">Parametros!$B$5</definedName>
    <definedName name="PrecioVenta">Parametros!$B$6</definedName>
    <definedName name="CostoUnitario">Parametros!$B$7</definedName>
    <definedName name="CostoPedido">Parametros!$B$8</definedName>
    <definedName name="CostoAlm">Parametros!$B$9</definedName>
    <definedName name="CostoFijo">Parametros!$B$10</definedName>
    <definedName name="AnioSim">Parametros!$B$11</definedName>
    <definedName name="TablaEmpirica">Parametros!$E$4:$F$8</definedName>
  </definedNames>
  <calcPr calcId="191029" calcMode="autoNoTable" fullCalcOnLoad="0"/>
</workbook>
</file>

<file path=xl/styles.xml><?xml version="1.0" encoding="utf-8"?>
<styleSheet xmlns="http://schemas.openxmlformats.org/spreadsheetml/2006/main">
  <numFmts count="4">
    <numFmt numFmtId="164" formatCode="&quot;$&quot;#,##0;[Red]-&quot;$&quot;#,##0;&quot;–&quot;"/>
    <numFmt numFmtId="165" formatCode="0.000"/>
    <numFmt numFmtId="166" formatCode="[$-240A]ddd dd/mm/yyyy"/>
    <numFmt numFmtId="167" formatCode="0.0000;-0.0000;&quot;–&quot;"/>
  </numFmts>
  <fonts count="7">
    <font>
      <name val="Calibri"/>
      <family val="2"/>
      <color theme="1"/>
      <sz val="11"/>
      <scheme val="minor"/>
    </font>
    <font>
      <name val="Aptos"/>
      <b val="1"/>
      <color rgb="00141414"/>
      <sz val="16"/>
    </font>
    <font>
      <name val="Aptos"/>
      <color rgb="006B6B6B"/>
      <sz val="9"/>
    </font>
    <font>
      <name val="Aptos"/>
      <b val="1"/>
      <color rgb="003D3D3D"/>
      <sz val="9"/>
    </font>
    <font>
      <name val="Aptos"/>
      <color rgb="00141414"/>
      <sz val="10"/>
    </font>
    <font>
      <name val="Aptos"/>
      <b val="1"/>
      <color rgb="001D5FBF"/>
      <sz val="10"/>
    </font>
    <font>
      <name val="Aptos"/>
      <b val="1"/>
      <color rgb="00141414"/>
      <sz val="11"/>
    </font>
  </fonts>
  <fills count="4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EAF0FA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thin">
        <color rgb="00E6E6E6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bottom" wrapText="1"/>
    </xf>
    <xf numFmtId="0" fontId="3" fillId="2" borderId="1" applyAlignment="1" pivotButton="0" quotePrefix="0" xfId="0">
      <alignment horizontal="right" vertical="bottom" wrapText="1"/>
    </xf>
    <xf numFmtId="0" fontId="4" fillId="0" borderId="2" pivotButton="0" quotePrefix="0" xfId="0"/>
    <xf numFmtId="1" fontId="5" fillId="3" borderId="2" pivotButton="0" quotePrefix="0" xfId="0"/>
    <xf numFmtId="0" fontId="2" fillId="0" borderId="2" pivotButton="0" quotePrefix="0" xfId="0"/>
    <xf numFmtId="2" fontId="4" fillId="0" borderId="2" pivotButton="0" quotePrefix="0" xfId="0"/>
    <xf numFmtId="164" fontId="4" fillId="0" borderId="2" pivotButton="0" quotePrefix="0" xfId="0"/>
    <xf numFmtId="0" fontId="3" fillId="0" borderId="0" pivotButton="0" quotePrefix="0" xfId="0"/>
    <xf numFmtId="2" fontId="6" fillId="0" borderId="0" pivotButton="0" quotePrefix="0" xfId="0"/>
    <xf numFmtId="1" fontId="4" fillId="0" borderId="2" pivotButton="0" quotePrefix="0" xfId="0"/>
    <xf numFmtId="0" fontId="6" fillId="0" borderId="0" pivotButton="0" quotePrefix="0" xfId="0"/>
    <xf numFmtId="2" fontId="6" fillId="0" borderId="2" pivotButton="0" quotePrefix="0" xfId="0"/>
    <xf numFmtId="165" fontId="4" fillId="0" borderId="2" pivotButton="0" quotePrefix="0" xfId="0"/>
    <xf numFmtId="0" fontId="4" fillId="0" borderId="0" pivotButton="0" quotePrefix="0" xfId="0"/>
    <xf numFmtId="0" fontId="6" fillId="0" borderId="0" applyAlignment="1" pivotButton="0" quotePrefix="0" xfId="0">
      <alignment indent="1"/>
    </xf>
    <xf numFmtId="0" fontId="4" fillId="0" borderId="2" applyAlignment="1" pivotButton="0" quotePrefix="0" xfId="0">
      <alignment indent="1"/>
    </xf>
    <xf numFmtId="164" fontId="6" fillId="2" borderId="2" pivotButton="0" quotePrefix="0" xfId="0"/>
    <xf numFmtId="166" fontId="4" fillId="0" borderId="2" pivotButton="0" quotePrefix="0" xfId="0"/>
    <xf numFmtId="0" fontId="2" fillId="0" borderId="2" applyAlignment="1" pivotButton="0" quotePrefix="0" xfId="0">
      <alignment horizontal="center"/>
    </xf>
    <xf numFmtId="164" fontId="2" fillId="0" borderId="2" pivotButton="0" quotePrefix="0" xfId="0"/>
    <xf numFmtId="167" fontId="2" fillId="0" borderId="2" pivotButton="0" quotePrefix="0" xfId="0"/>
    <xf numFmtId="1" fontId="2" fillId="0" borderId="2" pivotButton="0" quotePrefix="0" xfId="0"/>
    <xf numFmtId="164" fontId="4" fillId="2" borderId="2" pivotButton="0" quotePrefix="0" xfId="0"/>
    <xf numFmtId="167" fontId="6" fillId="2" borderId="2" pivotButton="0" quotePrefix="0" xfId="0"/>
    <xf numFmtId="167" fontId="4" fillId="0" borderId="2" pivotButton="0" quotePrefix="0" xfId="0"/>
    <xf numFmtId="167" fontId="4" fillId="2" borderId="2" pivotButton="0" quotePrefix="0" xfId="0"/>
    <xf numFmtId="1" fontId="6" fillId="2" borderId="2" pivotButton="0" quotePrefix="0" xfId="0"/>
    <xf numFmtId="0" fontId="2" fillId="0" borderId="0" applyAlignment="1" pivotButton="0" quotePrefix="0" xfId="0">
      <alignment indent="1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6" fillId="0" borderId="2" pivotButton="0" quotePrefix="0" xfId="0"/>
    <xf numFmtId="0" fontId="3" fillId="0" borderId="0" applyAlignment="1" pivotButton="0" quotePrefix="0" xfId="0">
      <alignment horizontal="right" vertical="bottom" wrapText="1"/>
    </xf>
    <xf numFmtId="0" fontId="4" fillId="3" borderId="2" pivotButton="0" quotePrefix="0" xfId="0"/>
    <xf numFmtId="164" fontId="6" fillId="3" borderId="2" pivotButton="0" quotePrefix="0" xfId="0"/>
    <xf numFmtId="164" fontId="4" fillId="3" borderId="2" pivotButton="0" quotePrefix="0" xfId="0"/>
    <xf numFmtId="167" fontId="4" fillId="3" borderId="2" pivotButton="0" quotePrefix="0" xfId="0"/>
    <xf numFmtId="0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41414"/>
                </a:solidFill>
              </a:defRPr>
            </a:pPr>
            <a:r>
              <a:rPr sz="1100" b="1">
                <a:solidFill>
                  <a:srgbClr val="141414"/>
                </a:solidFill>
              </a:rPr>
              <a:t>Misma media (5), distinta dispersión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'Parametros'!B14</f>
            </strRef>
          </tx>
          <spPr>
            <a:solidFill>
              <a:srgbClr val="8A8A8A"/>
            </a:solidFill>
            <a:ln>
              <a:noFill/>
              <a:prstDash val="solid"/>
            </a:ln>
          </spPr>
          <cat>
            <numRef>
              <f>'Parametros'!$A$15:$A$19</f>
            </numRef>
          </cat>
          <val>
            <numRef>
              <f>'Parametros'!$B$15:$B$19</f>
            </numRef>
          </val>
        </ser>
        <ser>
          <idx val="1"/>
          <order val="1"/>
          <tx>
            <strRef>
              <f>'Parametros'!C14</f>
            </strRef>
          </tx>
          <spPr>
            <a:solidFill>
              <a:srgbClr val="1D5FBF"/>
            </a:solidFill>
            <a:ln>
              <a:noFill/>
              <a:prstDash val="solid"/>
            </a:ln>
          </spPr>
          <cat>
            <numRef>
              <f>'Parametros'!$A$15:$A$19</f>
            </numRef>
          </cat>
          <val>
            <numRef>
              <f>'Parametros'!$C$15:$C$19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Demanda diaria (unidades)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DED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Probabilidad</a:t>
                </a:r>
              </a:p>
            </rich>
          </tx>
          <overlay val="0"/>
        </title>
        <numFmt formatCode="0.00" sourceLinked="0"/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"/>
      </valAx>
      <spPr>
        <a:noFill/>
        <a:ln>
          <a:prstDash val="solid"/>
        </a:ln>
      </spPr>
    </plotArea>
    <legend>
      <legendPos val="t"/>
      <txPr>
        <a:bodyPr/>
        <a:p>
          <a:pPr>
            <a:defRPr sz="800" b="0">
              <a:solidFill>
                <a:srgbClr val="3D3D3D"/>
              </a:solidFill>
            </a:defRPr>
          </a:pPr>
          <a:r>
            <a:t/>
          </a:r>
          <a:endParaRPr sz="800" b="0">
            <a:solidFill>
              <a:srgbClr val="3D3D3D"/>
            </a:solidFill>
          </a:endParaRPr>
        </a:p>
      </txPr>
    </legend>
    <plotVisOnly val="1"/>
    <dispBlanksAs val="gap"/>
  </chart>
  <spPr>
    <a:solidFill>
      <a:srgbClr val="FFFFFF"/>
    </a:solidFill>
    <a:ln>
      <a:solidFill>
        <a:srgbClr val="E6E6E6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41414"/>
                </a:solidFill>
              </a:defRPr>
            </a:pPr>
            <a:r>
              <a:rPr sz="1100" b="1">
                <a:solidFill>
                  <a:srgbClr val="141414"/>
                </a:solidFill>
              </a:rPr>
              <a:t>Histograma de la ganancia anual · demanda uniforme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1D5FBF"/>
            </a:solidFill>
            <a:ln w="12700">
              <a:solidFill>
                <a:srgbClr val="FFFFFF"/>
              </a:solidFill>
              <a:prstDash val="solid"/>
            </a:ln>
          </spPr>
          <dLbls>
            <txPr>
              <a:bodyPr/>
              <a:p>
                <a:pPr>
                  <a:defRPr sz="800" b="0">
                    <a:solidFill>
                      <a:srgbClr val="141414"/>
                    </a:solidFill>
                  </a:defRPr>
                </a:pPr>
                <a:r>
                  <a:t/>
                </a:r>
                <a:endParaRPr sz="800" b="0">
                  <a:solidFill>
                    <a:srgbClr val="141414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'Uniforme'!$AE$17:$AE$26</f>
            </numRef>
          </cat>
          <val>
            <numRef>
              <f>'Uniforme'!$AF$17:$AF$26</f>
            </numRef>
          </val>
        </ser>
        <gapWidth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Marca de clase de la ganancia anual (millones de COP)</a:t>
                </a:r>
              </a:p>
            </rich>
          </tx>
          <overlay val="0"/>
        </title>
        <numFmt formatCode="0.0" sourceLinked="0"/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DED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Frecuencia (réplicas)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"/>
      </valAx>
      <spPr>
        <a:noFill/>
        <a:ln>
          <a:prstDash val="solid"/>
        </a:ln>
      </spPr>
    </plotArea>
    <plotVisOnly val="1"/>
    <dispBlanksAs val="gap"/>
  </chart>
  <spPr>
    <a:solidFill>
      <a:srgbClr val="FFFFFF"/>
    </a:solidFill>
    <a:ln>
      <a:solidFill>
        <a:srgbClr val="E6E6E6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41414"/>
                </a:solidFill>
              </a:defRPr>
            </a:pPr>
            <a:r>
              <a:rPr sz="1100" b="1">
                <a:solidFill>
                  <a:srgbClr val="141414"/>
                </a:solidFill>
              </a:rPr>
              <a:t>Inventario final, primeros 60 días · réplica actual (uniforme)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'Uniforme'!J5</f>
            </strRef>
          </tx>
          <spPr>
            <a:ln w="15875">
              <a:solidFill>
                <a:srgbClr val="1D5F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'Uniforme'!$A$6:$A$65</f>
            </numRef>
          </cat>
          <val>
            <numRef>
              <f>'Uniforme'!$J$6:$J$65</f>
            </numRef>
          </val>
          <smooth val="0"/>
        </ser>
        <ser>
          <idx val="1"/>
          <order val="1"/>
          <tx>
            <strRef>
              <f>'Uniforme'!S5</f>
            </strRef>
          </tx>
          <spPr>
            <a:ln w="12700">
              <a:solidFill>
                <a:srgbClr val="14141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'Uniforme'!$A$6:$A$65</f>
            </numRef>
          </cat>
          <val>
            <numRef>
              <f>'Uniforme'!$S$6:$S$65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Día hábil de 2026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0"/>
        <lblOffset val="100"/>
        <tickLblSkip val="5"/>
        <tickMarkSkip val="5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DED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Unidades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"/>
      </valAx>
      <spPr>
        <a:noFill/>
        <a:ln>
          <a:prstDash val="solid"/>
        </a:ln>
      </spPr>
    </plotArea>
    <legend>
      <legendPos val="t"/>
      <txPr>
        <a:bodyPr/>
        <a:p>
          <a:pPr>
            <a:defRPr sz="800" b="0">
              <a:solidFill>
                <a:srgbClr val="3D3D3D"/>
              </a:solidFill>
            </a:defRPr>
          </a:pPr>
          <a:r>
            <a:t/>
          </a:r>
          <a:endParaRPr sz="800" b="0">
            <a:solidFill>
              <a:srgbClr val="3D3D3D"/>
            </a:solidFill>
          </a:endParaRPr>
        </a:p>
      </txPr>
    </legend>
    <plotVisOnly val="1"/>
    <dispBlanksAs val="gap"/>
  </chart>
  <spPr>
    <a:solidFill>
      <a:srgbClr val="FFFFFF"/>
    </a:solidFill>
    <a:ln>
      <a:solidFill>
        <a:srgbClr val="E6E6E6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41414"/>
                </a:solidFill>
              </a:defRPr>
            </a:pPr>
            <a:r>
              <a:rPr sz="1100" b="1">
                <a:solidFill>
                  <a:srgbClr val="141414"/>
                </a:solidFill>
              </a:rPr>
              <a:t>Ganancia anual vs. inventario sobrante al 31/12 (uniforme)</a:t>
            </a:r>
          </a:p>
        </rich>
      </tx>
      <overlay val="0"/>
    </title>
    <plotArea>
      <scatterChart>
        <ser>
          <idx val="0"/>
          <order val="0"/>
          <tx>
            <v>Réplicas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D5FBF"/>
              </a:solidFill>
              <a:ln>
                <a:noFill/>
                <a:prstDash val="solid"/>
              </a:ln>
            </spPr>
          </marker>
          <trendline>
            <spPr>
              <a:ln w="12700">
                <a:solidFill>
                  <a:srgbClr val="141414"/>
                </a:solidFill>
                <a:prstDash val="solid"/>
              </a:ln>
            </spPr>
            <trendlineType val="linear"/>
            <dispRSqr val="1"/>
            <dispEq val="0"/>
            <trendlineLbl>
              <numFmt formatCode="0.000" sourceLinked="0"/>
              <txPr>
                <a:bodyPr/>
                <a:p>
                  <a:pPr>
                    <a:defRPr sz="900" b="0">
                      <a:solidFill>
                        <a:srgbClr val="141414"/>
                      </a:solidFill>
                    </a:defRPr>
                  </a:pPr>
                  <a:r>
                    <a:t/>
                  </a:r>
                  <a:endParaRPr sz="900" b="0">
                    <a:solidFill>
                      <a:srgbClr val="141414"/>
                    </a:solidFill>
                  </a:endParaRPr>
                </a:p>
              </txPr>
            </trendlineLbl>
          </trendline>
          <xVal>
            <numRef>
              <f>'Uniforme'!$AA$7:$AA$106</f>
            </numRef>
          </xVal>
          <yVal>
            <numRef>
              <f>'Uniforme'!$X$7:$X$106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Inventario final al 31/12 (unidades, sin valor residual)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EDED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Ganancia anual (COP)</a:t>
                </a:r>
              </a:p>
            </rich>
          </tx>
          <overlay val="0"/>
        </title>
        <numFmt formatCode="&quot;$&quot;#,##0.0,,&quot;M&quot;" sourceLinked="0"/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"/>
      </valAx>
      <spPr>
        <a:noFill/>
        <a:ln>
          <a:prstDash val="solid"/>
        </a:ln>
      </spPr>
    </plotArea>
    <plotVisOnly val="1"/>
    <dispBlanksAs val="gap"/>
  </chart>
  <spPr>
    <a:solidFill>
      <a:srgbClr val="FFFFFF"/>
    </a:solidFill>
    <a:ln>
      <a:solidFill>
        <a:srgbClr val="E6E6E6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41414"/>
                </a:solidFill>
              </a:defRPr>
            </a:pPr>
            <a:r>
              <a:rPr sz="1100" b="1">
                <a:solidFill>
                  <a:srgbClr val="141414"/>
                </a:solidFill>
              </a:rPr>
              <a:t>Histograma de la ganancia anual · demanda empírica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1D5FBF"/>
            </a:solidFill>
            <a:ln w="12700">
              <a:solidFill>
                <a:srgbClr val="FFFFFF"/>
              </a:solidFill>
              <a:prstDash val="solid"/>
            </a:ln>
          </spPr>
          <dLbls>
            <txPr>
              <a:bodyPr/>
              <a:p>
                <a:pPr>
                  <a:defRPr sz="800" b="0">
                    <a:solidFill>
                      <a:srgbClr val="141414"/>
                    </a:solidFill>
                  </a:defRPr>
                </a:pPr>
                <a:r>
                  <a:t/>
                </a:r>
                <a:endParaRPr sz="800" b="0">
                  <a:solidFill>
                    <a:srgbClr val="141414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'Empirica'!$AE$17:$AE$26</f>
            </numRef>
          </cat>
          <val>
            <numRef>
              <f>'Empirica'!$AF$17:$AF$26</f>
            </numRef>
          </val>
        </ser>
        <gapWidth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Marca de clase de la ganancia anual (millones de COP)</a:t>
                </a:r>
              </a:p>
            </rich>
          </tx>
          <overlay val="0"/>
        </title>
        <numFmt formatCode="0.0" sourceLinked="0"/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DED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Frecuencia (réplicas)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"/>
      </valAx>
      <spPr>
        <a:noFill/>
        <a:ln>
          <a:prstDash val="solid"/>
        </a:ln>
      </spPr>
    </plotArea>
    <plotVisOnly val="1"/>
    <dispBlanksAs val="gap"/>
  </chart>
  <spPr>
    <a:solidFill>
      <a:srgbClr val="FFFFFF"/>
    </a:solidFill>
    <a:ln>
      <a:solidFill>
        <a:srgbClr val="E6E6E6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41414"/>
                </a:solidFill>
              </a:defRPr>
            </a:pPr>
            <a:r>
              <a:rPr sz="1100" b="1">
                <a:solidFill>
                  <a:srgbClr val="141414"/>
                </a:solidFill>
              </a:rPr>
              <a:t>Inventario final, primeros 60 días · réplica actual (empírica)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'Empirica'!J5</f>
            </strRef>
          </tx>
          <spPr>
            <a:ln w="15875">
              <a:solidFill>
                <a:srgbClr val="1D5FB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'Empirica'!$A$6:$A$65</f>
            </numRef>
          </cat>
          <val>
            <numRef>
              <f>'Empirica'!$J$6:$J$65</f>
            </numRef>
          </val>
          <smooth val="0"/>
        </ser>
        <ser>
          <idx val="1"/>
          <order val="1"/>
          <tx>
            <strRef>
              <f>'Empirica'!S5</f>
            </strRef>
          </tx>
          <spPr>
            <a:ln w="12700">
              <a:solidFill>
                <a:srgbClr val="141414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'Empirica'!$A$6:$A$65</f>
            </numRef>
          </cat>
          <val>
            <numRef>
              <f>'Empirica'!$S$6:$S$65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Día hábil de 2026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0"/>
        <lblOffset val="100"/>
        <tickLblSkip val="5"/>
        <tickMarkSkip val="5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DED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Unidades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"/>
      </valAx>
      <spPr>
        <a:noFill/>
        <a:ln>
          <a:prstDash val="solid"/>
        </a:ln>
      </spPr>
    </plotArea>
    <legend>
      <legendPos val="t"/>
      <txPr>
        <a:bodyPr/>
        <a:p>
          <a:pPr>
            <a:defRPr sz="800" b="0">
              <a:solidFill>
                <a:srgbClr val="3D3D3D"/>
              </a:solidFill>
            </a:defRPr>
          </a:pPr>
          <a:r>
            <a:t/>
          </a:r>
          <a:endParaRPr sz="800" b="0">
            <a:solidFill>
              <a:srgbClr val="3D3D3D"/>
            </a:solidFill>
          </a:endParaRPr>
        </a:p>
      </txPr>
    </legend>
    <plotVisOnly val="1"/>
    <dispBlanksAs val="gap"/>
  </chart>
  <spPr>
    <a:solidFill>
      <a:srgbClr val="FFFFFF"/>
    </a:solidFill>
    <a:ln>
      <a:solidFill>
        <a:srgbClr val="E6E6E6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41414"/>
                </a:solidFill>
              </a:defRPr>
            </a:pPr>
            <a:r>
              <a:rPr sz="1100" b="1">
                <a:solidFill>
                  <a:srgbClr val="141414"/>
                </a:solidFill>
              </a:rPr>
              <a:t>Ganancia anual vs. inventario sobrante al 31/12 (empírica)</a:t>
            </a:r>
          </a:p>
        </rich>
      </tx>
      <overlay val="0"/>
    </title>
    <plotArea>
      <scatterChart>
        <ser>
          <idx val="0"/>
          <order val="0"/>
          <tx>
            <v>Réplicas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D5FBF"/>
              </a:solidFill>
              <a:ln>
                <a:noFill/>
                <a:prstDash val="solid"/>
              </a:ln>
            </spPr>
          </marker>
          <trendline>
            <spPr>
              <a:ln w="12700">
                <a:solidFill>
                  <a:srgbClr val="141414"/>
                </a:solidFill>
                <a:prstDash val="solid"/>
              </a:ln>
            </spPr>
            <trendlineType val="linear"/>
            <dispRSqr val="1"/>
            <dispEq val="0"/>
            <trendlineLbl>
              <numFmt formatCode="0.000" sourceLinked="0"/>
              <txPr>
                <a:bodyPr/>
                <a:p>
                  <a:pPr>
                    <a:defRPr sz="900" b="0">
                      <a:solidFill>
                        <a:srgbClr val="141414"/>
                      </a:solidFill>
                    </a:defRPr>
                  </a:pPr>
                  <a:r>
                    <a:t/>
                  </a:r>
                  <a:endParaRPr sz="900" b="0">
                    <a:solidFill>
                      <a:srgbClr val="141414"/>
                    </a:solidFill>
                  </a:endParaRPr>
                </a:p>
              </txPr>
            </trendlineLbl>
          </trendline>
          <xVal>
            <numRef>
              <f>'Empirica'!$AA$7:$AA$106</f>
            </numRef>
          </xVal>
          <yVal>
            <numRef>
              <f>'Empirica'!$X$7:$X$106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Inventario final al 31/12 (unidades, sin valor residual)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EDED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Ganancia anual (COP)</a:t>
                </a:r>
              </a:p>
            </rich>
          </tx>
          <overlay val="0"/>
        </title>
        <numFmt formatCode="&quot;$&quot;#,##0.0,,&quot;M&quot;" sourceLinked="0"/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"/>
      </valAx>
      <spPr>
        <a:noFill/>
        <a:ln>
          <a:prstDash val="solid"/>
        </a:ln>
      </spPr>
    </plotArea>
    <plotVisOnly val="1"/>
    <dispBlanksAs val="gap"/>
  </chart>
  <spPr>
    <a:solidFill>
      <a:srgbClr val="FFFFFF"/>
    </a:solidFill>
    <a:ln>
      <a:solidFill>
        <a:srgbClr val="E6E6E6"/>
      </a:solidFill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41414"/>
                </a:solidFill>
              </a:defRPr>
            </a:pPr>
            <a:r>
              <a:rPr sz="1100" b="1">
                <a:solidFill>
                  <a:srgbClr val="141414"/>
                </a:solidFill>
              </a:rPr>
              <a:t>Ganancia promedio por política (recomendada en azul)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'Politicas'!K4</f>
            </strRef>
          </tx>
          <spPr>
            <a:solidFill>
              <a:srgbClr val="141414"/>
            </a:solidFill>
            <a:ln>
              <a:noFill/>
              <a:prstDash val="solid"/>
            </a:ln>
          </spPr>
          <dPt>
            <idx val="5"/>
            <invertIfNegative val="0"/>
            <spPr>
              <a:solidFill>
                <a:srgbClr val="1D5FBF"/>
              </a:solidFill>
              <a:ln>
                <a:noFill/>
                <a:prstDash val="solid"/>
              </a:ln>
            </spPr>
          </dPt>
          <cat>
            <numRef>
              <f>'Politicas'!$J$5:$J$13</f>
            </numRef>
          </cat>
          <val>
            <numRef>
              <f>'Politicas'!$K$5:$K$13</f>
            </numRef>
          </val>
        </ser>
        <ser>
          <idx val="1"/>
          <order val="1"/>
          <tx>
            <strRef>
              <f>'Politicas'!L4</f>
            </strRef>
          </tx>
          <spPr>
            <a:solidFill>
              <a:srgbClr val="8A8A8A"/>
            </a:solidFill>
            <a:ln>
              <a:noFill/>
              <a:prstDash val="solid"/>
            </a:ln>
          </spPr>
          <dPt>
            <idx val="5"/>
            <invertIfNegative val="0"/>
            <spPr>
              <a:solidFill>
                <a:srgbClr val="9DB7E3"/>
              </a:solidFill>
              <a:ln>
                <a:noFill/>
                <a:prstDash val="solid"/>
              </a:ln>
            </spPr>
          </dPt>
          <cat>
            <numRef>
              <f>'Politicas'!$J$5:$J$13</f>
            </numRef>
          </cat>
          <val>
            <numRef>
              <f>'Politicas'!$L$5:$L$13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Política (s, Q)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0"/>
        <lblOffset val="100"/>
      </catAx>
      <valAx>
        <axId val="100"/>
        <scaling>
          <orientation val="minMax"/>
          <min val="98000000"/>
        </scaling>
        <delete val="0"/>
        <axPos val="l"/>
        <majorGridlines>
          <spPr>
            <a:ln>
              <a:solidFill>
                <a:srgbClr val="EDED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6B6B"/>
                    </a:solidFill>
                  </a:defRPr>
                </a:pPr>
                <a:r>
                  <a:rPr sz="900" b="0">
                    <a:solidFill>
                      <a:srgbClr val="6B6B6B"/>
                    </a:solidFill>
                  </a:rPr>
                  <a:t>Ganancia anual promedio (COP)</a:t>
                </a:r>
              </a:p>
            </rich>
          </tx>
          <overlay val="0"/>
        </title>
        <numFmt formatCode="&quot;$&quot;#,##0.0,,&quot;M&quot;" sourceLinked="0"/>
        <majorTickMark val="none"/>
        <minorTickMark val="none"/>
        <spPr>
          <a:ln>
            <a:solidFill>
              <a:srgbClr val="BFBFBF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6B6B6B"/>
                </a:solidFill>
              </a:defRPr>
            </a:pPr>
            <a:r>
              <a:t/>
            </a:r>
            <a:endParaRPr sz="800" b="0">
              <a:solidFill>
                <a:srgbClr val="6B6B6B"/>
              </a:solidFill>
            </a:endParaRPr>
          </a:p>
        </txPr>
        <crossAx val="10"/>
      </valAx>
      <spPr>
        <a:noFill/>
        <a:ln>
          <a:prstDash val="solid"/>
        </a:ln>
      </spPr>
    </plotArea>
    <legend>
      <legendPos val="t"/>
      <txPr>
        <a:bodyPr/>
        <a:p>
          <a:pPr>
            <a:defRPr sz="800" b="0">
              <a:solidFill>
                <a:srgbClr val="3D3D3D"/>
              </a:solidFill>
            </a:defRPr>
          </a:pPr>
          <a:r>
            <a:t/>
          </a:r>
          <a:endParaRPr sz="800" b="0">
            <a:solidFill>
              <a:srgbClr val="3D3D3D"/>
            </a:solidFill>
          </a:endParaRPr>
        </a:p>
      </txPr>
    </legend>
    <plotVisOnly val="1"/>
    <dispBlanksAs val="gap"/>
  </chart>
  <spPr>
    <a:solidFill>
      <a:srgbClr val="FFFFFF"/>
    </a:solidFill>
    <a:ln>
      <a:solidFill>
        <a:srgbClr val="E6E6E6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33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33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33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33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33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33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24</row>
      <rowOff>0</rowOff>
    </from>
    <ext cx="612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 ht="24" customHeight="1">
      <c r="A1" s="1" t="inlineStr">
        <is>
          <t>Parámetros del modelo</t>
        </is>
      </c>
    </row>
    <row r="2">
      <c r="A2" s="2" t="inlineStr">
        <is>
          <t>Taller 2 · Simulación Montecarlo de un sistema de inventarios · Juan Andrés Young Hoyos (1000337497). Texto azul: política (s, Q) elegida.</t>
        </is>
      </c>
    </row>
    <row r="3" ht="30" customHeight="1">
      <c r="A3" s="3" t="inlineStr">
        <is>
          <t>Parámetro</t>
        </is>
      </c>
      <c r="B3" s="4" t="inlineStr">
        <is>
          <t>Valor</t>
        </is>
      </c>
      <c r="C3" s="3" t="inlineStr">
        <is>
          <t>Nombre definido</t>
        </is>
      </c>
      <c r="E3" s="4" t="inlineStr">
        <is>
          <t>Lím. inf. acumulado</t>
        </is>
      </c>
      <c r="F3" s="4" t="inlineStr">
        <is>
          <t>Demanda</t>
        </is>
      </c>
      <c r="G3" s="4" t="inlineStr">
        <is>
          <t>Probabilidad</t>
        </is>
      </c>
      <c r="H3" s="4" t="inlineStr">
        <is>
          <t>Acumulada</t>
        </is>
      </c>
    </row>
    <row r="4">
      <c r="A4" s="5" t="inlineStr">
        <is>
          <t>Punto de reorden s</t>
        </is>
      </c>
      <c r="B4" s="6" t="n">
        <v>7</v>
      </c>
      <c r="C4" s="7" t="inlineStr">
        <is>
          <t>PuntoReorden</t>
        </is>
      </c>
      <c r="E4" s="8" t="n">
        <v>0</v>
      </c>
      <c r="F4" s="5" t="n">
        <v>3</v>
      </c>
      <c r="G4" s="8" t="n">
        <v>0.2</v>
      </c>
      <c r="H4" s="8">
        <f>G4</f>
        <v>0.2</v>
      </c>
    </row>
    <row r="5">
      <c r="A5" s="5" t="inlineStr">
        <is>
          <t>Cantidad a pedir Q</t>
        </is>
      </c>
      <c r="B5" s="6" t="n">
        <v>15</v>
      </c>
      <c r="C5" s="7" t="inlineStr">
        <is>
          <t>CantPedido</t>
        </is>
      </c>
      <c r="E5" s="8">
        <f>H4</f>
        <v>0.2</v>
      </c>
      <c r="F5" s="5" t="n">
        <v>4</v>
      </c>
      <c r="G5" s="8" t="n">
        <v>0.05</v>
      </c>
      <c r="H5" s="8">
        <f>H4+G5</f>
        <v>0.25</v>
      </c>
    </row>
    <row r="6">
      <c r="A6" s="5" t="inlineStr">
        <is>
          <t>Precio de venta (por unidad)</t>
        </is>
      </c>
      <c r="B6" s="9" t="n">
        <v>680000</v>
      </c>
      <c r="C6" s="7" t="inlineStr">
        <is>
          <t>PrecioVenta</t>
        </is>
      </c>
      <c r="E6" s="8">
        <f>H5</f>
        <v>0.25</v>
      </c>
      <c r="F6" s="5" t="n">
        <v>5</v>
      </c>
      <c r="G6" s="8" t="n">
        <v>0.4</v>
      </c>
      <c r="H6" s="8">
        <f>H5+G6</f>
        <v>0.65</v>
      </c>
    </row>
    <row r="7">
      <c r="A7" s="5" t="inlineStr">
        <is>
          <t>Costo de compra (por unidad recibida)</t>
        </is>
      </c>
      <c r="B7" s="9" t="n">
        <v>600000</v>
      </c>
      <c r="C7" s="7" t="inlineStr">
        <is>
          <t>CostoUnitario</t>
        </is>
      </c>
      <c r="E7" s="8">
        <f>H6</f>
        <v>0.65</v>
      </c>
      <c r="F7" s="5" t="n">
        <v>6</v>
      </c>
      <c r="G7" s="8" t="n">
        <v>0.25</v>
      </c>
      <c r="H7" s="8">
        <f>H6+G7</f>
        <v>0.9</v>
      </c>
    </row>
    <row r="8">
      <c r="A8" s="5" t="inlineStr">
        <is>
          <t>Costo por pedido recibido</t>
        </is>
      </c>
      <c r="B8" s="9" t="n">
        <v>40000</v>
      </c>
      <c r="C8" s="7" t="inlineStr">
        <is>
          <t>CostoPedido</t>
        </is>
      </c>
      <c r="E8" s="8">
        <f>H7</f>
        <v>0.9</v>
      </c>
      <c r="F8" s="5" t="n">
        <v>7</v>
      </c>
      <c r="G8" s="8" t="n">
        <v>0.1</v>
      </c>
      <c r="H8" s="8">
        <f>H7+G8</f>
        <v>1</v>
      </c>
    </row>
    <row r="9">
      <c r="A9" s="5" t="inlineStr">
        <is>
          <t>Almacenamiento por unidad-día (inv. promedio)</t>
        </is>
      </c>
      <c r="B9" s="9" t="n">
        <v>80</v>
      </c>
      <c r="C9" s="7" t="inlineStr">
        <is>
          <t>CostoAlm</t>
        </is>
      </c>
      <c r="F9" s="10" t="inlineStr">
        <is>
          <t>Suma</t>
        </is>
      </c>
      <c r="G9" s="11">
        <f>SUM(G4:G8)</f>
        <v>1</v>
      </c>
      <c r="H9" s="2" t="str">
        <f>IF(ROUND(G9,10)=1,"Correcta","Revisar")</f>
        <v>Correcta</v>
      </c>
    </row>
    <row r="10">
      <c r="A10" s="5" t="inlineStr">
        <is>
          <t>Costo fijo mensual (primer día hábil del mes)</t>
        </is>
      </c>
      <c r="B10" s="9" t="n">
        <v>1000000</v>
      </c>
      <c r="C10" s="7" t="inlineStr">
        <is>
          <t>CostoFijo</t>
        </is>
      </c>
      <c r="E10" s="2" t="inlineStr">
        <is>
          <t>TablaEmpirica = E4:F8 · uniforme: ALEATORIO.ENTRE(3;7) · empírica: BUSCARV(ALEATORIO();TablaEmpirica;2;VERDADERO)</t>
        </is>
      </c>
    </row>
    <row r="11">
      <c r="A11" s="5" t="inlineStr">
        <is>
          <t>Año simulado</t>
        </is>
      </c>
      <c r="B11" s="12" t="n">
        <v>2026</v>
      </c>
      <c r="C11" s="7" t="inlineStr">
        <is>
          <t>AnioSim</t>
        </is>
      </c>
    </row>
    <row r="13">
      <c r="A13" s="13" t="inlineStr">
        <is>
          <t>Demanda diaria: distribución, media y varianza teóricas</t>
        </is>
      </c>
    </row>
    <row r="14">
      <c r="A14" s="3" t="inlineStr">
        <is>
          <t>Demanda d</t>
        </is>
      </c>
      <c r="B14" s="4" t="inlineStr">
        <is>
          <t>P uniforme</t>
        </is>
      </c>
      <c r="C14" s="4" t="inlineStr">
        <is>
          <t>P empírica</t>
        </is>
      </c>
    </row>
    <row r="15">
      <c r="A15" s="5" t="n">
        <v>3</v>
      </c>
      <c r="B15" s="8" t="n">
        <v>0.2</v>
      </c>
      <c r="C15" s="8">
        <f>G4</f>
        <v>0.2</v>
      </c>
    </row>
    <row r="16">
      <c r="A16" s="5" t="n">
        <v>4</v>
      </c>
      <c r="B16" s="8" t="n">
        <v>0.2</v>
      </c>
      <c r="C16" s="8">
        <f>G5</f>
        <v>0.05</v>
      </c>
    </row>
    <row r="17">
      <c r="A17" s="5" t="n">
        <v>5</v>
      </c>
      <c r="B17" s="8" t="n">
        <v>0.2</v>
      </c>
      <c r="C17" s="8">
        <f>G6</f>
        <v>0.4</v>
      </c>
    </row>
    <row r="18">
      <c r="A18" s="5" t="n">
        <v>6</v>
      </c>
      <c r="B18" s="8" t="n">
        <v>0.2</v>
      </c>
      <c r="C18" s="8">
        <f>G7</f>
        <v>0.25</v>
      </c>
    </row>
    <row r="19">
      <c r="A19" s="5" t="n">
        <v>7</v>
      </c>
      <c r="B19" s="8" t="n">
        <v>0.2</v>
      </c>
      <c r="C19" s="8">
        <f>G8</f>
        <v>0.1</v>
      </c>
    </row>
    <row r="21">
      <c r="A21" s="3" t="inlineStr">
        <is>
          <t>Distribución</t>
        </is>
      </c>
      <c r="B21" s="4" t="inlineStr">
        <is>
          <t>Media E[D]</t>
        </is>
      </c>
      <c r="C21" s="4" t="inlineStr">
        <is>
          <t>Varianza Var[D]</t>
        </is>
      </c>
      <c r="D21" s="4" t="inlineStr">
        <is>
          <t>Desv. estándar</t>
        </is>
      </c>
    </row>
    <row r="22">
      <c r="A22" s="5" t="inlineStr">
        <is>
          <t>Uniforme discreta</t>
        </is>
      </c>
      <c r="B22" s="14">
        <f>SUMPRODUCT($A$15:$A$19,B15:B19)</f>
        <v>5</v>
      </c>
      <c r="C22" s="14">
        <f>SUMPRODUCT(($A$15:$A$19-B22)^2,B15:B19)</f>
        <v>2</v>
      </c>
      <c r="D22" s="15">
        <f>SQRT(C22)</f>
        <v>1.4142135623730951</v>
      </c>
    </row>
    <row r="23">
      <c r="A23" s="5" t="inlineStr">
        <is>
          <t>Empírica</t>
        </is>
      </c>
      <c r="B23" s="14">
        <f>SUMPRODUCT($A$15:$A$19,C15:C19)</f>
        <v>5</v>
      </c>
      <c r="C23" s="14">
        <f>SUMPRODUCT(($A$15:$A$19-B23)^2,C15:C19)</f>
        <v>1.5</v>
      </c>
      <c r="D23" s="15">
        <f>SQRT(C23)</f>
        <v>1.224744871391589</v>
      </c>
    </row>
    <row r="26">
      <c r="A26" s="13" t="inlineStr">
        <is>
          <t>Cálculo</t>
        </is>
      </c>
    </row>
    <row r="27">
      <c r="A27" s="2" t="inlineStr">
        <is>
          <t>Archivo &gt; Opciones &gt; Fórmulas &gt; «Automático excepto en las tablas de datos». F9 genera 100 réplicas nuevas.</t>
        </is>
      </c>
    </row>
    <row r="28">
      <c r="A28" s="2" t="inlineStr">
        <is>
          <t>Los estadísticos del informe corresponden a las 100 réplicas guardadas en este archivo.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" customWidth="1" min="3" max="3"/>
    <col width="8" customWidth="1" min="4" max="4"/>
    <col width="10" customWidth="1" min="5" max="5"/>
    <col width="10" customWidth="1" min="6" max="6"/>
    <col width="9" customWidth="1" min="7" max="7"/>
    <col width="8" customWidth="1" min="8" max="8"/>
    <col width="9" customWidth="1" min="9" max="9"/>
    <col width="10" customWidth="1" min="10" max="10"/>
    <col width="9" customWidth="1" min="11" max="11"/>
    <col width="9" customWidth="1" min="12" max="12"/>
    <col width="13" customWidth="1" min="13" max="13"/>
    <col width="13" customWidth="1" min="14" max="14"/>
    <col width="11" customWidth="1" min="15" max="15"/>
    <col width="12" customWidth="1" min="16" max="16"/>
    <col width="12" customWidth="1" min="17" max="17"/>
    <col width="14" customWidth="1" min="18" max="18"/>
    <col width="9" customWidth="1" min="19" max="19"/>
    <col width="33" customWidth="1" min="20" max="20"/>
    <col width="15" customWidth="1" min="21" max="21"/>
    <col width="8" customWidth="1" min="23" max="23"/>
    <col width="15" customWidth="1" min="24" max="24"/>
    <col width="11" customWidth="1" min="25" max="25"/>
    <col width="11" customWidth="1" min="26" max="26"/>
    <col width="10" customWidth="1" min="27" max="27"/>
    <col width="36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24" customHeight="1">
      <c r="A1" s="1" t="inlineStr">
        <is>
          <t>Un año simulado · demanda uniforme</t>
        </is>
      </c>
      <c r="W1" s="2" t="inlineStr">
        <is>
          <t>W2 = celda de entrada de la tabla de datos (debe quedar vacía).</t>
        </is>
      </c>
    </row>
    <row r="2">
      <c r="A2" s="2" t="inlineStr">
        <is>
          <t>313 días hábiles de 2026 (lunes a sábado). Fila 6 = día 1; la fila 7 se copia hasta la 318. Cada recálculo (F9) es una réplica distinta.</t>
        </is>
      </c>
      <c r="W2" s="16" t="n"/>
    </row>
    <row r="3">
      <c r="A3" s="2" t="inlineStr">
        <is>
          <t>Demanda (columna G): ALEATORIO.ENTRE(3;7)</t>
        </is>
      </c>
    </row>
    <row r="4">
      <c r="T4" s="17" t="inlineStr">
        <is>
          <t>Resumen de la réplica</t>
        </is>
      </c>
      <c r="AB4" s="17" t="inlineStr">
        <is>
          <t>Estadísticos de las 100 réplicas</t>
        </is>
      </c>
    </row>
    <row r="5" ht="40" customHeight="1">
      <c r="A5" s="4" t="inlineStr">
        <is>
          <t>Día</t>
        </is>
      </c>
      <c r="B5" s="3" t="inlineStr">
        <is>
          <t>Fecha</t>
        </is>
      </c>
      <c r="C5" s="4" t="inlineStr">
        <is>
          <t>Mes</t>
        </is>
      </c>
      <c r="D5" s="4" t="inlineStr">
        <is>
          <t>Inicio de mes (1/0)</t>
        </is>
      </c>
      <c r="E5" s="4" t="inlineStr">
        <is>
          <t>Unidades recibidas</t>
        </is>
      </c>
      <c r="F5" s="4" t="inlineStr">
        <is>
          <t>Inventario inicial</t>
        </is>
      </c>
      <c r="G5" s="4" t="inlineStr">
        <is>
          <t>Demanda</t>
        </is>
      </c>
      <c r="H5" s="4" t="inlineStr">
        <is>
          <t>Ventas</t>
        </is>
      </c>
      <c r="I5" s="4" t="inlineStr">
        <is>
          <t>Ventas perdidas</t>
        </is>
      </c>
      <c r="J5" s="4" t="inlineStr">
        <is>
          <t>Inventario final</t>
        </is>
      </c>
      <c r="K5" s="4" t="inlineStr">
        <is>
          <t>Día con faltante (1/0)</t>
        </is>
      </c>
      <c r="L5" s="4" t="inlineStr">
        <is>
          <t>Pedido al cierre (1/0)</t>
        </is>
      </c>
      <c r="M5" s="4" t="inlineStr">
        <is>
          <t>Ingresos</t>
        </is>
      </c>
      <c r="N5" s="4" t="inlineStr">
        <is>
          <t>Costo de compra</t>
        </is>
      </c>
      <c r="O5" s="4" t="inlineStr">
        <is>
          <t>Costo de pedido</t>
        </is>
      </c>
      <c r="P5" s="4" t="inlineStr">
        <is>
          <t>Costo de almacena-miento</t>
        </is>
      </c>
      <c r="Q5" s="4" t="inlineStr">
        <is>
          <t>Costo fijo</t>
        </is>
      </c>
      <c r="R5" s="4" t="inlineStr">
        <is>
          <t>Utilidad del día</t>
        </is>
      </c>
      <c r="S5" s="4" t="inlineStr">
        <is>
          <t>Punto de reorden s</t>
        </is>
      </c>
      <c r="W5" s="4" t="inlineStr">
        <is>
          <t>Réplica</t>
        </is>
      </c>
      <c r="X5" s="4" t="inlineStr">
        <is>
          <t>Ganancia anual</t>
        </is>
      </c>
      <c r="Y5" s="4" t="inlineStr">
        <is>
          <t>Fracción días con faltante</t>
        </is>
      </c>
      <c r="Z5" s="4" t="inlineStr">
        <is>
          <t>Ventas perdidas por día</t>
        </is>
      </c>
      <c r="AA5" s="4" t="inlineStr">
        <is>
          <t>Inventario final 31/12</t>
        </is>
      </c>
      <c r="AB5" s="18" t="inlineStr">
        <is>
          <t>Ganancia promedio</t>
        </is>
      </c>
      <c r="AC5" s="19">
        <f>AVERAGE(X7:X106)</f>
        <v>102985918.8</v>
      </c>
    </row>
    <row r="6">
      <c r="A6" s="5" t="n">
        <v>1</v>
      </c>
      <c r="B6" s="20">
        <f>DATE(AnioSim,1,1)</f>
        <v>46023</v>
      </c>
      <c r="C6" s="5">
        <f>MONTH(B6)</f>
        <v>1</v>
      </c>
      <c r="D6" s="5" t="n">
        <v>1</v>
      </c>
      <c r="E6" s="5">
        <f>CantPedido</f>
        <v>15</v>
      </c>
      <c r="F6" s="5">
        <f>E6</f>
        <v>15</v>
      </c>
      <c r="G6" s="5">
        <f>RANDBETWEEN(3,7)</f>
        <v>3</v>
      </c>
      <c r="H6" s="5">
        <f>MIN(F6,G6)</f>
        <v>3</v>
      </c>
      <c r="I6" s="5">
        <f>G6-H6</f>
        <v>0</v>
      </c>
      <c r="J6" s="5">
        <f>F6-H6</f>
        <v>12</v>
      </c>
      <c r="K6" s="5">
        <f>IF(I6&gt;0,1,0)</f>
        <v>0</v>
      </c>
      <c r="L6" s="5">
        <f>IF(J6&lt;PuntoReorden,1,0)</f>
        <v>0</v>
      </c>
      <c r="M6" s="9">
        <f>PrecioVenta*H6</f>
        <v>2040000</v>
      </c>
      <c r="N6" s="9">
        <f>CostoUnitario*E6</f>
        <v>9000000</v>
      </c>
      <c r="O6" s="9">
        <f>IF(E6&gt;0,CostoPedido,0)</f>
        <v>40000</v>
      </c>
      <c r="P6" s="9">
        <f>CostoAlm*(F6+J6)/2</f>
        <v>1080</v>
      </c>
      <c r="Q6" s="9">
        <f>CostoFijo*D6</f>
        <v>1000000</v>
      </c>
      <c r="R6" s="9">
        <f>M6-N6-O6-P6-Q6</f>
        <v>-8001080</v>
      </c>
      <c r="S6" s="21">
        <f>PuntoReorden</f>
        <v>7</v>
      </c>
      <c r="T6" s="18" t="inlineStr">
        <is>
          <t>Ganancia anual</t>
        </is>
      </c>
      <c r="U6" s="19">
        <f>SUM(R6:R318)</f>
        <v>100672000</v>
      </c>
      <c r="X6" s="22">
        <f>U6</f>
        <v>100672000</v>
      </c>
      <c r="Y6" s="23">
        <f>U7</f>
        <v>0</v>
      </c>
      <c r="Z6" s="23">
        <f>U8</f>
        <v>0</v>
      </c>
      <c r="AA6" s="24">
        <f>U9</f>
        <v>13</v>
      </c>
      <c r="AB6" s="18" t="inlineStr">
        <is>
          <t>Desviación estándar de la ganancia</t>
        </is>
      </c>
      <c r="AC6" s="25">
        <f>_xlfn.STDEV.S(X7:X106)</f>
        <v>3147847.676580956</v>
      </c>
    </row>
    <row r="7">
      <c r="A7" s="5">
        <f>A6+1</f>
        <v>2</v>
      </c>
      <c r="B7" s="20">
        <f>B6+IF(WEEKDAY(B6,2)=6,2,1)</f>
        <v>46024</v>
      </c>
      <c r="C7" s="5">
        <f>MONTH(B7)</f>
        <v>1</v>
      </c>
      <c r="D7" s="5">
        <f>IF(C7&lt;&gt;C6,1,0)</f>
        <v>0</v>
      </c>
      <c r="E7" s="5">
        <f>IF(L6=1,CantPedido,0)</f>
        <v>0</v>
      </c>
      <c r="F7" s="5">
        <f>J6+E7</f>
        <v>12</v>
      </c>
      <c r="G7" s="5">
        <f>RANDBETWEEN(3,7)</f>
        <v>7</v>
      </c>
      <c r="H7" s="5">
        <f>MIN(F7,G7)</f>
        <v>7</v>
      </c>
      <c r="I7" s="5">
        <f>G7-H7</f>
        <v>0</v>
      </c>
      <c r="J7" s="5">
        <f>F7-H7</f>
        <v>5</v>
      </c>
      <c r="K7" s="5">
        <f>IF(I7&gt;0,1,0)</f>
        <v>0</v>
      </c>
      <c r="L7" s="5">
        <f>IF(J7&lt;PuntoReorden,1,0)</f>
        <v>1</v>
      </c>
      <c r="M7" s="9">
        <f>PrecioVenta*H7</f>
        <v>4760000</v>
      </c>
      <c r="N7" s="9">
        <f>CostoUnitario*E7</f>
        <v>0</v>
      </c>
      <c r="O7" s="9">
        <f>IF(E7&gt;0,CostoPedido,0)</f>
        <v>0</v>
      </c>
      <c r="P7" s="9">
        <f>CostoAlm*(F7+J7)/2</f>
        <v>680</v>
      </c>
      <c r="Q7" s="9">
        <f>CostoFijo*D7</f>
        <v>0</v>
      </c>
      <c r="R7" s="9">
        <f>M7-N7-O7-P7-Q7</f>
        <v>4759320</v>
      </c>
      <c r="S7" s="21">
        <f>PuntoReorden</f>
        <v>7</v>
      </c>
      <c r="T7" s="18" t="inlineStr">
        <is>
          <t>Fracción de días con faltante</t>
        </is>
      </c>
      <c r="U7" s="26">
        <f>SUM(K6:K318)/COUNT(A6:A318)</f>
        <v>0</v>
      </c>
      <c r="W7" s="7" t="n">
        <v>1</v>
      </c>
      <c r="X7" s="9">
        <f t="dataTable" ref="X7:AA106" r1="W2"/>
        <v>107666040</v>
      </c>
      <c r="Y7" s="27" t="n">
        <v>0</v>
      </c>
      <c r="Z7" s="27" t="n">
        <v>0</v>
      </c>
      <c r="AA7" s="12" t="n">
        <v>1</v>
      </c>
      <c r="AB7" s="18" t="inlineStr">
        <is>
          <t>Probabilidad de ventas perdidas</t>
        </is>
      </c>
      <c r="AC7" s="28">
        <f>AVERAGE(Y7:Y106)</f>
        <v>0</v>
      </c>
    </row>
    <row r="8">
      <c r="A8" s="5">
        <f>A7+1</f>
        <v>3</v>
      </c>
      <c r="B8" s="20">
        <f>B7+IF(WEEKDAY(B7,2)=6,2,1)</f>
        <v>46025</v>
      </c>
      <c r="C8" s="5">
        <f>MONTH(B8)</f>
        <v>1</v>
      </c>
      <c r="D8" s="5">
        <f>IF(C8&lt;&gt;C7,1,0)</f>
        <v>0</v>
      </c>
      <c r="E8" s="5">
        <f>IF(L7=1,CantPedido,0)</f>
        <v>15</v>
      </c>
      <c r="F8" s="5">
        <f>J7+E8</f>
        <v>20</v>
      </c>
      <c r="G8" s="5">
        <f>RANDBETWEEN(3,7)</f>
        <v>6</v>
      </c>
      <c r="H8" s="5">
        <f>MIN(F8,G8)</f>
        <v>6</v>
      </c>
      <c r="I8" s="5">
        <f>G8-H8</f>
        <v>0</v>
      </c>
      <c r="J8" s="5">
        <f>F8-H8</f>
        <v>14</v>
      </c>
      <c r="K8" s="5">
        <f>IF(I8&gt;0,1,0)</f>
        <v>0</v>
      </c>
      <c r="L8" s="5">
        <f>IF(J8&lt;PuntoReorden,1,0)</f>
        <v>0</v>
      </c>
      <c r="M8" s="9">
        <f>PrecioVenta*H8</f>
        <v>4080000</v>
      </c>
      <c r="N8" s="9">
        <f>CostoUnitario*E8</f>
        <v>9000000</v>
      </c>
      <c r="O8" s="9">
        <f>IF(E8&gt;0,CostoPedido,0)</f>
        <v>40000</v>
      </c>
      <c r="P8" s="9">
        <f>CostoAlm*(F8+J8)/2</f>
        <v>1360</v>
      </c>
      <c r="Q8" s="9">
        <f>CostoFijo*D8</f>
        <v>0</v>
      </c>
      <c r="R8" s="9">
        <f>M8-N8-O8-P8-Q8</f>
        <v>-4961360</v>
      </c>
      <c r="S8" s="21">
        <f>PuntoReorden</f>
        <v>7</v>
      </c>
      <c r="T8" s="18" t="inlineStr">
        <is>
          <t>Ventas perdidas promedio por día</t>
        </is>
      </c>
      <c r="U8" s="26">
        <f>AVERAGE(I6:I318)</f>
        <v>0</v>
      </c>
      <c r="W8" s="7" t="n">
        <v>2</v>
      </c>
      <c r="X8" s="9" t="n">
        <v>104354080</v>
      </c>
      <c r="Y8" s="27" t="n">
        <v>0</v>
      </c>
      <c r="Z8" s="27" t="n">
        <v>0</v>
      </c>
      <c r="AA8" s="12" t="n">
        <v>11</v>
      </c>
      <c r="AB8" s="18" t="inlineStr">
        <is>
          <t>Ventas perdidas promedio por día</t>
        </is>
      </c>
      <c r="AC8" s="28">
        <f>AVERAGE(Z7:Z106)</f>
        <v>0</v>
      </c>
    </row>
    <row r="9">
      <c r="A9" s="5">
        <f>A8+1</f>
        <v>4</v>
      </c>
      <c r="B9" s="20">
        <f>B8+IF(WEEKDAY(B8,2)=6,2,1)</f>
        <v>46027</v>
      </c>
      <c r="C9" s="5">
        <f>MONTH(B9)</f>
        <v>1</v>
      </c>
      <c r="D9" s="5">
        <f>IF(C9&lt;&gt;C8,1,0)</f>
        <v>0</v>
      </c>
      <c r="E9" s="5">
        <f>IF(L8=1,CantPedido,0)</f>
        <v>0</v>
      </c>
      <c r="F9" s="5">
        <f>J8+E9</f>
        <v>14</v>
      </c>
      <c r="G9" s="5">
        <f>RANDBETWEEN(3,7)</f>
        <v>7</v>
      </c>
      <c r="H9" s="5">
        <f>MIN(F9,G9)</f>
        <v>7</v>
      </c>
      <c r="I9" s="5">
        <f>G9-H9</f>
        <v>0</v>
      </c>
      <c r="J9" s="5">
        <f>F9-H9</f>
        <v>7</v>
      </c>
      <c r="K9" s="5">
        <f>IF(I9&gt;0,1,0)</f>
        <v>0</v>
      </c>
      <c r="L9" s="5">
        <f>IF(J9&lt;PuntoReorden,1,0)</f>
        <v>0</v>
      </c>
      <c r="M9" s="9">
        <f>PrecioVenta*H9</f>
        <v>4760000</v>
      </c>
      <c r="N9" s="9">
        <f>CostoUnitario*E9</f>
        <v>0</v>
      </c>
      <c r="O9" s="9">
        <f>IF(E9&gt;0,CostoPedido,0)</f>
        <v>0</v>
      </c>
      <c r="P9" s="9">
        <f>CostoAlm*(F9+J9)/2</f>
        <v>840</v>
      </c>
      <c r="Q9" s="9">
        <f>CostoFijo*D9</f>
        <v>0</v>
      </c>
      <c r="R9" s="9">
        <f>M9-N9-O9-P9-Q9</f>
        <v>4759160</v>
      </c>
      <c r="S9" s="21">
        <f>PuntoReorden</f>
        <v>7</v>
      </c>
      <c r="T9" s="18" t="inlineStr">
        <is>
          <t>Inventario final al 31/12/2026</t>
        </is>
      </c>
      <c r="U9" s="29">
        <f>J318</f>
        <v>13</v>
      </c>
      <c r="W9" s="7" t="n">
        <v>3</v>
      </c>
      <c r="X9" s="9" t="n">
        <v>106869480</v>
      </c>
      <c r="Y9" s="27" t="n">
        <v>0</v>
      </c>
      <c r="Z9" s="27" t="n">
        <v>0</v>
      </c>
      <c r="AA9" s="12" t="n">
        <v>9</v>
      </c>
      <c r="AB9" s="18" t="inlineStr">
        <is>
          <t>Error estándar de la media</t>
        </is>
      </c>
      <c r="AC9" s="25">
        <f>AC6/SQRT(COUNT(X7:X106))</f>
        <v>314784.76765809563</v>
      </c>
    </row>
    <row r="10">
      <c r="A10" s="5">
        <f>A9+1</f>
        <v>5</v>
      </c>
      <c r="B10" s="20">
        <f>B9+IF(WEEKDAY(B9,2)=6,2,1)</f>
        <v>46028</v>
      </c>
      <c r="C10" s="5">
        <f>MONTH(B10)</f>
        <v>1</v>
      </c>
      <c r="D10" s="5">
        <f>IF(C10&lt;&gt;C9,1,0)</f>
        <v>0</v>
      </c>
      <c r="E10" s="5">
        <f>IF(L9=1,CantPedido,0)</f>
        <v>0</v>
      </c>
      <c r="F10" s="5">
        <f>J9+E10</f>
        <v>7</v>
      </c>
      <c r="G10" s="5">
        <f>RANDBETWEEN(3,7)</f>
        <v>6</v>
      </c>
      <c r="H10" s="5">
        <f>MIN(F10,G10)</f>
        <v>6</v>
      </c>
      <c r="I10" s="5">
        <f>G10-H10</f>
        <v>0</v>
      </c>
      <c r="J10" s="5">
        <f>F10-H10</f>
        <v>1</v>
      </c>
      <c r="K10" s="5">
        <f>IF(I10&gt;0,1,0)</f>
        <v>0</v>
      </c>
      <c r="L10" s="5">
        <f>IF(J10&lt;PuntoReorden,1,0)</f>
        <v>1</v>
      </c>
      <c r="M10" s="9">
        <f>PrecioVenta*H10</f>
        <v>4080000</v>
      </c>
      <c r="N10" s="9">
        <f>CostoUnitario*E10</f>
        <v>0</v>
      </c>
      <c r="O10" s="9">
        <f>IF(E10&gt;0,CostoPedido,0)</f>
        <v>0</v>
      </c>
      <c r="P10" s="9">
        <f>CostoAlm*(F10+J10)/2</f>
        <v>320</v>
      </c>
      <c r="Q10" s="9">
        <f>CostoFijo*D10</f>
        <v>0</v>
      </c>
      <c r="R10" s="9">
        <f>M10-N10-O10-P10-Q10</f>
        <v>4079680</v>
      </c>
      <c r="S10" s="21">
        <f>PuntoReorden</f>
        <v>7</v>
      </c>
      <c r="T10" s="30" t="inlineStr">
        <is>
          <t>Comprobación (B318, A318, suma de D)</t>
        </is>
      </c>
      <c r="U10" s="2" t="str">
        <f>IF(AND(B318=DATE(AnioSim,12,31),A318=313,SUM(D6:D318)=12),"Correcta","Revisar")</f>
        <v>Correcta</v>
      </c>
      <c r="W10" s="7" t="n">
        <v>4</v>
      </c>
      <c r="X10" s="9" t="n">
        <v>105908600</v>
      </c>
      <c r="Y10" s="27" t="n">
        <v>0</v>
      </c>
      <c r="Z10" s="27" t="n">
        <v>0</v>
      </c>
      <c r="AA10" s="12" t="n">
        <v>7</v>
      </c>
    </row>
    <row r="11">
      <c r="A11" s="5">
        <f>A10+1</f>
        <v>6</v>
      </c>
      <c r="B11" s="20">
        <f>B10+IF(WEEKDAY(B10,2)=6,2,1)</f>
        <v>46029</v>
      </c>
      <c r="C11" s="5">
        <f>MONTH(B11)</f>
        <v>1</v>
      </c>
      <c r="D11" s="5">
        <f>IF(C11&lt;&gt;C10,1,0)</f>
        <v>0</v>
      </c>
      <c r="E11" s="5">
        <f>IF(L10=1,CantPedido,0)</f>
        <v>15</v>
      </c>
      <c r="F11" s="5">
        <f>J10+E11</f>
        <v>16</v>
      </c>
      <c r="G11" s="5">
        <f>RANDBETWEEN(3,7)</f>
        <v>6</v>
      </c>
      <c r="H11" s="5">
        <f>MIN(F11,G11)</f>
        <v>6</v>
      </c>
      <c r="I11" s="5">
        <f>G11-H11</f>
        <v>0</v>
      </c>
      <c r="J11" s="5">
        <f>F11-H11</f>
        <v>10</v>
      </c>
      <c r="K11" s="5">
        <f>IF(I11&gt;0,1,0)</f>
        <v>0</v>
      </c>
      <c r="L11" s="5">
        <f>IF(J11&lt;PuntoReorden,1,0)</f>
        <v>0</v>
      </c>
      <c r="M11" s="9">
        <f>PrecioVenta*H11</f>
        <v>4080000</v>
      </c>
      <c r="N11" s="9">
        <f>CostoUnitario*E11</f>
        <v>9000000</v>
      </c>
      <c r="O11" s="9">
        <f>IF(E11&gt;0,CostoPedido,0)</f>
        <v>40000</v>
      </c>
      <c r="P11" s="9">
        <f>CostoAlm*(F11+J11)/2</f>
        <v>1040</v>
      </c>
      <c r="Q11" s="9">
        <f>CostoFijo*D11</f>
        <v>0</v>
      </c>
      <c r="R11" s="9">
        <f>M11-N11-O11-P11-Q11</f>
        <v>-4961040</v>
      </c>
      <c r="S11" s="21">
        <f>PuntoReorden</f>
        <v>7</v>
      </c>
      <c r="W11" s="7" t="n">
        <v>5</v>
      </c>
      <c r="X11" s="9" t="n">
        <v>105424600</v>
      </c>
      <c r="Y11" s="27" t="n">
        <v>0</v>
      </c>
      <c r="Z11" s="27" t="n">
        <v>0</v>
      </c>
      <c r="AA11" s="12" t="n">
        <v>6</v>
      </c>
      <c r="AB11" s="17" t="inlineStr">
        <is>
          <t>Histograma: 10 clases de igual ancho</t>
        </is>
      </c>
    </row>
    <row r="12">
      <c r="A12" s="5">
        <f>A11+1</f>
        <v>7</v>
      </c>
      <c r="B12" s="20">
        <f>B11+IF(WEEKDAY(B11,2)=6,2,1)</f>
        <v>46030</v>
      </c>
      <c r="C12" s="5">
        <f>MONTH(B12)</f>
        <v>1</v>
      </c>
      <c r="D12" s="5">
        <f>IF(C12&lt;&gt;C11,1,0)</f>
        <v>0</v>
      </c>
      <c r="E12" s="5">
        <f>IF(L11=1,CantPedido,0)</f>
        <v>0</v>
      </c>
      <c r="F12" s="5">
        <f>J11+E12</f>
        <v>10</v>
      </c>
      <c r="G12" s="5">
        <f>RANDBETWEEN(3,7)</f>
        <v>7</v>
      </c>
      <c r="H12" s="5">
        <f>MIN(F12,G12)</f>
        <v>7</v>
      </c>
      <c r="I12" s="5">
        <f>G12-H12</f>
        <v>0</v>
      </c>
      <c r="J12" s="5">
        <f>F12-H12</f>
        <v>3</v>
      </c>
      <c r="K12" s="5">
        <f>IF(I12&gt;0,1,0)</f>
        <v>0</v>
      </c>
      <c r="L12" s="5">
        <f>IF(J12&lt;PuntoReorden,1,0)</f>
        <v>1</v>
      </c>
      <c r="M12" s="9">
        <f>PrecioVenta*H12</f>
        <v>4760000</v>
      </c>
      <c r="N12" s="9">
        <f>CostoUnitario*E12</f>
        <v>0</v>
      </c>
      <c r="O12" s="9">
        <f>IF(E12&gt;0,CostoPedido,0)</f>
        <v>0</v>
      </c>
      <c r="P12" s="9">
        <f>CostoAlm*(F12+J12)/2</f>
        <v>520</v>
      </c>
      <c r="Q12" s="9">
        <f>CostoFijo*D12</f>
        <v>0</v>
      </c>
      <c r="R12" s="9">
        <f>M12-N12-O12-P12-Q12</f>
        <v>4759480</v>
      </c>
      <c r="S12" s="21">
        <f>PuntoReorden</f>
        <v>7</v>
      </c>
      <c r="W12" s="7" t="n">
        <v>6</v>
      </c>
      <c r="X12" s="9" t="n">
        <v>99312960</v>
      </c>
      <c r="Y12" s="27" t="n">
        <v>0</v>
      </c>
      <c r="Z12" s="27" t="n">
        <v>0</v>
      </c>
      <c r="AA12" s="12" t="n">
        <v>15</v>
      </c>
      <c r="AB12" s="18" t="inlineStr">
        <is>
          <t>Mínimo</t>
        </is>
      </c>
      <c r="AC12" s="9">
        <f>MIN(X7:X106)</f>
        <v>97469360</v>
      </c>
    </row>
    <row r="13">
      <c r="A13" s="5">
        <f>A12+1</f>
        <v>8</v>
      </c>
      <c r="B13" s="20">
        <f>B12+IF(WEEKDAY(B12,2)=6,2,1)</f>
        <v>46031</v>
      </c>
      <c r="C13" s="5">
        <f>MONTH(B13)</f>
        <v>1</v>
      </c>
      <c r="D13" s="5">
        <f>IF(C13&lt;&gt;C12,1,0)</f>
        <v>0</v>
      </c>
      <c r="E13" s="5">
        <f>IF(L12=1,CantPedido,0)</f>
        <v>15</v>
      </c>
      <c r="F13" s="5">
        <f>J12+E13</f>
        <v>18</v>
      </c>
      <c r="G13" s="5">
        <f>RANDBETWEEN(3,7)</f>
        <v>6</v>
      </c>
      <c r="H13" s="5">
        <f>MIN(F13,G13)</f>
        <v>6</v>
      </c>
      <c r="I13" s="5">
        <f>G13-H13</f>
        <v>0</v>
      </c>
      <c r="J13" s="5">
        <f>F13-H13</f>
        <v>12</v>
      </c>
      <c r="K13" s="5">
        <f>IF(I13&gt;0,1,0)</f>
        <v>0</v>
      </c>
      <c r="L13" s="5">
        <f>IF(J13&lt;PuntoReorden,1,0)</f>
        <v>0</v>
      </c>
      <c r="M13" s="9">
        <f>PrecioVenta*H13</f>
        <v>4080000</v>
      </c>
      <c r="N13" s="9">
        <f>CostoUnitario*E13</f>
        <v>9000000</v>
      </c>
      <c r="O13" s="9">
        <f>IF(E13&gt;0,CostoPedido,0)</f>
        <v>40000</v>
      </c>
      <c r="P13" s="9">
        <f>CostoAlm*(F13+J13)/2</f>
        <v>1200</v>
      </c>
      <c r="Q13" s="9">
        <f>CostoFijo*D13</f>
        <v>0</v>
      </c>
      <c r="R13" s="9">
        <f>M13-N13-O13-P13-Q13</f>
        <v>-4961200</v>
      </c>
      <c r="S13" s="21">
        <f>PuntoReorden</f>
        <v>7</v>
      </c>
      <c r="W13" s="7" t="n">
        <v>7</v>
      </c>
      <c r="X13" s="9" t="n">
        <v>103590200</v>
      </c>
      <c r="Y13" s="27" t="n">
        <v>0</v>
      </c>
      <c r="Z13" s="27" t="n">
        <v>0</v>
      </c>
      <c r="AA13" s="12" t="n">
        <v>7</v>
      </c>
      <c r="AB13" s="18" t="inlineStr">
        <is>
          <t>Máximo</t>
        </is>
      </c>
      <c r="AC13" s="9">
        <f>MAX(X7:X106)</f>
        <v>111434360</v>
      </c>
    </row>
    <row r="14">
      <c r="A14" s="5">
        <f>A13+1</f>
        <v>9</v>
      </c>
      <c r="B14" s="20">
        <f>B13+IF(WEEKDAY(B13,2)=6,2,1)</f>
        <v>46032</v>
      </c>
      <c r="C14" s="5">
        <f>MONTH(B14)</f>
        <v>1</v>
      </c>
      <c r="D14" s="5">
        <f>IF(C14&lt;&gt;C13,1,0)</f>
        <v>0</v>
      </c>
      <c r="E14" s="5">
        <f>IF(L13=1,CantPedido,0)</f>
        <v>0</v>
      </c>
      <c r="F14" s="5">
        <f>J13+E14</f>
        <v>12</v>
      </c>
      <c r="G14" s="5">
        <f>RANDBETWEEN(3,7)</f>
        <v>6</v>
      </c>
      <c r="H14" s="5">
        <f>MIN(F14,G14)</f>
        <v>6</v>
      </c>
      <c r="I14" s="5">
        <f>G14-H14</f>
        <v>0</v>
      </c>
      <c r="J14" s="5">
        <f>F14-H14</f>
        <v>6</v>
      </c>
      <c r="K14" s="5">
        <f>IF(I14&gt;0,1,0)</f>
        <v>0</v>
      </c>
      <c r="L14" s="5">
        <f>IF(J14&lt;PuntoReorden,1,0)</f>
        <v>1</v>
      </c>
      <c r="M14" s="9">
        <f>PrecioVenta*H14</f>
        <v>4080000</v>
      </c>
      <c r="N14" s="9">
        <f>CostoUnitario*E14</f>
        <v>0</v>
      </c>
      <c r="O14" s="9">
        <f>IF(E14&gt;0,CostoPedido,0)</f>
        <v>0</v>
      </c>
      <c r="P14" s="9">
        <f>CostoAlm*(F14+J14)/2</f>
        <v>720</v>
      </c>
      <c r="Q14" s="9">
        <f>CostoFijo*D14</f>
        <v>0</v>
      </c>
      <c r="R14" s="9">
        <f>M14-N14-O14-P14-Q14</f>
        <v>4079280</v>
      </c>
      <c r="S14" s="21">
        <f>PuntoReorden</f>
        <v>7</v>
      </c>
      <c r="W14" s="7" t="n">
        <v>8</v>
      </c>
      <c r="X14" s="9" t="n">
        <v>102316280</v>
      </c>
      <c r="Y14" s="27" t="n">
        <v>0</v>
      </c>
      <c r="Z14" s="27" t="n">
        <v>0</v>
      </c>
      <c r="AA14" s="12" t="n">
        <v>14</v>
      </c>
      <c r="AB14" s="18" t="inlineStr">
        <is>
          <t>Ancho de clase</t>
        </is>
      </c>
      <c r="AC14" s="9">
        <f>(AC13-AC12)/10</f>
        <v>1396500</v>
      </c>
    </row>
    <row r="15">
      <c r="A15" s="5">
        <f>A14+1</f>
        <v>10</v>
      </c>
      <c r="B15" s="20">
        <f>B14+IF(WEEKDAY(B14,2)=6,2,1)</f>
        <v>46034</v>
      </c>
      <c r="C15" s="5">
        <f>MONTH(B15)</f>
        <v>1</v>
      </c>
      <c r="D15" s="5">
        <f>IF(C15&lt;&gt;C14,1,0)</f>
        <v>0</v>
      </c>
      <c r="E15" s="5">
        <f>IF(L14=1,CantPedido,0)</f>
        <v>15</v>
      </c>
      <c r="F15" s="5">
        <f>J14+E15</f>
        <v>21</v>
      </c>
      <c r="G15" s="5">
        <f>RANDBETWEEN(3,7)</f>
        <v>4</v>
      </c>
      <c r="H15" s="5">
        <f>MIN(F15,G15)</f>
        <v>4</v>
      </c>
      <c r="I15" s="5">
        <f>G15-H15</f>
        <v>0</v>
      </c>
      <c r="J15" s="5">
        <f>F15-H15</f>
        <v>17</v>
      </c>
      <c r="K15" s="5">
        <f>IF(I15&gt;0,1,0)</f>
        <v>0</v>
      </c>
      <c r="L15" s="5">
        <f>IF(J15&lt;PuntoReorden,1,0)</f>
        <v>0</v>
      </c>
      <c r="M15" s="9">
        <f>PrecioVenta*H15</f>
        <v>2720000</v>
      </c>
      <c r="N15" s="9">
        <f>CostoUnitario*E15</f>
        <v>9000000</v>
      </c>
      <c r="O15" s="9">
        <f>IF(E15&gt;0,CostoPedido,0)</f>
        <v>40000</v>
      </c>
      <c r="P15" s="9">
        <f>CostoAlm*(F15+J15)/2</f>
        <v>1520</v>
      </c>
      <c r="Q15" s="9">
        <f>CostoFijo*D15</f>
        <v>0</v>
      </c>
      <c r="R15" s="9">
        <f>M15-N15-O15-P15-Q15</f>
        <v>-6321520</v>
      </c>
      <c r="S15" s="21">
        <f>PuntoReorden</f>
        <v>7</v>
      </c>
      <c r="W15" s="7" t="n">
        <v>9</v>
      </c>
      <c r="X15" s="9" t="n">
        <v>104068760</v>
      </c>
      <c r="Y15" s="27" t="n">
        <v>0</v>
      </c>
      <c r="Z15" s="27" t="n">
        <v>0</v>
      </c>
      <c r="AA15" s="12" t="n">
        <v>8</v>
      </c>
    </row>
    <row r="16" ht="15" customHeight="1">
      <c r="A16" s="5">
        <f>A15+1</f>
        <v>11</v>
      </c>
      <c r="B16" s="20">
        <f>B15+IF(WEEKDAY(B15,2)=6,2,1)</f>
        <v>46035</v>
      </c>
      <c r="C16" s="5">
        <f>MONTH(B16)</f>
        <v>1</v>
      </c>
      <c r="D16" s="5">
        <f>IF(C16&lt;&gt;C15,1,0)</f>
        <v>0</v>
      </c>
      <c r="E16" s="5">
        <f>IF(L15=1,CantPedido,0)</f>
        <v>0</v>
      </c>
      <c r="F16" s="5">
        <f>J15+E16</f>
        <v>17</v>
      </c>
      <c r="G16" s="5">
        <f>RANDBETWEEN(3,7)</f>
        <v>6</v>
      </c>
      <c r="H16" s="5">
        <f>MIN(F16,G16)</f>
        <v>6</v>
      </c>
      <c r="I16" s="5">
        <f>G16-H16</f>
        <v>0</v>
      </c>
      <c r="J16" s="5">
        <f>F16-H16</f>
        <v>11</v>
      </c>
      <c r="K16" s="5">
        <f>IF(I16&gt;0,1,0)</f>
        <v>0</v>
      </c>
      <c r="L16" s="5">
        <f>IF(J16&lt;PuntoReorden,1,0)</f>
        <v>0</v>
      </c>
      <c r="M16" s="9">
        <f>PrecioVenta*H16</f>
        <v>4080000</v>
      </c>
      <c r="N16" s="9">
        <f>CostoUnitario*E16</f>
        <v>0</v>
      </c>
      <c r="O16" s="9">
        <f>IF(E16&gt;0,CostoPedido,0)</f>
        <v>0</v>
      </c>
      <c r="P16" s="9">
        <f>CostoAlm*(F16+J16)/2</f>
        <v>1120</v>
      </c>
      <c r="Q16" s="9">
        <f>CostoFijo*D16</f>
        <v>0</v>
      </c>
      <c r="R16" s="9">
        <f>M16-N16-O16-P16-Q16</f>
        <v>4078880</v>
      </c>
      <c r="S16" s="21">
        <f>PuntoReorden</f>
        <v>7</v>
      </c>
      <c r="W16" s="7" t="n">
        <v>10</v>
      </c>
      <c r="X16" s="9" t="n">
        <v>99519880</v>
      </c>
      <c r="Y16" s="27" t="n">
        <v>0</v>
      </c>
      <c r="Z16" s="27" t="n">
        <v>0</v>
      </c>
      <c r="AA16" s="12" t="n">
        <v>13</v>
      </c>
      <c r="AB16" s="31" t="inlineStr">
        <is>
          <t>Clase k</t>
        </is>
      </c>
      <c r="AC16" s="32" t="inlineStr">
        <is>
          <t>Límite inferior</t>
        </is>
      </c>
      <c r="AD16" s="32" t="inlineStr">
        <is>
          <t>Límite superior</t>
        </is>
      </c>
      <c r="AE16" s="32" t="inlineStr">
        <is>
          <t>Marca (millones)</t>
        </is>
      </c>
      <c r="AF16" s="32" t="inlineStr">
        <is>
          <t>Frecuencia</t>
        </is>
      </c>
    </row>
    <row r="17">
      <c r="A17" s="5">
        <f>A16+1</f>
        <v>12</v>
      </c>
      <c r="B17" s="20">
        <f>B16+IF(WEEKDAY(B16,2)=6,2,1)</f>
        <v>46036</v>
      </c>
      <c r="C17" s="5">
        <f>MONTH(B17)</f>
        <v>1</v>
      </c>
      <c r="D17" s="5">
        <f>IF(C17&lt;&gt;C16,1,0)</f>
        <v>0</v>
      </c>
      <c r="E17" s="5">
        <f>IF(L16=1,CantPedido,0)</f>
        <v>0</v>
      </c>
      <c r="F17" s="5">
        <f>J16+E17</f>
        <v>11</v>
      </c>
      <c r="G17" s="5">
        <f>RANDBETWEEN(3,7)</f>
        <v>4</v>
      </c>
      <c r="H17" s="5">
        <f>MIN(F17,G17)</f>
        <v>4</v>
      </c>
      <c r="I17" s="5">
        <f>G17-H17</f>
        <v>0</v>
      </c>
      <c r="J17" s="5">
        <f>F17-H17</f>
        <v>7</v>
      </c>
      <c r="K17" s="5">
        <f>IF(I17&gt;0,1,0)</f>
        <v>0</v>
      </c>
      <c r="L17" s="5">
        <f>IF(J17&lt;PuntoReorden,1,0)</f>
        <v>0</v>
      </c>
      <c r="M17" s="9">
        <f>PrecioVenta*H17</f>
        <v>2720000</v>
      </c>
      <c r="N17" s="9">
        <f>CostoUnitario*E17</f>
        <v>0</v>
      </c>
      <c r="O17" s="9">
        <f>IF(E17&gt;0,CostoPedido,0)</f>
        <v>0</v>
      </c>
      <c r="P17" s="9">
        <f>CostoAlm*(F17+J17)/2</f>
        <v>720</v>
      </c>
      <c r="Q17" s="9">
        <f>CostoFijo*D17</f>
        <v>0</v>
      </c>
      <c r="R17" s="9">
        <f>M17-N17-O17-P17-Q17</f>
        <v>2719280</v>
      </c>
      <c r="S17" s="21">
        <f>PuntoReorden</f>
        <v>7</v>
      </c>
      <c r="W17" s="7" t="n">
        <v>11</v>
      </c>
      <c r="X17" s="9" t="n">
        <v>99027320</v>
      </c>
      <c r="Y17" s="27" t="n">
        <v>0</v>
      </c>
      <c r="Z17" s="27" t="n">
        <v>0</v>
      </c>
      <c r="AA17" s="12" t="n">
        <v>12</v>
      </c>
      <c r="AB17" s="21" t="n">
        <v>1</v>
      </c>
      <c r="AC17" s="9">
        <f>$AC$12+(AB17-1)*$AC$14</f>
        <v>97469360</v>
      </c>
      <c r="AD17" s="9">
        <f>AC17+$AC$14</f>
        <v>98865860</v>
      </c>
      <c r="AE17" s="8">
        <f>(AC17+AD17)/2/1000000</f>
        <v>98.16761</v>
      </c>
      <c r="AF17" s="33">
        <f>COUNTIFS($X$7:$X$106,"&gt;="&amp;AC17,$X$7:$X$106,"&lt;"&amp;AD17)</f>
        <v>9</v>
      </c>
    </row>
    <row r="18">
      <c r="A18" s="5">
        <f>A17+1</f>
        <v>13</v>
      </c>
      <c r="B18" s="20">
        <f>B17+IF(WEEKDAY(B17,2)=6,2,1)</f>
        <v>46037</v>
      </c>
      <c r="C18" s="5">
        <f>MONTH(B18)</f>
        <v>1</v>
      </c>
      <c r="D18" s="5">
        <f>IF(C18&lt;&gt;C17,1,0)</f>
        <v>0</v>
      </c>
      <c r="E18" s="5">
        <f>IF(L17=1,CantPedido,0)</f>
        <v>0</v>
      </c>
      <c r="F18" s="5">
        <f>J17+E18</f>
        <v>7</v>
      </c>
      <c r="G18" s="5">
        <f>RANDBETWEEN(3,7)</f>
        <v>7</v>
      </c>
      <c r="H18" s="5">
        <f>MIN(F18,G18)</f>
        <v>7</v>
      </c>
      <c r="I18" s="5">
        <f>G18-H18</f>
        <v>0</v>
      </c>
      <c r="J18" s="5">
        <f>F18-H18</f>
        <v>0</v>
      </c>
      <c r="K18" s="5">
        <f>IF(I18&gt;0,1,0)</f>
        <v>0</v>
      </c>
      <c r="L18" s="5">
        <f>IF(J18&lt;PuntoReorden,1,0)</f>
        <v>1</v>
      </c>
      <c r="M18" s="9">
        <f>PrecioVenta*H18</f>
        <v>4760000</v>
      </c>
      <c r="N18" s="9">
        <f>CostoUnitario*E18</f>
        <v>0</v>
      </c>
      <c r="O18" s="9">
        <f>IF(E18&gt;0,CostoPedido,0)</f>
        <v>0</v>
      </c>
      <c r="P18" s="9">
        <f>CostoAlm*(F18+J18)/2</f>
        <v>280</v>
      </c>
      <c r="Q18" s="9">
        <f>CostoFijo*D18</f>
        <v>0</v>
      </c>
      <c r="R18" s="9">
        <f>M18-N18-O18-P18-Q18</f>
        <v>4759720</v>
      </c>
      <c r="S18" s="21">
        <f>PuntoReorden</f>
        <v>7</v>
      </c>
      <c r="W18" s="7" t="n">
        <v>12</v>
      </c>
      <c r="X18" s="9" t="n">
        <v>101153360</v>
      </c>
      <c r="Y18" s="27" t="n">
        <v>0</v>
      </c>
      <c r="Z18" s="27" t="n">
        <v>0</v>
      </c>
      <c r="AA18" s="12" t="n">
        <v>14</v>
      </c>
      <c r="AB18" s="21" t="n">
        <v>2</v>
      </c>
      <c r="AC18" s="9">
        <f>$AC$12+(AB18-1)*$AC$14</f>
        <v>98865860</v>
      </c>
      <c r="AD18" s="9">
        <f>AC18+$AC$14</f>
        <v>100262360</v>
      </c>
      <c r="AE18" s="8">
        <f>(AC18+AD18)/2/1000000</f>
        <v>99.56411</v>
      </c>
      <c r="AF18" s="33">
        <f>COUNTIFS($X$7:$X$106,"&gt;="&amp;AC18,$X$7:$X$106,"&lt;"&amp;AD18)</f>
        <v>14</v>
      </c>
    </row>
    <row r="19">
      <c r="A19" s="5">
        <f>A18+1</f>
        <v>14</v>
      </c>
      <c r="B19" s="20">
        <f>B18+IF(WEEKDAY(B18,2)=6,2,1)</f>
        <v>46038</v>
      </c>
      <c r="C19" s="5">
        <f>MONTH(B19)</f>
        <v>1</v>
      </c>
      <c r="D19" s="5">
        <f>IF(C19&lt;&gt;C18,1,0)</f>
        <v>0</v>
      </c>
      <c r="E19" s="5">
        <f>IF(L18=1,CantPedido,0)</f>
        <v>15</v>
      </c>
      <c r="F19" s="5">
        <f>J18+E19</f>
        <v>15</v>
      </c>
      <c r="G19" s="5">
        <f>RANDBETWEEN(3,7)</f>
        <v>7</v>
      </c>
      <c r="H19" s="5">
        <f>MIN(F19,G19)</f>
        <v>7</v>
      </c>
      <c r="I19" s="5">
        <f>G19-H19</f>
        <v>0</v>
      </c>
      <c r="J19" s="5">
        <f>F19-H19</f>
        <v>8</v>
      </c>
      <c r="K19" s="5">
        <f>IF(I19&gt;0,1,0)</f>
        <v>0</v>
      </c>
      <c r="L19" s="5">
        <f>IF(J19&lt;PuntoReorden,1,0)</f>
        <v>0</v>
      </c>
      <c r="M19" s="9">
        <f>PrecioVenta*H19</f>
        <v>4760000</v>
      </c>
      <c r="N19" s="9">
        <f>CostoUnitario*E19</f>
        <v>9000000</v>
      </c>
      <c r="O19" s="9">
        <f>IF(E19&gt;0,CostoPedido,0)</f>
        <v>40000</v>
      </c>
      <c r="P19" s="9">
        <f>CostoAlm*(F19+J19)/2</f>
        <v>920</v>
      </c>
      <c r="Q19" s="9">
        <f>CostoFijo*D19</f>
        <v>0</v>
      </c>
      <c r="R19" s="9">
        <f>M19-N19-O19-P19-Q19</f>
        <v>-4280920</v>
      </c>
      <c r="S19" s="21">
        <f>PuntoReorden</f>
        <v>7</v>
      </c>
      <c r="W19" s="7" t="n">
        <v>13</v>
      </c>
      <c r="X19" s="9" t="n">
        <v>106587840</v>
      </c>
      <c r="Y19" s="27" t="n">
        <v>0</v>
      </c>
      <c r="Z19" s="27" t="n">
        <v>0</v>
      </c>
      <c r="AA19" s="12" t="n">
        <v>6</v>
      </c>
      <c r="AB19" s="21" t="n">
        <v>3</v>
      </c>
      <c r="AC19" s="9">
        <f>$AC$12+(AB19-1)*$AC$14</f>
        <v>100262360</v>
      </c>
      <c r="AD19" s="9">
        <f>AC19+$AC$14</f>
        <v>101658860</v>
      </c>
      <c r="AE19" s="8">
        <f>(AC19+AD19)/2/1000000</f>
        <v>100.96061</v>
      </c>
      <c r="AF19" s="33">
        <f>COUNTIFS($X$7:$X$106,"&gt;="&amp;AC19,$X$7:$X$106,"&lt;"&amp;AD19)</f>
        <v>14</v>
      </c>
    </row>
    <row r="20">
      <c r="A20" s="5">
        <f>A19+1</f>
        <v>15</v>
      </c>
      <c r="B20" s="20">
        <f>B19+IF(WEEKDAY(B19,2)=6,2,1)</f>
        <v>46039</v>
      </c>
      <c r="C20" s="5">
        <f>MONTH(B20)</f>
        <v>1</v>
      </c>
      <c r="D20" s="5">
        <f>IF(C20&lt;&gt;C19,1,0)</f>
        <v>0</v>
      </c>
      <c r="E20" s="5">
        <f>IF(L19=1,CantPedido,0)</f>
        <v>0</v>
      </c>
      <c r="F20" s="5">
        <f>J19+E20</f>
        <v>8</v>
      </c>
      <c r="G20" s="5">
        <f>RANDBETWEEN(3,7)</f>
        <v>4</v>
      </c>
      <c r="H20" s="5">
        <f>MIN(F20,G20)</f>
        <v>4</v>
      </c>
      <c r="I20" s="5">
        <f>G20-H20</f>
        <v>0</v>
      </c>
      <c r="J20" s="5">
        <f>F20-H20</f>
        <v>4</v>
      </c>
      <c r="K20" s="5">
        <f>IF(I20&gt;0,1,0)</f>
        <v>0</v>
      </c>
      <c r="L20" s="5">
        <f>IF(J20&lt;PuntoReorden,1,0)</f>
        <v>1</v>
      </c>
      <c r="M20" s="9">
        <f>PrecioVenta*H20</f>
        <v>2720000</v>
      </c>
      <c r="N20" s="9">
        <f>CostoUnitario*E20</f>
        <v>0</v>
      </c>
      <c r="O20" s="9">
        <f>IF(E20&gt;0,CostoPedido,0)</f>
        <v>0</v>
      </c>
      <c r="P20" s="9">
        <f>CostoAlm*(F20+J20)/2</f>
        <v>480</v>
      </c>
      <c r="Q20" s="9">
        <f>CostoFijo*D20</f>
        <v>0</v>
      </c>
      <c r="R20" s="9">
        <f>M20-N20-O20-P20-Q20</f>
        <v>2719520</v>
      </c>
      <c r="S20" s="21">
        <f>PuntoReorden</f>
        <v>7</v>
      </c>
      <c r="W20" s="7" t="n">
        <v>14</v>
      </c>
      <c r="X20" s="9" t="n">
        <v>104547000</v>
      </c>
      <c r="Y20" s="27" t="n">
        <v>0</v>
      </c>
      <c r="Z20" s="27" t="n">
        <v>0</v>
      </c>
      <c r="AA20" s="12" t="n">
        <v>9</v>
      </c>
      <c r="AB20" s="21" t="n">
        <v>4</v>
      </c>
      <c r="AC20" s="9">
        <f>$AC$12+(AB20-1)*$AC$14</f>
        <v>101658860</v>
      </c>
      <c r="AD20" s="9">
        <f>AC20+$AC$14</f>
        <v>103055360</v>
      </c>
      <c r="AE20" s="8">
        <f>(AC20+AD20)/2/1000000</f>
        <v>102.35711</v>
      </c>
      <c r="AF20" s="33">
        <f>COUNTIFS($X$7:$X$106,"&gt;="&amp;AC20,$X$7:$X$106,"&lt;"&amp;AD20)</f>
        <v>15</v>
      </c>
    </row>
    <row r="21">
      <c r="A21" s="5">
        <f>A20+1</f>
        <v>16</v>
      </c>
      <c r="B21" s="20">
        <f>B20+IF(WEEKDAY(B20,2)=6,2,1)</f>
        <v>46041</v>
      </c>
      <c r="C21" s="5">
        <f>MONTH(B21)</f>
        <v>1</v>
      </c>
      <c r="D21" s="5">
        <f>IF(C21&lt;&gt;C20,1,0)</f>
        <v>0</v>
      </c>
      <c r="E21" s="5">
        <f>IF(L20=1,CantPedido,0)</f>
        <v>15</v>
      </c>
      <c r="F21" s="5">
        <f>J20+E21</f>
        <v>19</v>
      </c>
      <c r="G21" s="5">
        <f>RANDBETWEEN(3,7)</f>
        <v>6</v>
      </c>
      <c r="H21" s="5">
        <f>MIN(F21,G21)</f>
        <v>6</v>
      </c>
      <c r="I21" s="5">
        <f>G21-H21</f>
        <v>0</v>
      </c>
      <c r="J21" s="5">
        <f>F21-H21</f>
        <v>13</v>
      </c>
      <c r="K21" s="5">
        <f>IF(I21&gt;0,1,0)</f>
        <v>0</v>
      </c>
      <c r="L21" s="5">
        <f>IF(J21&lt;PuntoReorden,1,0)</f>
        <v>0</v>
      </c>
      <c r="M21" s="9">
        <f>PrecioVenta*H21</f>
        <v>4080000</v>
      </c>
      <c r="N21" s="9">
        <f>CostoUnitario*E21</f>
        <v>9000000</v>
      </c>
      <c r="O21" s="9">
        <f>IF(E21&gt;0,CostoPedido,0)</f>
        <v>40000</v>
      </c>
      <c r="P21" s="9">
        <f>CostoAlm*(F21+J21)/2</f>
        <v>1280</v>
      </c>
      <c r="Q21" s="9">
        <f>CostoFijo*D21</f>
        <v>0</v>
      </c>
      <c r="R21" s="9">
        <f>M21-N21-O21-P21-Q21</f>
        <v>-4961280</v>
      </c>
      <c r="S21" s="21">
        <f>PuntoReorden</f>
        <v>7</v>
      </c>
      <c r="W21" s="7" t="n">
        <v>15</v>
      </c>
      <c r="X21" s="9" t="n">
        <v>100663600</v>
      </c>
      <c r="Y21" s="27" t="n">
        <v>0</v>
      </c>
      <c r="Z21" s="27" t="n">
        <v>0</v>
      </c>
      <c r="AA21" s="12" t="n">
        <v>13</v>
      </c>
      <c r="AB21" s="21" t="n">
        <v>5</v>
      </c>
      <c r="AC21" s="9">
        <f>$AC$12+(AB21-1)*$AC$14</f>
        <v>103055360</v>
      </c>
      <c r="AD21" s="9">
        <f>AC21+$AC$14</f>
        <v>104451860</v>
      </c>
      <c r="AE21" s="8">
        <f>(AC21+AD21)/2/1000000</f>
        <v>103.75361</v>
      </c>
      <c r="AF21" s="33">
        <f>COUNTIFS($X$7:$X$106,"&gt;="&amp;AC21,$X$7:$X$106,"&lt;"&amp;AD21)</f>
        <v>15</v>
      </c>
    </row>
    <row r="22">
      <c r="A22" s="5">
        <f>A21+1</f>
        <v>17</v>
      </c>
      <c r="B22" s="20">
        <f>B21+IF(WEEKDAY(B21,2)=6,2,1)</f>
        <v>46042</v>
      </c>
      <c r="C22" s="5">
        <f>MONTH(B22)</f>
        <v>1</v>
      </c>
      <c r="D22" s="5">
        <f>IF(C22&lt;&gt;C21,1,0)</f>
        <v>0</v>
      </c>
      <c r="E22" s="5">
        <f>IF(L21=1,CantPedido,0)</f>
        <v>0</v>
      </c>
      <c r="F22" s="5">
        <f>J21+E22</f>
        <v>13</v>
      </c>
      <c r="G22" s="5">
        <f>RANDBETWEEN(3,7)</f>
        <v>6</v>
      </c>
      <c r="H22" s="5">
        <f>MIN(F22,G22)</f>
        <v>6</v>
      </c>
      <c r="I22" s="5">
        <f>G22-H22</f>
        <v>0</v>
      </c>
      <c r="J22" s="5">
        <f>F22-H22</f>
        <v>7</v>
      </c>
      <c r="K22" s="5">
        <f>IF(I22&gt;0,1,0)</f>
        <v>0</v>
      </c>
      <c r="L22" s="5">
        <f>IF(J22&lt;PuntoReorden,1,0)</f>
        <v>0</v>
      </c>
      <c r="M22" s="9">
        <f>PrecioVenta*H22</f>
        <v>4080000</v>
      </c>
      <c r="N22" s="9">
        <f>CostoUnitario*E22</f>
        <v>0</v>
      </c>
      <c r="O22" s="9">
        <f>IF(E22&gt;0,CostoPedido,0)</f>
        <v>0</v>
      </c>
      <c r="P22" s="9">
        <f>CostoAlm*(F22+J22)/2</f>
        <v>800</v>
      </c>
      <c r="Q22" s="9">
        <f>CostoFijo*D22</f>
        <v>0</v>
      </c>
      <c r="R22" s="9">
        <f>M22-N22-O22-P22-Q22</f>
        <v>4079200</v>
      </c>
      <c r="S22" s="21">
        <f>PuntoReorden</f>
        <v>7</v>
      </c>
      <c r="W22" s="7" t="n">
        <v>16</v>
      </c>
      <c r="X22" s="9" t="n">
        <v>101558720</v>
      </c>
      <c r="Y22" s="27" t="n">
        <v>0</v>
      </c>
      <c r="Z22" s="27" t="n">
        <v>0</v>
      </c>
      <c r="AA22" s="12" t="n">
        <v>10</v>
      </c>
      <c r="AB22" s="21" t="n">
        <v>6</v>
      </c>
      <c r="AC22" s="9">
        <f>$AC$12+(AB22-1)*$AC$14</f>
        <v>104451860</v>
      </c>
      <c r="AD22" s="9">
        <f>AC22+$AC$14</f>
        <v>105848360</v>
      </c>
      <c r="AE22" s="8">
        <f>(AC22+AD22)/2/1000000</f>
        <v>105.15011</v>
      </c>
      <c r="AF22" s="33">
        <f>COUNTIFS($X$7:$X$106,"&gt;="&amp;AC22,$X$7:$X$106,"&lt;"&amp;AD22)</f>
        <v>15</v>
      </c>
    </row>
    <row r="23">
      <c r="A23" s="5">
        <f>A22+1</f>
        <v>18</v>
      </c>
      <c r="B23" s="20">
        <f>B22+IF(WEEKDAY(B22,2)=6,2,1)</f>
        <v>46043</v>
      </c>
      <c r="C23" s="5">
        <f>MONTH(B23)</f>
        <v>1</v>
      </c>
      <c r="D23" s="5">
        <f>IF(C23&lt;&gt;C22,1,0)</f>
        <v>0</v>
      </c>
      <c r="E23" s="5">
        <f>IF(L22=1,CantPedido,0)</f>
        <v>0</v>
      </c>
      <c r="F23" s="5">
        <f>J22+E23</f>
        <v>7</v>
      </c>
      <c r="G23" s="5">
        <f>RANDBETWEEN(3,7)</f>
        <v>5</v>
      </c>
      <c r="H23" s="5">
        <f>MIN(F23,G23)</f>
        <v>5</v>
      </c>
      <c r="I23" s="5">
        <f>G23-H23</f>
        <v>0</v>
      </c>
      <c r="J23" s="5">
        <f>F23-H23</f>
        <v>2</v>
      </c>
      <c r="K23" s="5">
        <f>IF(I23&gt;0,1,0)</f>
        <v>0</v>
      </c>
      <c r="L23" s="5">
        <f>IF(J23&lt;PuntoReorden,1,0)</f>
        <v>1</v>
      </c>
      <c r="M23" s="9">
        <f>PrecioVenta*H23</f>
        <v>3400000</v>
      </c>
      <c r="N23" s="9">
        <f>CostoUnitario*E23</f>
        <v>0</v>
      </c>
      <c r="O23" s="9">
        <f>IF(E23&gt;0,CostoPedido,0)</f>
        <v>0</v>
      </c>
      <c r="P23" s="9">
        <f>CostoAlm*(F23+J23)/2</f>
        <v>360</v>
      </c>
      <c r="Q23" s="9">
        <f>CostoFijo*D23</f>
        <v>0</v>
      </c>
      <c r="R23" s="9">
        <f>M23-N23-O23-P23-Q23</f>
        <v>3399640</v>
      </c>
      <c r="S23" s="21">
        <f>PuntoReorden</f>
        <v>7</v>
      </c>
      <c r="W23" s="7" t="n">
        <v>17</v>
      </c>
      <c r="X23" s="9" t="n">
        <v>103396640</v>
      </c>
      <c r="Y23" s="27" t="n">
        <v>0</v>
      </c>
      <c r="Z23" s="27" t="n">
        <v>0</v>
      </c>
      <c r="AA23" s="12" t="n">
        <v>9</v>
      </c>
      <c r="AB23" s="21" t="n">
        <v>7</v>
      </c>
      <c r="AC23" s="9">
        <f>$AC$12+(AB23-1)*$AC$14</f>
        <v>105848360</v>
      </c>
      <c r="AD23" s="9">
        <f>AC23+$AC$14</f>
        <v>107244860</v>
      </c>
      <c r="AE23" s="8">
        <f>(AC23+AD23)/2/1000000</f>
        <v>106.54661</v>
      </c>
      <c r="AF23" s="33">
        <f>COUNTIFS($X$7:$X$106,"&gt;="&amp;AC23,$X$7:$X$106,"&lt;"&amp;AD23)</f>
        <v>10</v>
      </c>
    </row>
    <row r="24">
      <c r="A24" s="5">
        <f>A23+1</f>
        <v>19</v>
      </c>
      <c r="B24" s="20">
        <f>B23+IF(WEEKDAY(B23,2)=6,2,1)</f>
        <v>46044</v>
      </c>
      <c r="C24" s="5">
        <f>MONTH(B24)</f>
        <v>1</v>
      </c>
      <c r="D24" s="5">
        <f>IF(C24&lt;&gt;C23,1,0)</f>
        <v>0</v>
      </c>
      <c r="E24" s="5">
        <f>IF(L23=1,CantPedido,0)</f>
        <v>15</v>
      </c>
      <c r="F24" s="5">
        <f>J23+E24</f>
        <v>17</v>
      </c>
      <c r="G24" s="5">
        <f>RANDBETWEEN(3,7)</f>
        <v>3</v>
      </c>
      <c r="H24" s="5">
        <f>MIN(F24,G24)</f>
        <v>3</v>
      </c>
      <c r="I24" s="5">
        <f>G24-H24</f>
        <v>0</v>
      </c>
      <c r="J24" s="5">
        <f>F24-H24</f>
        <v>14</v>
      </c>
      <c r="K24" s="5">
        <f>IF(I24&gt;0,1,0)</f>
        <v>0</v>
      </c>
      <c r="L24" s="5">
        <f>IF(J24&lt;PuntoReorden,1,0)</f>
        <v>0</v>
      </c>
      <c r="M24" s="9">
        <f>PrecioVenta*H24</f>
        <v>2040000</v>
      </c>
      <c r="N24" s="9">
        <f>CostoUnitario*E24</f>
        <v>9000000</v>
      </c>
      <c r="O24" s="9">
        <f>IF(E24&gt;0,CostoPedido,0)</f>
        <v>40000</v>
      </c>
      <c r="P24" s="9">
        <f>CostoAlm*(F24+J24)/2</f>
        <v>1240</v>
      </c>
      <c r="Q24" s="9">
        <f>CostoFijo*D24</f>
        <v>0</v>
      </c>
      <c r="R24" s="9">
        <f>M24-N24-O24-P24-Q24</f>
        <v>-7001240</v>
      </c>
      <c r="S24" s="21">
        <f>PuntoReorden</f>
        <v>7</v>
      </c>
      <c r="W24" s="7" t="n">
        <v>18</v>
      </c>
      <c r="X24" s="9" t="n">
        <v>103590280</v>
      </c>
      <c r="Y24" s="27" t="n">
        <v>0</v>
      </c>
      <c r="Z24" s="27" t="n">
        <v>0</v>
      </c>
      <c r="AA24" s="12" t="n">
        <v>7</v>
      </c>
      <c r="AB24" s="21" t="n">
        <v>8</v>
      </c>
      <c r="AC24" s="9">
        <f>$AC$12+(AB24-1)*$AC$14</f>
        <v>107244860</v>
      </c>
      <c r="AD24" s="9">
        <f>AC24+$AC$14</f>
        <v>108641360</v>
      </c>
      <c r="AE24" s="8">
        <f>(AC24+AD24)/2/1000000</f>
        <v>107.94311</v>
      </c>
      <c r="AF24" s="33">
        <f>COUNTIFS($X$7:$X$106,"&gt;="&amp;AC24,$X$7:$X$106,"&lt;"&amp;AD24)</f>
        <v>4</v>
      </c>
    </row>
    <row r="25">
      <c r="A25" s="5">
        <f>A24+1</f>
        <v>20</v>
      </c>
      <c r="B25" s="20">
        <f>B24+IF(WEEKDAY(B24,2)=6,2,1)</f>
        <v>46045</v>
      </c>
      <c r="C25" s="5">
        <f>MONTH(B25)</f>
        <v>1</v>
      </c>
      <c r="D25" s="5">
        <f>IF(C25&lt;&gt;C24,1,0)</f>
        <v>0</v>
      </c>
      <c r="E25" s="5">
        <f>IF(L24=1,CantPedido,0)</f>
        <v>0</v>
      </c>
      <c r="F25" s="5">
        <f>J24+E25</f>
        <v>14</v>
      </c>
      <c r="G25" s="5">
        <f>RANDBETWEEN(3,7)</f>
        <v>3</v>
      </c>
      <c r="H25" s="5">
        <f>MIN(F25,G25)</f>
        <v>3</v>
      </c>
      <c r="I25" s="5">
        <f>G25-H25</f>
        <v>0</v>
      </c>
      <c r="J25" s="5">
        <f>F25-H25</f>
        <v>11</v>
      </c>
      <c r="K25" s="5">
        <f>IF(I25&gt;0,1,0)</f>
        <v>0</v>
      </c>
      <c r="L25" s="5">
        <f>IF(J25&lt;PuntoReorden,1,0)</f>
        <v>0</v>
      </c>
      <c r="M25" s="9">
        <f>PrecioVenta*H25</f>
        <v>2040000</v>
      </c>
      <c r="N25" s="9">
        <f>CostoUnitario*E25</f>
        <v>0</v>
      </c>
      <c r="O25" s="9">
        <f>IF(E25&gt;0,CostoPedido,0)</f>
        <v>0</v>
      </c>
      <c r="P25" s="9">
        <f>CostoAlm*(F25+J25)/2</f>
        <v>1000</v>
      </c>
      <c r="Q25" s="9">
        <f>CostoFijo*D25</f>
        <v>0</v>
      </c>
      <c r="R25" s="9">
        <f>M25-N25-O25-P25-Q25</f>
        <v>2039000</v>
      </c>
      <c r="S25" s="21">
        <f>PuntoReorden</f>
        <v>7</v>
      </c>
      <c r="W25" s="7" t="n">
        <v>19</v>
      </c>
      <c r="X25" s="9" t="n">
        <v>102229400</v>
      </c>
      <c r="Y25" s="27" t="n">
        <v>0</v>
      </c>
      <c r="Z25" s="27" t="n">
        <v>0</v>
      </c>
      <c r="AA25" s="12" t="n">
        <v>9</v>
      </c>
      <c r="AB25" s="21" t="n">
        <v>9</v>
      </c>
      <c r="AC25" s="9">
        <f>$AC$12+(AB25-1)*$AC$14</f>
        <v>108641360</v>
      </c>
      <c r="AD25" s="9">
        <f>AC25+$AC$14</f>
        <v>110037860</v>
      </c>
      <c r="AE25" s="8">
        <f>(AC25+AD25)/2/1000000</f>
        <v>109.33961</v>
      </c>
      <c r="AF25" s="33">
        <f>COUNTIFS($X$7:$X$106,"&gt;="&amp;AC25,$X$7:$X$106,"&lt;"&amp;AD25)</f>
        <v>1</v>
      </c>
    </row>
    <row r="26">
      <c r="A26" s="5">
        <f>A25+1</f>
        <v>21</v>
      </c>
      <c r="B26" s="20">
        <f>B25+IF(WEEKDAY(B25,2)=6,2,1)</f>
        <v>46046</v>
      </c>
      <c r="C26" s="5">
        <f>MONTH(B26)</f>
        <v>1</v>
      </c>
      <c r="D26" s="5">
        <f>IF(C26&lt;&gt;C25,1,0)</f>
        <v>0</v>
      </c>
      <c r="E26" s="5">
        <f>IF(L25=1,CantPedido,0)</f>
        <v>0</v>
      </c>
      <c r="F26" s="5">
        <f>J25+E26</f>
        <v>11</v>
      </c>
      <c r="G26" s="5">
        <f>RANDBETWEEN(3,7)</f>
        <v>5</v>
      </c>
      <c r="H26" s="5">
        <f>MIN(F26,G26)</f>
        <v>5</v>
      </c>
      <c r="I26" s="5">
        <f>G26-H26</f>
        <v>0</v>
      </c>
      <c r="J26" s="5">
        <f>F26-H26</f>
        <v>6</v>
      </c>
      <c r="K26" s="5">
        <f>IF(I26&gt;0,1,0)</f>
        <v>0</v>
      </c>
      <c r="L26" s="5">
        <f>IF(J26&lt;PuntoReorden,1,0)</f>
        <v>1</v>
      </c>
      <c r="M26" s="9">
        <f>PrecioVenta*H26</f>
        <v>3400000</v>
      </c>
      <c r="N26" s="9">
        <f>CostoUnitario*E26</f>
        <v>0</v>
      </c>
      <c r="O26" s="9">
        <f>IF(E26&gt;0,CostoPedido,0)</f>
        <v>0</v>
      </c>
      <c r="P26" s="9">
        <f>CostoAlm*(F26+J26)/2</f>
        <v>680</v>
      </c>
      <c r="Q26" s="9">
        <f>CostoFijo*D26</f>
        <v>0</v>
      </c>
      <c r="R26" s="9">
        <f>M26-N26-O26-P26-Q26</f>
        <v>3399320</v>
      </c>
      <c r="S26" s="21">
        <f>PuntoReorden</f>
        <v>7</v>
      </c>
      <c r="W26" s="7" t="n">
        <v>20</v>
      </c>
      <c r="X26" s="9" t="n">
        <v>103389360</v>
      </c>
      <c r="Y26" s="27" t="n">
        <v>0</v>
      </c>
      <c r="Z26" s="27" t="n">
        <v>0</v>
      </c>
      <c r="AA26" s="12" t="n">
        <v>9</v>
      </c>
      <c r="AB26" s="21" t="n">
        <v>10</v>
      </c>
      <c r="AC26" s="9">
        <f>$AC$12+(AB26-1)*$AC$14</f>
        <v>110037860</v>
      </c>
      <c r="AD26" s="9">
        <f>AC26+$AC$14</f>
        <v>111434360</v>
      </c>
      <c r="AE26" s="8">
        <f>(AC26+AD26)/2/1000000</f>
        <v>110.73611</v>
      </c>
      <c r="AF26" s="33">
        <f>COUNTIFS($X$7:$X$106,"&gt;="&amp;AC26,$X$7:$X$106,"&lt;="&amp;AD26)</f>
        <v>3</v>
      </c>
    </row>
    <row r="27">
      <c r="A27" s="5">
        <f>A26+1</f>
        <v>22</v>
      </c>
      <c r="B27" s="20">
        <f>B26+IF(WEEKDAY(B26,2)=6,2,1)</f>
        <v>46048</v>
      </c>
      <c r="C27" s="5">
        <f>MONTH(B27)</f>
        <v>1</v>
      </c>
      <c r="D27" s="5">
        <f>IF(C27&lt;&gt;C26,1,0)</f>
        <v>0</v>
      </c>
      <c r="E27" s="5">
        <f>IF(L26=1,CantPedido,0)</f>
        <v>15</v>
      </c>
      <c r="F27" s="5">
        <f>J26+E27</f>
        <v>21</v>
      </c>
      <c r="G27" s="5">
        <f>RANDBETWEEN(3,7)</f>
        <v>5</v>
      </c>
      <c r="H27" s="5">
        <f>MIN(F27,G27)</f>
        <v>5</v>
      </c>
      <c r="I27" s="5">
        <f>G27-H27</f>
        <v>0</v>
      </c>
      <c r="J27" s="5">
        <f>F27-H27</f>
        <v>16</v>
      </c>
      <c r="K27" s="5">
        <f>IF(I27&gt;0,1,0)</f>
        <v>0</v>
      </c>
      <c r="L27" s="5">
        <f>IF(J27&lt;PuntoReorden,1,0)</f>
        <v>0</v>
      </c>
      <c r="M27" s="9">
        <f>PrecioVenta*H27</f>
        <v>3400000</v>
      </c>
      <c r="N27" s="9">
        <f>CostoUnitario*E27</f>
        <v>9000000</v>
      </c>
      <c r="O27" s="9">
        <f>IF(E27&gt;0,CostoPedido,0)</f>
        <v>40000</v>
      </c>
      <c r="P27" s="9">
        <f>CostoAlm*(F27+J27)/2</f>
        <v>1480</v>
      </c>
      <c r="Q27" s="9">
        <f>CostoFijo*D27</f>
        <v>0</v>
      </c>
      <c r="R27" s="9">
        <f>M27-N27-O27-P27-Q27</f>
        <v>-5641480</v>
      </c>
      <c r="S27" s="21">
        <f>PuntoReorden</f>
        <v>7</v>
      </c>
      <c r="W27" s="7" t="n">
        <v>21</v>
      </c>
      <c r="X27" s="9" t="n">
        <v>103790320</v>
      </c>
      <c r="Y27" s="27" t="n">
        <v>0</v>
      </c>
      <c r="Z27" s="27" t="n">
        <v>0</v>
      </c>
      <c r="AA27" s="12" t="n">
        <v>5</v>
      </c>
      <c r="AE27" s="34" t="inlineStr">
        <is>
          <t>Total</t>
        </is>
      </c>
      <c r="AF27" s="13">
        <f>SUM(AF17:AF26)</f>
        <v>100</v>
      </c>
    </row>
    <row r="28">
      <c r="A28" s="5">
        <f>A27+1</f>
        <v>23</v>
      </c>
      <c r="B28" s="20">
        <f>B27+IF(WEEKDAY(B27,2)=6,2,1)</f>
        <v>46049</v>
      </c>
      <c r="C28" s="5">
        <f>MONTH(B28)</f>
        <v>1</v>
      </c>
      <c r="D28" s="5">
        <f>IF(C28&lt;&gt;C27,1,0)</f>
        <v>0</v>
      </c>
      <c r="E28" s="5">
        <f>IF(L27=1,CantPedido,0)</f>
        <v>0</v>
      </c>
      <c r="F28" s="5">
        <f>J27+E28</f>
        <v>16</v>
      </c>
      <c r="G28" s="5">
        <f>RANDBETWEEN(3,7)</f>
        <v>7</v>
      </c>
      <c r="H28" s="5">
        <f>MIN(F28,G28)</f>
        <v>7</v>
      </c>
      <c r="I28" s="5">
        <f>G28-H28</f>
        <v>0</v>
      </c>
      <c r="J28" s="5">
        <f>F28-H28</f>
        <v>9</v>
      </c>
      <c r="K28" s="5">
        <f>IF(I28&gt;0,1,0)</f>
        <v>0</v>
      </c>
      <c r="L28" s="5">
        <f>IF(J28&lt;PuntoReorden,1,0)</f>
        <v>0</v>
      </c>
      <c r="M28" s="9">
        <f>PrecioVenta*H28</f>
        <v>4760000</v>
      </c>
      <c r="N28" s="9">
        <f>CostoUnitario*E28</f>
        <v>0</v>
      </c>
      <c r="O28" s="9">
        <f>IF(E28&gt;0,CostoPedido,0)</f>
        <v>0</v>
      </c>
      <c r="P28" s="9">
        <f>CostoAlm*(F28+J28)/2</f>
        <v>1000</v>
      </c>
      <c r="Q28" s="9">
        <f>CostoFijo*D28</f>
        <v>0</v>
      </c>
      <c r="R28" s="9">
        <f>M28-N28-O28-P28-Q28</f>
        <v>4759000</v>
      </c>
      <c r="S28" s="21">
        <f>PuntoReorden</f>
        <v>7</v>
      </c>
      <c r="W28" s="7" t="n">
        <v>22</v>
      </c>
      <c r="X28" s="9" t="n">
        <v>104753600</v>
      </c>
      <c r="Y28" s="27" t="n">
        <v>0</v>
      </c>
      <c r="Z28" s="27" t="n">
        <v>0</v>
      </c>
      <c r="AA28" s="12" t="n">
        <v>7</v>
      </c>
    </row>
    <row r="29">
      <c r="A29" s="5">
        <f>A28+1</f>
        <v>24</v>
      </c>
      <c r="B29" s="20">
        <f>B28+IF(WEEKDAY(B28,2)=6,2,1)</f>
        <v>46050</v>
      </c>
      <c r="C29" s="5">
        <f>MONTH(B29)</f>
        <v>1</v>
      </c>
      <c r="D29" s="5">
        <f>IF(C29&lt;&gt;C28,1,0)</f>
        <v>0</v>
      </c>
      <c r="E29" s="5">
        <f>IF(L28=1,CantPedido,0)</f>
        <v>0</v>
      </c>
      <c r="F29" s="5">
        <f>J28+E29</f>
        <v>9</v>
      </c>
      <c r="G29" s="5">
        <f>RANDBETWEEN(3,7)</f>
        <v>3</v>
      </c>
      <c r="H29" s="5">
        <f>MIN(F29,G29)</f>
        <v>3</v>
      </c>
      <c r="I29" s="5">
        <f>G29-H29</f>
        <v>0</v>
      </c>
      <c r="J29" s="5">
        <f>F29-H29</f>
        <v>6</v>
      </c>
      <c r="K29" s="5">
        <f>IF(I29&gt;0,1,0)</f>
        <v>0</v>
      </c>
      <c r="L29" s="5">
        <f>IF(J29&lt;PuntoReorden,1,0)</f>
        <v>1</v>
      </c>
      <c r="M29" s="9">
        <f>PrecioVenta*H29</f>
        <v>2040000</v>
      </c>
      <c r="N29" s="9">
        <f>CostoUnitario*E29</f>
        <v>0</v>
      </c>
      <c r="O29" s="9">
        <f>IF(E29&gt;0,CostoPedido,0)</f>
        <v>0</v>
      </c>
      <c r="P29" s="9">
        <f>CostoAlm*(F29+J29)/2</f>
        <v>600</v>
      </c>
      <c r="Q29" s="9">
        <f>CostoFijo*D29</f>
        <v>0</v>
      </c>
      <c r="R29" s="9">
        <f>M29-N29-O29-P29-Q29</f>
        <v>2039400</v>
      </c>
      <c r="S29" s="21">
        <f>PuntoReorden</f>
        <v>7</v>
      </c>
      <c r="W29" s="7" t="n">
        <v>23</v>
      </c>
      <c r="X29" s="9" t="n">
        <v>105429800</v>
      </c>
      <c r="Y29" s="27" t="n">
        <v>0</v>
      </c>
      <c r="Z29" s="27" t="n">
        <v>0</v>
      </c>
      <c r="AA29" s="12" t="n">
        <v>6</v>
      </c>
      <c r="AB29" s="17" t="inlineStr">
        <is>
          <t>Ganancia vs. inventario sobrante al 31/12</t>
        </is>
      </c>
    </row>
    <row r="30">
      <c r="A30" s="5">
        <f>A29+1</f>
        <v>25</v>
      </c>
      <c r="B30" s="20">
        <f>B29+IF(WEEKDAY(B29,2)=6,2,1)</f>
        <v>46051</v>
      </c>
      <c r="C30" s="5">
        <f>MONTH(B30)</f>
        <v>1</v>
      </c>
      <c r="D30" s="5">
        <f>IF(C30&lt;&gt;C29,1,0)</f>
        <v>0</v>
      </c>
      <c r="E30" s="5">
        <f>IF(L29=1,CantPedido,0)</f>
        <v>15</v>
      </c>
      <c r="F30" s="5">
        <f>J29+E30</f>
        <v>21</v>
      </c>
      <c r="G30" s="5">
        <f>RANDBETWEEN(3,7)</f>
        <v>3</v>
      </c>
      <c r="H30" s="5">
        <f>MIN(F30,G30)</f>
        <v>3</v>
      </c>
      <c r="I30" s="5">
        <f>G30-H30</f>
        <v>0</v>
      </c>
      <c r="J30" s="5">
        <f>F30-H30</f>
        <v>18</v>
      </c>
      <c r="K30" s="5">
        <f>IF(I30&gt;0,1,0)</f>
        <v>0</v>
      </c>
      <c r="L30" s="5">
        <f>IF(J30&lt;PuntoReorden,1,0)</f>
        <v>0</v>
      </c>
      <c r="M30" s="9">
        <f>PrecioVenta*H30</f>
        <v>2040000</v>
      </c>
      <c r="N30" s="9">
        <f>CostoUnitario*E30</f>
        <v>9000000</v>
      </c>
      <c r="O30" s="9">
        <f>IF(E30&gt;0,CostoPedido,0)</f>
        <v>40000</v>
      </c>
      <c r="P30" s="9">
        <f>CostoAlm*(F30+J30)/2</f>
        <v>1560</v>
      </c>
      <c r="Q30" s="9">
        <f>CostoFijo*D30</f>
        <v>0</v>
      </c>
      <c r="R30" s="9">
        <f>M30-N30-O30-P30-Q30</f>
        <v>-7001560</v>
      </c>
      <c r="S30" s="21">
        <f>PuntoReorden</f>
        <v>7</v>
      </c>
      <c r="W30" s="7" t="n">
        <v>24</v>
      </c>
      <c r="X30" s="9" t="n">
        <v>99511960</v>
      </c>
      <c r="Y30" s="27" t="n">
        <v>0</v>
      </c>
      <c r="Z30" s="27" t="n">
        <v>0</v>
      </c>
      <c r="AA30" s="12" t="n">
        <v>13</v>
      </c>
      <c r="AB30" s="18" t="inlineStr">
        <is>
          <t>Inventario final promedio (unidades)</t>
        </is>
      </c>
      <c r="AC30" s="8">
        <f>AVERAGE(AA7:AA106)</f>
        <v>9.29</v>
      </c>
    </row>
    <row r="31">
      <c r="A31" s="5">
        <f>A30+1</f>
        <v>26</v>
      </c>
      <c r="B31" s="20">
        <f>B30+IF(WEEKDAY(B30,2)=6,2,1)</f>
        <v>46052</v>
      </c>
      <c r="C31" s="5">
        <f>MONTH(B31)</f>
        <v>1</v>
      </c>
      <c r="D31" s="5">
        <f>IF(C31&lt;&gt;C30,1,0)</f>
        <v>0</v>
      </c>
      <c r="E31" s="5">
        <f>IF(L30=1,CantPedido,0)</f>
        <v>0</v>
      </c>
      <c r="F31" s="5">
        <f>J30+E31</f>
        <v>18</v>
      </c>
      <c r="G31" s="5">
        <f>RANDBETWEEN(3,7)</f>
        <v>4</v>
      </c>
      <c r="H31" s="5">
        <f>MIN(F31,G31)</f>
        <v>4</v>
      </c>
      <c r="I31" s="5">
        <f>G31-H31</f>
        <v>0</v>
      </c>
      <c r="J31" s="5">
        <f>F31-H31</f>
        <v>14</v>
      </c>
      <c r="K31" s="5">
        <f>IF(I31&gt;0,1,0)</f>
        <v>0</v>
      </c>
      <c r="L31" s="5">
        <f>IF(J31&lt;PuntoReorden,1,0)</f>
        <v>0</v>
      </c>
      <c r="M31" s="9">
        <f>PrecioVenta*H31</f>
        <v>2720000</v>
      </c>
      <c r="N31" s="9">
        <f>CostoUnitario*E31</f>
        <v>0</v>
      </c>
      <c r="O31" s="9">
        <f>IF(E31&gt;0,CostoPedido,0)</f>
        <v>0</v>
      </c>
      <c r="P31" s="9">
        <f>CostoAlm*(F31+J31)/2</f>
        <v>1280</v>
      </c>
      <c r="Q31" s="9">
        <f>CostoFijo*D31</f>
        <v>0</v>
      </c>
      <c r="R31" s="9">
        <f>M31-N31-O31-P31-Q31</f>
        <v>2718720</v>
      </c>
      <c r="S31" s="21">
        <f>PuntoReorden</f>
        <v>7</v>
      </c>
      <c r="W31" s="7" t="n">
        <v>25</v>
      </c>
      <c r="X31" s="9" t="n">
        <v>100677120</v>
      </c>
      <c r="Y31" s="27" t="n">
        <v>0</v>
      </c>
      <c r="Z31" s="27" t="n">
        <v>0</v>
      </c>
      <c r="AA31" s="12" t="n">
        <v>13</v>
      </c>
      <c r="AB31" s="18" t="inlineStr">
        <is>
          <t>Correlación ganancia – inventario final</t>
        </is>
      </c>
      <c r="AC31" s="15">
        <f>CORREL(X7:X106,AA7:AA106)</f>
        <v>-0.8152712966239323</v>
      </c>
    </row>
    <row r="32">
      <c r="A32" s="5">
        <f>A31+1</f>
        <v>27</v>
      </c>
      <c r="B32" s="20">
        <f>B31+IF(WEEKDAY(B31,2)=6,2,1)</f>
        <v>46053</v>
      </c>
      <c r="C32" s="5">
        <f>MONTH(B32)</f>
        <v>1</v>
      </c>
      <c r="D32" s="5">
        <f>IF(C32&lt;&gt;C31,1,0)</f>
        <v>0</v>
      </c>
      <c r="E32" s="5">
        <f>IF(L31=1,CantPedido,0)</f>
        <v>0</v>
      </c>
      <c r="F32" s="5">
        <f>J31+E32</f>
        <v>14</v>
      </c>
      <c r="G32" s="5">
        <f>RANDBETWEEN(3,7)</f>
        <v>4</v>
      </c>
      <c r="H32" s="5">
        <f>MIN(F32,G32)</f>
        <v>4</v>
      </c>
      <c r="I32" s="5">
        <f>G32-H32</f>
        <v>0</v>
      </c>
      <c r="J32" s="5">
        <f>F32-H32</f>
        <v>10</v>
      </c>
      <c r="K32" s="5">
        <f>IF(I32&gt;0,1,0)</f>
        <v>0</v>
      </c>
      <c r="L32" s="5">
        <f>IF(J32&lt;PuntoReorden,1,0)</f>
        <v>0</v>
      </c>
      <c r="M32" s="9">
        <f>PrecioVenta*H32</f>
        <v>2720000</v>
      </c>
      <c r="N32" s="9">
        <f>CostoUnitario*E32</f>
        <v>0</v>
      </c>
      <c r="O32" s="9">
        <f>IF(E32&gt;0,CostoPedido,0)</f>
        <v>0</v>
      </c>
      <c r="P32" s="9">
        <f>CostoAlm*(F32+J32)/2</f>
        <v>960</v>
      </c>
      <c r="Q32" s="9">
        <f>CostoFijo*D32</f>
        <v>0</v>
      </c>
      <c r="R32" s="9">
        <f>M32-N32-O32-P32-Q32</f>
        <v>2719040</v>
      </c>
      <c r="S32" s="21">
        <f>PuntoReorden</f>
        <v>7</v>
      </c>
      <c r="W32" s="7" t="n">
        <v>26</v>
      </c>
      <c r="X32" s="9" t="n">
        <v>100870840</v>
      </c>
      <c r="Y32" s="27" t="n">
        <v>0</v>
      </c>
      <c r="Z32" s="27" t="n">
        <v>0</v>
      </c>
      <c r="AA32" s="12" t="n">
        <v>11</v>
      </c>
      <c r="AB32" s="18" t="inlineStr">
        <is>
          <t>Pendiente ($ por unidad sobrante)</t>
        </is>
      </c>
      <c r="AC32" s="9">
        <f>SLOPE(X7:X106,AA7:AA106)</f>
        <v>-585718.9005519339</v>
      </c>
    </row>
    <row r="33">
      <c r="A33" s="5">
        <f>A32+1</f>
        <v>28</v>
      </c>
      <c r="B33" s="20">
        <f>B32+IF(WEEKDAY(B32,2)=6,2,1)</f>
        <v>46055</v>
      </c>
      <c r="C33" s="5">
        <f>MONTH(B33)</f>
        <v>2</v>
      </c>
      <c r="D33" s="5">
        <f>IF(C33&lt;&gt;C32,1,0)</f>
        <v>1</v>
      </c>
      <c r="E33" s="5">
        <f>IF(L32=1,CantPedido,0)</f>
        <v>0</v>
      </c>
      <c r="F33" s="5">
        <f>J32+E33</f>
        <v>10</v>
      </c>
      <c r="G33" s="5">
        <f>RANDBETWEEN(3,7)</f>
        <v>4</v>
      </c>
      <c r="H33" s="5">
        <f>MIN(F33,G33)</f>
        <v>4</v>
      </c>
      <c r="I33" s="5">
        <f>G33-H33</f>
        <v>0</v>
      </c>
      <c r="J33" s="5">
        <f>F33-H33</f>
        <v>6</v>
      </c>
      <c r="K33" s="5">
        <f>IF(I33&gt;0,1,0)</f>
        <v>0</v>
      </c>
      <c r="L33" s="5">
        <f>IF(J33&lt;PuntoReorden,1,0)</f>
        <v>1</v>
      </c>
      <c r="M33" s="9">
        <f>PrecioVenta*H33</f>
        <v>2720000</v>
      </c>
      <c r="N33" s="9">
        <f>CostoUnitario*E33</f>
        <v>0</v>
      </c>
      <c r="O33" s="9">
        <f>IF(E33&gt;0,CostoPedido,0)</f>
        <v>0</v>
      </c>
      <c r="P33" s="9">
        <f>CostoAlm*(F33+J33)/2</f>
        <v>640</v>
      </c>
      <c r="Q33" s="9">
        <f>CostoFijo*D33</f>
        <v>1000000</v>
      </c>
      <c r="R33" s="9">
        <f>M33-N33-O33-P33-Q33</f>
        <v>1719360</v>
      </c>
      <c r="S33" s="21">
        <f>PuntoReorden</f>
        <v>7</v>
      </c>
      <c r="W33" s="7" t="n">
        <v>27</v>
      </c>
      <c r="X33" s="9" t="n">
        <v>100671200</v>
      </c>
      <c r="Y33" s="27" t="n">
        <v>0</v>
      </c>
      <c r="Z33" s="27" t="n">
        <v>0</v>
      </c>
      <c r="AA33" s="12" t="n">
        <v>13</v>
      </c>
      <c r="AB33" s="18" t="inlineStr">
        <is>
          <t>R² (variabilidad explicada)</t>
        </is>
      </c>
      <c r="AC33" s="15">
        <f>AC31^2</f>
        <v>0.6646672870988678</v>
      </c>
    </row>
    <row r="34">
      <c r="A34" s="5">
        <f>A33+1</f>
        <v>29</v>
      </c>
      <c r="B34" s="20">
        <f>B33+IF(WEEKDAY(B33,2)=6,2,1)</f>
        <v>46056</v>
      </c>
      <c r="C34" s="5">
        <f>MONTH(B34)</f>
        <v>2</v>
      </c>
      <c r="D34" s="5">
        <f>IF(C34&lt;&gt;C33,1,0)</f>
        <v>0</v>
      </c>
      <c r="E34" s="5">
        <f>IF(L33=1,CantPedido,0)</f>
        <v>15</v>
      </c>
      <c r="F34" s="5">
        <f>J33+E34</f>
        <v>21</v>
      </c>
      <c r="G34" s="5">
        <f>RANDBETWEEN(3,7)</f>
        <v>7</v>
      </c>
      <c r="H34" s="5">
        <f>MIN(F34,G34)</f>
        <v>7</v>
      </c>
      <c r="I34" s="5">
        <f>G34-H34</f>
        <v>0</v>
      </c>
      <c r="J34" s="5">
        <f>F34-H34</f>
        <v>14</v>
      </c>
      <c r="K34" s="5">
        <f>IF(I34&gt;0,1,0)</f>
        <v>0</v>
      </c>
      <c r="L34" s="5">
        <f>IF(J34&lt;PuntoReorden,1,0)</f>
        <v>0</v>
      </c>
      <c r="M34" s="9">
        <f>PrecioVenta*H34</f>
        <v>4760000</v>
      </c>
      <c r="N34" s="9">
        <f>CostoUnitario*E34</f>
        <v>9000000</v>
      </c>
      <c r="O34" s="9">
        <f>IF(E34&gt;0,CostoPedido,0)</f>
        <v>40000</v>
      </c>
      <c r="P34" s="9">
        <f>CostoAlm*(F34+J34)/2</f>
        <v>1400</v>
      </c>
      <c r="Q34" s="9">
        <f>CostoFijo*D34</f>
        <v>0</v>
      </c>
      <c r="R34" s="9">
        <f>M34-N34-O34-P34-Q34</f>
        <v>-4281400</v>
      </c>
      <c r="S34" s="21">
        <f>PuntoReorden</f>
        <v>7</v>
      </c>
      <c r="W34" s="7" t="n">
        <v>28</v>
      </c>
      <c r="X34" s="9" t="n">
        <v>104356960</v>
      </c>
      <c r="Y34" s="27" t="n">
        <v>0</v>
      </c>
      <c r="Z34" s="27" t="n">
        <v>0</v>
      </c>
      <c r="AA34" s="12" t="n">
        <v>11</v>
      </c>
    </row>
    <row r="35">
      <c r="A35" s="5">
        <f>A34+1</f>
        <v>30</v>
      </c>
      <c r="B35" s="20">
        <f>B34+IF(WEEKDAY(B34,2)=6,2,1)</f>
        <v>46057</v>
      </c>
      <c r="C35" s="5">
        <f>MONTH(B35)</f>
        <v>2</v>
      </c>
      <c r="D35" s="5">
        <f>IF(C35&lt;&gt;C34,1,0)</f>
        <v>0</v>
      </c>
      <c r="E35" s="5">
        <f>IF(L34=1,CantPedido,0)</f>
        <v>0</v>
      </c>
      <c r="F35" s="5">
        <f>J34+E35</f>
        <v>14</v>
      </c>
      <c r="G35" s="5">
        <f>RANDBETWEEN(3,7)</f>
        <v>6</v>
      </c>
      <c r="H35" s="5">
        <f>MIN(F35,G35)</f>
        <v>6</v>
      </c>
      <c r="I35" s="5">
        <f>G35-H35</f>
        <v>0</v>
      </c>
      <c r="J35" s="5">
        <f>F35-H35</f>
        <v>8</v>
      </c>
      <c r="K35" s="5">
        <f>IF(I35&gt;0,1,0)</f>
        <v>0</v>
      </c>
      <c r="L35" s="5">
        <f>IF(J35&lt;PuntoReorden,1,0)</f>
        <v>0</v>
      </c>
      <c r="M35" s="9">
        <f>PrecioVenta*H35</f>
        <v>4080000</v>
      </c>
      <c r="N35" s="9">
        <f>CostoUnitario*E35</f>
        <v>0</v>
      </c>
      <c r="O35" s="9">
        <f>IF(E35&gt;0,CostoPedido,0)</f>
        <v>0</v>
      </c>
      <c r="P35" s="9">
        <f>CostoAlm*(F35+J35)/2</f>
        <v>880</v>
      </c>
      <c r="Q35" s="9">
        <f>CostoFijo*D35</f>
        <v>0</v>
      </c>
      <c r="R35" s="9">
        <f>M35-N35-O35-P35-Q35</f>
        <v>4079120</v>
      </c>
      <c r="S35" s="21">
        <f>PuntoReorden</f>
        <v>7</v>
      </c>
      <c r="W35" s="7" t="n">
        <v>29</v>
      </c>
      <c r="X35" s="9" t="n">
        <v>102431120</v>
      </c>
      <c r="Y35" s="27" t="n">
        <v>0</v>
      </c>
      <c r="Z35" s="27" t="n">
        <v>0</v>
      </c>
      <c r="AA35" s="12" t="n">
        <v>7</v>
      </c>
    </row>
    <row r="36">
      <c r="A36" s="5">
        <f>A35+1</f>
        <v>31</v>
      </c>
      <c r="B36" s="20">
        <f>B35+IF(WEEKDAY(B35,2)=6,2,1)</f>
        <v>46058</v>
      </c>
      <c r="C36" s="5">
        <f>MONTH(B36)</f>
        <v>2</v>
      </c>
      <c r="D36" s="5">
        <f>IF(C36&lt;&gt;C35,1,0)</f>
        <v>0</v>
      </c>
      <c r="E36" s="5">
        <f>IF(L35=1,CantPedido,0)</f>
        <v>0</v>
      </c>
      <c r="F36" s="5">
        <f>J35+E36</f>
        <v>8</v>
      </c>
      <c r="G36" s="5">
        <f>RANDBETWEEN(3,7)</f>
        <v>4</v>
      </c>
      <c r="H36" s="5">
        <f>MIN(F36,G36)</f>
        <v>4</v>
      </c>
      <c r="I36" s="5">
        <f>G36-H36</f>
        <v>0</v>
      </c>
      <c r="J36" s="5">
        <f>F36-H36</f>
        <v>4</v>
      </c>
      <c r="K36" s="5">
        <f>IF(I36&gt;0,1,0)</f>
        <v>0</v>
      </c>
      <c r="L36" s="5">
        <f>IF(J36&lt;PuntoReorden,1,0)</f>
        <v>1</v>
      </c>
      <c r="M36" s="9">
        <f>PrecioVenta*H36</f>
        <v>2720000</v>
      </c>
      <c r="N36" s="9">
        <f>CostoUnitario*E36</f>
        <v>0</v>
      </c>
      <c r="O36" s="9">
        <f>IF(E36&gt;0,CostoPedido,0)</f>
        <v>0</v>
      </c>
      <c r="P36" s="9">
        <f>CostoAlm*(F36+J36)/2</f>
        <v>480</v>
      </c>
      <c r="Q36" s="9">
        <f>CostoFijo*D36</f>
        <v>0</v>
      </c>
      <c r="R36" s="9">
        <f>M36-N36-O36-P36-Q36</f>
        <v>2719520</v>
      </c>
      <c r="S36" s="21">
        <f>PuntoReorden</f>
        <v>7</v>
      </c>
      <c r="W36" s="7" t="n">
        <v>30</v>
      </c>
      <c r="X36" s="9" t="n">
        <v>100190960</v>
      </c>
      <c r="Y36" s="27" t="n">
        <v>0</v>
      </c>
      <c r="Z36" s="27" t="n">
        <v>0</v>
      </c>
      <c r="AA36" s="12" t="n">
        <v>12</v>
      </c>
    </row>
    <row r="37">
      <c r="A37" s="5">
        <f>A36+1</f>
        <v>32</v>
      </c>
      <c r="B37" s="20">
        <f>B36+IF(WEEKDAY(B36,2)=6,2,1)</f>
        <v>46059</v>
      </c>
      <c r="C37" s="5">
        <f>MONTH(B37)</f>
        <v>2</v>
      </c>
      <c r="D37" s="5">
        <f>IF(C37&lt;&gt;C36,1,0)</f>
        <v>0</v>
      </c>
      <c r="E37" s="5">
        <f>IF(L36=1,CantPedido,0)</f>
        <v>15</v>
      </c>
      <c r="F37" s="5">
        <f>J36+E37</f>
        <v>19</v>
      </c>
      <c r="G37" s="5">
        <f>RANDBETWEEN(3,7)</f>
        <v>3</v>
      </c>
      <c r="H37" s="5">
        <f>MIN(F37,G37)</f>
        <v>3</v>
      </c>
      <c r="I37" s="5">
        <f>G37-H37</f>
        <v>0</v>
      </c>
      <c r="J37" s="5">
        <f>F37-H37</f>
        <v>16</v>
      </c>
      <c r="K37" s="5">
        <f>IF(I37&gt;0,1,0)</f>
        <v>0</v>
      </c>
      <c r="L37" s="5">
        <f>IF(J37&lt;PuntoReorden,1,0)</f>
        <v>0</v>
      </c>
      <c r="M37" s="9">
        <f>PrecioVenta*H37</f>
        <v>2040000</v>
      </c>
      <c r="N37" s="9">
        <f>CostoUnitario*E37</f>
        <v>9000000</v>
      </c>
      <c r="O37" s="9">
        <f>IF(E37&gt;0,CostoPedido,0)</f>
        <v>40000</v>
      </c>
      <c r="P37" s="9">
        <f>CostoAlm*(F37+J37)/2</f>
        <v>1400</v>
      </c>
      <c r="Q37" s="9">
        <f>CostoFijo*D37</f>
        <v>0</v>
      </c>
      <c r="R37" s="9">
        <f>M37-N37-O37-P37-Q37</f>
        <v>-7001400</v>
      </c>
      <c r="S37" s="21">
        <f>PuntoReorden</f>
        <v>7</v>
      </c>
      <c r="W37" s="7" t="n">
        <v>31</v>
      </c>
      <c r="X37" s="9" t="n">
        <v>100277600</v>
      </c>
      <c r="Y37" s="27" t="n">
        <v>0</v>
      </c>
      <c r="Z37" s="27" t="n">
        <v>0</v>
      </c>
      <c r="AA37" s="12" t="n">
        <v>17</v>
      </c>
    </row>
    <row r="38">
      <c r="A38" s="5">
        <f>A37+1</f>
        <v>33</v>
      </c>
      <c r="B38" s="20">
        <f>B37+IF(WEEKDAY(B37,2)=6,2,1)</f>
        <v>46060</v>
      </c>
      <c r="C38" s="5">
        <f>MONTH(B38)</f>
        <v>2</v>
      </c>
      <c r="D38" s="5">
        <f>IF(C38&lt;&gt;C37,1,0)</f>
        <v>0</v>
      </c>
      <c r="E38" s="5">
        <f>IF(L37=1,CantPedido,0)</f>
        <v>0</v>
      </c>
      <c r="F38" s="5">
        <f>J37+E38</f>
        <v>16</v>
      </c>
      <c r="G38" s="5">
        <f>RANDBETWEEN(3,7)</f>
        <v>6</v>
      </c>
      <c r="H38" s="5">
        <f>MIN(F38,G38)</f>
        <v>6</v>
      </c>
      <c r="I38" s="5">
        <f>G38-H38</f>
        <v>0</v>
      </c>
      <c r="J38" s="5">
        <f>F38-H38</f>
        <v>10</v>
      </c>
      <c r="K38" s="5">
        <f>IF(I38&gt;0,1,0)</f>
        <v>0</v>
      </c>
      <c r="L38" s="5">
        <f>IF(J38&lt;PuntoReorden,1,0)</f>
        <v>0</v>
      </c>
      <c r="M38" s="9">
        <f>PrecioVenta*H38</f>
        <v>4080000</v>
      </c>
      <c r="N38" s="9">
        <f>CostoUnitario*E38</f>
        <v>0</v>
      </c>
      <c r="O38" s="9">
        <f>IF(E38&gt;0,CostoPedido,0)</f>
        <v>0</v>
      </c>
      <c r="P38" s="9">
        <f>CostoAlm*(F38+J38)/2</f>
        <v>1040</v>
      </c>
      <c r="Q38" s="9">
        <f>CostoFijo*D38</f>
        <v>0</v>
      </c>
      <c r="R38" s="9">
        <f>M38-N38-O38-P38-Q38</f>
        <v>4078960</v>
      </c>
      <c r="S38" s="21">
        <f>PuntoReorden</f>
        <v>7</v>
      </c>
      <c r="W38" s="7" t="n">
        <v>32</v>
      </c>
      <c r="X38" s="9" t="n">
        <v>105912280</v>
      </c>
      <c r="Y38" s="27" t="n">
        <v>0</v>
      </c>
      <c r="Z38" s="27" t="n">
        <v>0</v>
      </c>
      <c r="AA38" s="12" t="n">
        <v>7</v>
      </c>
    </row>
    <row r="39">
      <c r="A39" s="5">
        <f>A38+1</f>
        <v>34</v>
      </c>
      <c r="B39" s="20">
        <f>B38+IF(WEEKDAY(B38,2)=6,2,1)</f>
        <v>46062</v>
      </c>
      <c r="C39" s="5">
        <f>MONTH(B39)</f>
        <v>2</v>
      </c>
      <c r="D39" s="5">
        <f>IF(C39&lt;&gt;C38,1,0)</f>
        <v>0</v>
      </c>
      <c r="E39" s="5">
        <f>IF(L38=1,CantPedido,0)</f>
        <v>0</v>
      </c>
      <c r="F39" s="5">
        <f>J38+E39</f>
        <v>10</v>
      </c>
      <c r="G39" s="5">
        <f>RANDBETWEEN(3,7)</f>
        <v>3</v>
      </c>
      <c r="H39" s="5">
        <f>MIN(F39,G39)</f>
        <v>3</v>
      </c>
      <c r="I39" s="5">
        <f>G39-H39</f>
        <v>0</v>
      </c>
      <c r="J39" s="5">
        <f>F39-H39</f>
        <v>7</v>
      </c>
      <c r="K39" s="5">
        <f>IF(I39&gt;0,1,0)</f>
        <v>0</v>
      </c>
      <c r="L39" s="5">
        <f>IF(J39&lt;PuntoReorden,1,0)</f>
        <v>0</v>
      </c>
      <c r="M39" s="9">
        <f>PrecioVenta*H39</f>
        <v>2040000</v>
      </c>
      <c r="N39" s="9">
        <f>CostoUnitario*E39</f>
        <v>0</v>
      </c>
      <c r="O39" s="9">
        <f>IF(E39&gt;0,CostoPedido,0)</f>
        <v>0</v>
      </c>
      <c r="P39" s="9">
        <f>CostoAlm*(F39+J39)/2</f>
        <v>680</v>
      </c>
      <c r="Q39" s="9">
        <f>CostoFijo*D39</f>
        <v>0</v>
      </c>
      <c r="R39" s="9">
        <f>M39-N39-O39-P39-Q39</f>
        <v>2039320</v>
      </c>
      <c r="S39" s="21">
        <f>PuntoReorden</f>
        <v>7</v>
      </c>
      <c r="W39" s="7" t="n">
        <v>33</v>
      </c>
      <c r="X39" s="9" t="n">
        <v>102113360</v>
      </c>
      <c r="Y39" s="27" t="n">
        <v>0</v>
      </c>
      <c r="Z39" s="27" t="n">
        <v>0</v>
      </c>
      <c r="AA39" s="12" t="n">
        <v>16</v>
      </c>
    </row>
    <row r="40">
      <c r="A40" s="5">
        <f>A39+1</f>
        <v>35</v>
      </c>
      <c r="B40" s="20">
        <f>B39+IF(WEEKDAY(B39,2)=6,2,1)</f>
        <v>46063</v>
      </c>
      <c r="C40" s="5">
        <f>MONTH(B40)</f>
        <v>2</v>
      </c>
      <c r="D40" s="5">
        <f>IF(C40&lt;&gt;C39,1,0)</f>
        <v>0</v>
      </c>
      <c r="E40" s="5">
        <f>IF(L39=1,CantPedido,0)</f>
        <v>0</v>
      </c>
      <c r="F40" s="5">
        <f>J39+E40</f>
        <v>7</v>
      </c>
      <c r="G40" s="5">
        <f>RANDBETWEEN(3,7)</f>
        <v>3</v>
      </c>
      <c r="H40" s="5">
        <f>MIN(F40,G40)</f>
        <v>3</v>
      </c>
      <c r="I40" s="5">
        <f>G40-H40</f>
        <v>0</v>
      </c>
      <c r="J40" s="5">
        <f>F40-H40</f>
        <v>4</v>
      </c>
      <c r="K40" s="5">
        <f>IF(I40&gt;0,1,0)</f>
        <v>0</v>
      </c>
      <c r="L40" s="5">
        <f>IF(J40&lt;PuntoReorden,1,0)</f>
        <v>1</v>
      </c>
      <c r="M40" s="9">
        <f>PrecioVenta*H40</f>
        <v>2040000</v>
      </c>
      <c r="N40" s="9">
        <f>CostoUnitario*E40</f>
        <v>0</v>
      </c>
      <c r="O40" s="9">
        <f>IF(E40&gt;0,CostoPedido,0)</f>
        <v>0</v>
      </c>
      <c r="P40" s="9">
        <f>CostoAlm*(F40+J40)/2</f>
        <v>440</v>
      </c>
      <c r="Q40" s="9">
        <f>CostoFijo*D40</f>
        <v>0</v>
      </c>
      <c r="R40" s="9">
        <f>M40-N40-O40-P40-Q40</f>
        <v>2039560</v>
      </c>
      <c r="S40" s="21">
        <f>PuntoReorden</f>
        <v>7</v>
      </c>
      <c r="W40" s="7" t="n">
        <v>34</v>
      </c>
      <c r="X40" s="9" t="n">
        <v>105230800</v>
      </c>
      <c r="Y40" s="27" t="n">
        <v>0</v>
      </c>
      <c r="Z40" s="27" t="n">
        <v>0</v>
      </c>
      <c r="AA40" s="12" t="n">
        <v>8</v>
      </c>
    </row>
    <row r="41">
      <c r="A41" s="5">
        <f>A40+1</f>
        <v>36</v>
      </c>
      <c r="B41" s="20">
        <f>B40+IF(WEEKDAY(B40,2)=6,2,1)</f>
        <v>46064</v>
      </c>
      <c r="C41" s="5">
        <f>MONTH(B41)</f>
        <v>2</v>
      </c>
      <c r="D41" s="5">
        <f>IF(C41&lt;&gt;C40,1,0)</f>
        <v>0</v>
      </c>
      <c r="E41" s="5">
        <f>IF(L40=1,CantPedido,0)</f>
        <v>15</v>
      </c>
      <c r="F41" s="5">
        <f>J40+E41</f>
        <v>19</v>
      </c>
      <c r="G41" s="5">
        <f>RANDBETWEEN(3,7)</f>
        <v>6</v>
      </c>
      <c r="H41" s="5">
        <f>MIN(F41,G41)</f>
        <v>6</v>
      </c>
      <c r="I41" s="5">
        <f>G41-H41</f>
        <v>0</v>
      </c>
      <c r="J41" s="5">
        <f>F41-H41</f>
        <v>13</v>
      </c>
      <c r="K41" s="5">
        <f>IF(I41&gt;0,1,0)</f>
        <v>0</v>
      </c>
      <c r="L41" s="5">
        <f>IF(J41&lt;PuntoReorden,1,0)</f>
        <v>0</v>
      </c>
      <c r="M41" s="9">
        <f>PrecioVenta*H41</f>
        <v>4080000</v>
      </c>
      <c r="N41" s="9">
        <f>CostoUnitario*E41</f>
        <v>9000000</v>
      </c>
      <c r="O41" s="9">
        <f>IF(E41&gt;0,CostoPedido,0)</f>
        <v>40000</v>
      </c>
      <c r="P41" s="9">
        <f>CostoAlm*(F41+J41)/2</f>
        <v>1280</v>
      </c>
      <c r="Q41" s="9">
        <f>CostoFijo*D41</f>
        <v>0</v>
      </c>
      <c r="R41" s="9">
        <f>M41-N41-O41-P41-Q41</f>
        <v>-4961280</v>
      </c>
      <c r="S41" s="21">
        <f>PuntoReorden</f>
        <v>7</v>
      </c>
      <c r="W41" s="7" t="n">
        <v>35</v>
      </c>
      <c r="X41" s="9" t="n">
        <v>102913200</v>
      </c>
      <c r="Y41" s="27" t="n">
        <v>0</v>
      </c>
      <c r="Z41" s="27" t="n">
        <v>0</v>
      </c>
      <c r="AA41" s="12" t="n">
        <v>8</v>
      </c>
    </row>
    <row r="42">
      <c r="A42" s="5">
        <f>A41+1</f>
        <v>37</v>
      </c>
      <c r="B42" s="20">
        <f>B41+IF(WEEKDAY(B41,2)=6,2,1)</f>
        <v>46065</v>
      </c>
      <c r="C42" s="5">
        <f>MONTH(B42)</f>
        <v>2</v>
      </c>
      <c r="D42" s="5">
        <f>IF(C42&lt;&gt;C41,1,0)</f>
        <v>0</v>
      </c>
      <c r="E42" s="5">
        <f>IF(L41=1,CantPedido,0)</f>
        <v>0</v>
      </c>
      <c r="F42" s="5">
        <f>J41+E42</f>
        <v>13</v>
      </c>
      <c r="G42" s="5">
        <f>RANDBETWEEN(3,7)</f>
        <v>4</v>
      </c>
      <c r="H42" s="5">
        <f>MIN(F42,G42)</f>
        <v>4</v>
      </c>
      <c r="I42" s="5">
        <f>G42-H42</f>
        <v>0</v>
      </c>
      <c r="J42" s="5">
        <f>F42-H42</f>
        <v>9</v>
      </c>
      <c r="K42" s="5">
        <f>IF(I42&gt;0,1,0)</f>
        <v>0</v>
      </c>
      <c r="L42" s="5">
        <f>IF(J42&lt;PuntoReorden,1,0)</f>
        <v>0</v>
      </c>
      <c r="M42" s="9">
        <f>PrecioVenta*H42</f>
        <v>2720000</v>
      </c>
      <c r="N42" s="9">
        <f>CostoUnitario*E42</f>
        <v>0</v>
      </c>
      <c r="O42" s="9">
        <f>IF(E42&gt;0,CostoPedido,0)</f>
        <v>0</v>
      </c>
      <c r="P42" s="9">
        <f>CostoAlm*(F42+J42)/2</f>
        <v>880</v>
      </c>
      <c r="Q42" s="9">
        <f>CostoFijo*D42</f>
        <v>0</v>
      </c>
      <c r="R42" s="9">
        <f>M42-N42-O42-P42-Q42</f>
        <v>2719120</v>
      </c>
      <c r="S42" s="21">
        <f>PuntoReorden</f>
        <v>7</v>
      </c>
      <c r="W42" s="7" t="n">
        <v>36</v>
      </c>
      <c r="X42" s="9" t="n">
        <v>102714520</v>
      </c>
      <c r="Y42" s="27" t="n">
        <v>0</v>
      </c>
      <c r="Z42" s="27" t="n">
        <v>0</v>
      </c>
      <c r="AA42" s="12" t="n">
        <v>10</v>
      </c>
    </row>
    <row r="43">
      <c r="A43" s="5">
        <f>A42+1</f>
        <v>38</v>
      </c>
      <c r="B43" s="20">
        <f>B42+IF(WEEKDAY(B42,2)=6,2,1)</f>
        <v>46066</v>
      </c>
      <c r="C43" s="5">
        <f>MONTH(B43)</f>
        <v>2</v>
      </c>
      <c r="D43" s="5">
        <f>IF(C43&lt;&gt;C42,1,0)</f>
        <v>0</v>
      </c>
      <c r="E43" s="5">
        <f>IF(L42=1,CantPedido,0)</f>
        <v>0</v>
      </c>
      <c r="F43" s="5">
        <f>J42+E43</f>
        <v>9</v>
      </c>
      <c r="G43" s="5">
        <f>RANDBETWEEN(3,7)</f>
        <v>4</v>
      </c>
      <c r="H43" s="5">
        <f>MIN(F43,G43)</f>
        <v>4</v>
      </c>
      <c r="I43" s="5">
        <f>G43-H43</f>
        <v>0</v>
      </c>
      <c r="J43" s="5">
        <f>F43-H43</f>
        <v>5</v>
      </c>
      <c r="K43" s="5">
        <f>IF(I43&gt;0,1,0)</f>
        <v>0</v>
      </c>
      <c r="L43" s="5">
        <f>IF(J43&lt;PuntoReorden,1,0)</f>
        <v>1</v>
      </c>
      <c r="M43" s="9">
        <f>PrecioVenta*H43</f>
        <v>2720000</v>
      </c>
      <c r="N43" s="9">
        <f>CostoUnitario*E43</f>
        <v>0</v>
      </c>
      <c r="O43" s="9">
        <f>IF(E43&gt;0,CostoPedido,0)</f>
        <v>0</v>
      </c>
      <c r="P43" s="9">
        <f>CostoAlm*(F43+J43)/2</f>
        <v>560</v>
      </c>
      <c r="Q43" s="9">
        <f>CostoFijo*D43</f>
        <v>0</v>
      </c>
      <c r="R43" s="9">
        <f>M43-N43-O43-P43-Q43</f>
        <v>2719440</v>
      </c>
      <c r="S43" s="21">
        <f>PuntoReorden</f>
        <v>7</v>
      </c>
      <c r="W43" s="7" t="n">
        <v>37</v>
      </c>
      <c r="X43" s="9" t="n">
        <v>110671840</v>
      </c>
      <c r="Y43" s="27" t="n">
        <v>0</v>
      </c>
      <c r="Z43" s="27" t="n">
        <v>0</v>
      </c>
      <c r="AA43" s="12" t="n">
        <v>0</v>
      </c>
    </row>
    <row r="44">
      <c r="A44" s="5">
        <f>A43+1</f>
        <v>39</v>
      </c>
      <c r="B44" s="20">
        <f>B43+IF(WEEKDAY(B43,2)=6,2,1)</f>
        <v>46067</v>
      </c>
      <c r="C44" s="5">
        <f>MONTH(B44)</f>
        <v>2</v>
      </c>
      <c r="D44" s="5">
        <f>IF(C44&lt;&gt;C43,1,0)</f>
        <v>0</v>
      </c>
      <c r="E44" s="5">
        <f>IF(L43=1,CantPedido,0)</f>
        <v>15</v>
      </c>
      <c r="F44" s="5">
        <f>J43+E44</f>
        <v>20</v>
      </c>
      <c r="G44" s="5">
        <f>RANDBETWEEN(3,7)</f>
        <v>6</v>
      </c>
      <c r="H44" s="5">
        <f>MIN(F44,G44)</f>
        <v>6</v>
      </c>
      <c r="I44" s="5">
        <f>G44-H44</f>
        <v>0</v>
      </c>
      <c r="J44" s="5">
        <f>F44-H44</f>
        <v>14</v>
      </c>
      <c r="K44" s="5">
        <f>IF(I44&gt;0,1,0)</f>
        <v>0</v>
      </c>
      <c r="L44" s="5">
        <f>IF(J44&lt;PuntoReorden,1,0)</f>
        <v>0</v>
      </c>
      <c r="M44" s="9">
        <f>PrecioVenta*H44</f>
        <v>4080000</v>
      </c>
      <c r="N44" s="9">
        <f>CostoUnitario*E44</f>
        <v>9000000</v>
      </c>
      <c r="O44" s="9">
        <f>IF(E44&gt;0,CostoPedido,0)</f>
        <v>40000</v>
      </c>
      <c r="P44" s="9">
        <f>CostoAlm*(F44+J44)/2</f>
        <v>1360</v>
      </c>
      <c r="Q44" s="9">
        <f>CostoFijo*D44</f>
        <v>0</v>
      </c>
      <c r="R44" s="9">
        <f>M44-N44-O44-P44-Q44</f>
        <v>-4961360</v>
      </c>
      <c r="S44" s="21">
        <f>PuntoReorden</f>
        <v>7</v>
      </c>
      <c r="W44" s="7" t="n">
        <v>38</v>
      </c>
      <c r="X44" s="9" t="n">
        <v>99510920</v>
      </c>
      <c r="Y44" s="27" t="n">
        <v>0</v>
      </c>
      <c r="Z44" s="27" t="n">
        <v>0</v>
      </c>
      <c r="AA44" s="12" t="n">
        <v>13</v>
      </c>
    </row>
    <row r="45">
      <c r="A45" s="5">
        <f>A44+1</f>
        <v>40</v>
      </c>
      <c r="B45" s="20">
        <f>B44+IF(WEEKDAY(B44,2)=6,2,1)</f>
        <v>46069</v>
      </c>
      <c r="C45" s="5">
        <f>MONTH(B45)</f>
        <v>2</v>
      </c>
      <c r="D45" s="5">
        <f>IF(C45&lt;&gt;C44,1,0)</f>
        <v>0</v>
      </c>
      <c r="E45" s="5">
        <f>IF(L44=1,CantPedido,0)</f>
        <v>0</v>
      </c>
      <c r="F45" s="5">
        <f>J44+E45</f>
        <v>14</v>
      </c>
      <c r="G45" s="5">
        <f>RANDBETWEEN(3,7)</f>
        <v>3</v>
      </c>
      <c r="H45" s="5">
        <f>MIN(F45,G45)</f>
        <v>3</v>
      </c>
      <c r="I45" s="5">
        <f>G45-H45</f>
        <v>0</v>
      </c>
      <c r="J45" s="5">
        <f>F45-H45</f>
        <v>11</v>
      </c>
      <c r="K45" s="5">
        <f>IF(I45&gt;0,1,0)</f>
        <v>0</v>
      </c>
      <c r="L45" s="5">
        <f>IF(J45&lt;PuntoReorden,1,0)</f>
        <v>0</v>
      </c>
      <c r="M45" s="9">
        <f>PrecioVenta*H45</f>
        <v>2040000</v>
      </c>
      <c r="N45" s="9">
        <f>CostoUnitario*E45</f>
        <v>0</v>
      </c>
      <c r="O45" s="9">
        <f>IF(E45&gt;0,CostoPedido,0)</f>
        <v>0</v>
      </c>
      <c r="P45" s="9">
        <f>CostoAlm*(F45+J45)/2</f>
        <v>1000</v>
      </c>
      <c r="Q45" s="9">
        <f>CostoFijo*D45</f>
        <v>0</v>
      </c>
      <c r="R45" s="9">
        <f>M45-N45-O45-P45-Q45</f>
        <v>2039000</v>
      </c>
      <c r="S45" s="21">
        <f>PuntoReorden</f>
        <v>7</v>
      </c>
      <c r="W45" s="7" t="n">
        <v>39</v>
      </c>
      <c r="X45" s="9" t="n">
        <v>98074040</v>
      </c>
      <c r="Y45" s="27" t="n">
        <v>0</v>
      </c>
      <c r="Z45" s="27" t="n">
        <v>0</v>
      </c>
      <c r="AA45" s="12" t="n">
        <v>10</v>
      </c>
    </row>
    <row r="46">
      <c r="A46" s="5">
        <f>A45+1</f>
        <v>41</v>
      </c>
      <c r="B46" s="20">
        <f>B45+IF(WEEKDAY(B45,2)=6,2,1)</f>
        <v>46070</v>
      </c>
      <c r="C46" s="5">
        <f>MONTH(B46)</f>
        <v>2</v>
      </c>
      <c r="D46" s="5">
        <f>IF(C46&lt;&gt;C45,1,0)</f>
        <v>0</v>
      </c>
      <c r="E46" s="5">
        <f>IF(L45=1,CantPedido,0)</f>
        <v>0</v>
      </c>
      <c r="F46" s="5">
        <f>J45+E46</f>
        <v>11</v>
      </c>
      <c r="G46" s="5">
        <f>RANDBETWEEN(3,7)</f>
        <v>6</v>
      </c>
      <c r="H46" s="5">
        <f>MIN(F46,G46)</f>
        <v>6</v>
      </c>
      <c r="I46" s="5">
        <f>G46-H46</f>
        <v>0</v>
      </c>
      <c r="J46" s="5">
        <f>F46-H46</f>
        <v>5</v>
      </c>
      <c r="K46" s="5">
        <f>IF(I46&gt;0,1,0)</f>
        <v>0</v>
      </c>
      <c r="L46" s="5">
        <f>IF(J46&lt;PuntoReorden,1,0)</f>
        <v>1</v>
      </c>
      <c r="M46" s="9">
        <f>PrecioVenta*H46</f>
        <v>4080000</v>
      </c>
      <c r="N46" s="9">
        <f>CostoUnitario*E46</f>
        <v>0</v>
      </c>
      <c r="O46" s="9">
        <f>IF(E46&gt;0,CostoPedido,0)</f>
        <v>0</v>
      </c>
      <c r="P46" s="9">
        <f>CostoAlm*(F46+J46)/2</f>
        <v>640</v>
      </c>
      <c r="Q46" s="9">
        <f>CostoFijo*D46</f>
        <v>0</v>
      </c>
      <c r="R46" s="9">
        <f>M46-N46-O46-P46-Q46</f>
        <v>4079360</v>
      </c>
      <c r="S46" s="21">
        <f>PuntoReorden</f>
        <v>7</v>
      </c>
      <c r="W46" s="7" t="n">
        <v>40</v>
      </c>
      <c r="X46" s="9" t="n">
        <v>105432200</v>
      </c>
      <c r="Y46" s="27" t="n">
        <v>0</v>
      </c>
      <c r="Z46" s="27" t="n">
        <v>0</v>
      </c>
      <c r="AA46" s="12" t="n">
        <v>6</v>
      </c>
    </row>
    <row r="47">
      <c r="A47" s="5">
        <f>A46+1</f>
        <v>42</v>
      </c>
      <c r="B47" s="20">
        <f>B46+IF(WEEKDAY(B46,2)=6,2,1)</f>
        <v>46071</v>
      </c>
      <c r="C47" s="5">
        <f>MONTH(B47)</f>
        <v>2</v>
      </c>
      <c r="D47" s="5">
        <f>IF(C47&lt;&gt;C46,1,0)</f>
        <v>0</v>
      </c>
      <c r="E47" s="5">
        <f>IF(L46=1,CantPedido,0)</f>
        <v>15</v>
      </c>
      <c r="F47" s="5">
        <f>J46+E47</f>
        <v>20</v>
      </c>
      <c r="G47" s="5">
        <f>RANDBETWEEN(3,7)</f>
        <v>5</v>
      </c>
      <c r="H47" s="5">
        <f>MIN(F47,G47)</f>
        <v>5</v>
      </c>
      <c r="I47" s="5">
        <f>G47-H47</f>
        <v>0</v>
      </c>
      <c r="J47" s="5">
        <f>F47-H47</f>
        <v>15</v>
      </c>
      <c r="K47" s="5">
        <f>IF(I47&gt;0,1,0)</f>
        <v>0</v>
      </c>
      <c r="L47" s="5">
        <f>IF(J47&lt;PuntoReorden,1,0)</f>
        <v>0</v>
      </c>
      <c r="M47" s="9">
        <f>PrecioVenta*H47</f>
        <v>3400000</v>
      </c>
      <c r="N47" s="9">
        <f>CostoUnitario*E47</f>
        <v>9000000</v>
      </c>
      <c r="O47" s="9">
        <f>IF(E47&gt;0,CostoPedido,0)</f>
        <v>40000</v>
      </c>
      <c r="P47" s="9">
        <f>CostoAlm*(F47+J47)/2</f>
        <v>1400</v>
      </c>
      <c r="Q47" s="9">
        <f>CostoFijo*D47</f>
        <v>0</v>
      </c>
      <c r="R47" s="9">
        <f>M47-N47-O47-P47-Q47</f>
        <v>-5641400</v>
      </c>
      <c r="S47" s="21">
        <f>PuntoReorden</f>
        <v>7</v>
      </c>
      <c r="W47" s="7" t="n">
        <v>41</v>
      </c>
      <c r="X47" s="9" t="n">
        <v>105638240</v>
      </c>
      <c r="Y47" s="27" t="n">
        <v>0</v>
      </c>
      <c r="Z47" s="27" t="n">
        <v>0</v>
      </c>
      <c r="AA47" s="12" t="n">
        <v>4</v>
      </c>
    </row>
    <row r="48">
      <c r="A48" s="5">
        <f>A47+1</f>
        <v>43</v>
      </c>
      <c r="B48" s="20">
        <f>B47+IF(WEEKDAY(B47,2)=6,2,1)</f>
        <v>46072</v>
      </c>
      <c r="C48" s="5">
        <f>MONTH(B48)</f>
        <v>2</v>
      </c>
      <c r="D48" s="5">
        <f>IF(C48&lt;&gt;C47,1,0)</f>
        <v>0</v>
      </c>
      <c r="E48" s="5">
        <f>IF(L47=1,CantPedido,0)</f>
        <v>0</v>
      </c>
      <c r="F48" s="5">
        <f>J47+E48</f>
        <v>15</v>
      </c>
      <c r="G48" s="5">
        <f>RANDBETWEEN(3,7)</f>
        <v>4</v>
      </c>
      <c r="H48" s="5">
        <f>MIN(F48,G48)</f>
        <v>4</v>
      </c>
      <c r="I48" s="5">
        <f>G48-H48</f>
        <v>0</v>
      </c>
      <c r="J48" s="5">
        <f>F48-H48</f>
        <v>11</v>
      </c>
      <c r="K48" s="5">
        <f>IF(I48&gt;0,1,0)</f>
        <v>0</v>
      </c>
      <c r="L48" s="5">
        <f>IF(J48&lt;PuntoReorden,1,0)</f>
        <v>0</v>
      </c>
      <c r="M48" s="9">
        <f>PrecioVenta*H48</f>
        <v>2720000</v>
      </c>
      <c r="N48" s="9">
        <f>CostoUnitario*E48</f>
        <v>0</v>
      </c>
      <c r="O48" s="9">
        <f>IF(E48&gt;0,CostoPedido,0)</f>
        <v>0</v>
      </c>
      <c r="P48" s="9">
        <f>CostoAlm*(F48+J48)/2</f>
        <v>1040</v>
      </c>
      <c r="Q48" s="9">
        <f>CostoFijo*D48</f>
        <v>0</v>
      </c>
      <c r="R48" s="9">
        <f>M48-N48-O48-P48-Q48</f>
        <v>2718960</v>
      </c>
      <c r="S48" s="21">
        <f>PuntoReorden</f>
        <v>7</v>
      </c>
      <c r="W48" s="7" t="n">
        <v>42</v>
      </c>
      <c r="X48" s="9" t="n">
        <v>106994480</v>
      </c>
      <c r="Y48" s="27" t="n">
        <v>0</v>
      </c>
      <c r="Z48" s="27" t="n">
        <v>0</v>
      </c>
      <c r="AA48" s="12" t="n">
        <v>2</v>
      </c>
    </row>
    <row r="49">
      <c r="A49" s="5">
        <f>A48+1</f>
        <v>44</v>
      </c>
      <c r="B49" s="20">
        <f>B48+IF(WEEKDAY(B48,2)=6,2,1)</f>
        <v>46073</v>
      </c>
      <c r="C49" s="5">
        <f>MONTH(B49)</f>
        <v>2</v>
      </c>
      <c r="D49" s="5">
        <f>IF(C49&lt;&gt;C48,1,0)</f>
        <v>0</v>
      </c>
      <c r="E49" s="5">
        <f>IF(L48=1,CantPedido,0)</f>
        <v>0</v>
      </c>
      <c r="F49" s="5">
        <f>J48+E49</f>
        <v>11</v>
      </c>
      <c r="G49" s="5">
        <f>RANDBETWEEN(3,7)</f>
        <v>6</v>
      </c>
      <c r="H49" s="5">
        <f>MIN(F49,G49)</f>
        <v>6</v>
      </c>
      <c r="I49" s="5">
        <f>G49-H49</f>
        <v>0</v>
      </c>
      <c r="J49" s="5">
        <f>F49-H49</f>
        <v>5</v>
      </c>
      <c r="K49" s="5">
        <f>IF(I49&gt;0,1,0)</f>
        <v>0</v>
      </c>
      <c r="L49" s="5">
        <f>IF(J49&lt;PuntoReorden,1,0)</f>
        <v>1</v>
      </c>
      <c r="M49" s="9">
        <f>PrecioVenta*H49</f>
        <v>4080000</v>
      </c>
      <c r="N49" s="9">
        <f>CostoUnitario*E49</f>
        <v>0</v>
      </c>
      <c r="O49" s="9">
        <f>IF(E49&gt;0,CostoPedido,0)</f>
        <v>0</v>
      </c>
      <c r="P49" s="9">
        <f>CostoAlm*(F49+J49)/2</f>
        <v>640</v>
      </c>
      <c r="Q49" s="9">
        <f>CostoFijo*D49</f>
        <v>0</v>
      </c>
      <c r="R49" s="9">
        <f>M49-N49-O49-P49-Q49</f>
        <v>4079360</v>
      </c>
      <c r="S49" s="21">
        <f>PuntoReorden</f>
        <v>7</v>
      </c>
      <c r="W49" s="7" t="n">
        <v>43</v>
      </c>
      <c r="X49" s="9" t="n">
        <v>100310360</v>
      </c>
      <c r="Y49" s="27" t="n">
        <v>0</v>
      </c>
      <c r="Z49" s="27" t="n">
        <v>0</v>
      </c>
      <c r="AA49" s="12" t="n">
        <v>5</v>
      </c>
    </row>
    <row r="50">
      <c r="A50" s="5">
        <f>A49+1</f>
        <v>45</v>
      </c>
      <c r="B50" s="20">
        <f>B49+IF(WEEKDAY(B49,2)=6,2,1)</f>
        <v>46074</v>
      </c>
      <c r="C50" s="5">
        <f>MONTH(B50)</f>
        <v>2</v>
      </c>
      <c r="D50" s="5">
        <f>IF(C50&lt;&gt;C49,1,0)</f>
        <v>0</v>
      </c>
      <c r="E50" s="5">
        <f>IF(L49=1,CantPedido,0)</f>
        <v>15</v>
      </c>
      <c r="F50" s="5">
        <f>J49+E50</f>
        <v>20</v>
      </c>
      <c r="G50" s="5">
        <f>RANDBETWEEN(3,7)</f>
        <v>5</v>
      </c>
      <c r="H50" s="5">
        <f>MIN(F50,G50)</f>
        <v>5</v>
      </c>
      <c r="I50" s="5">
        <f>G50-H50</f>
        <v>0</v>
      </c>
      <c r="J50" s="5">
        <f>F50-H50</f>
        <v>15</v>
      </c>
      <c r="K50" s="5">
        <f>IF(I50&gt;0,1,0)</f>
        <v>0</v>
      </c>
      <c r="L50" s="5">
        <f>IF(J50&lt;PuntoReorden,1,0)</f>
        <v>0</v>
      </c>
      <c r="M50" s="9">
        <f>PrecioVenta*H50</f>
        <v>3400000</v>
      </c>
      <c r="N50" s="9">
        <f>CostoUnitario*E50</f>
        <v>9000000</v>
      </c>
      <c r="O50" s="9">
        <f>IF(E50&gt;0,CostoPedido,0)</f>
        <v>40000</v>
      </c>
      <c r="P50" s="9">
        <f>CostoAlm*(F50+J50)/2</f>
        <v>1400</v>
      </c>
      <c r="Q50" s="9">
        <f>CostoFijo*D50</f>
        <v>0</v>
      </c>
      <c r="R50" s="9">
        <f>M50-N50-O50-P50-Q50</f>
        <v>-5641400</v>
      </c>
      <c r="S50" s="21">
        <f>PuntoReorden</f>
        <v>7</v>
      </c>
      <c r="W50" s="7" t="n">
        <v>44</v>
      </c>
      <c r="X50" s="9" t="n">
        <v>99312000</v>
      </c>
      <c r="Y50" s="27" t="n">
        <v>0</v>
      </c>
      <c r="Z50" s="27" t="n">
        <v>0</v>
      </c>
      <c r="AA50" s="12" t="n">
        <v>15</v>
      </c>
    </row>
    <row r="51">
      <c r="A51" s="5">
        <f>A50+1</f>
        <v>46</v>
      </c>
      <c r="B51" s="20">
        <f>B50+IF(WEEKDAY(B50,2)=6,2,1)</f>
        <v>46076</v>
      </c>
      <c r="C51" s="5">
        <f>MONTH(B51)</f>
        <v>2</v>
      </c>
      <c r="D51" s="5">
        <f>IF(C51&lt;&gt;C50,1,0)</f>
        <v>0</v>
      </c>
      <c r="E51" s="5">
        <f>IF(L50=1,CantPedido,0)</f>
        <v>0</v>
      </c>
      <c r="F51" s="5">
        <f>J50+E51</f>
        <v>15</v>
      </c>
      <c r="G51" s="5">
        <f>RANDBETWEEN(3,7)</f>
        <v>7</v>
      </c>
      <c r="H51" s="5">
        <f>MIN(F51,G51)</f>
        <v>7</v>
      </c>
      <c r="I51" s="5">
        <f>G51-H51</f>
        <v>0</v>
      </c>
      <c r="J51" s="5">
        <f>F51-H51</f>
        <v>8</v>
      </c>
      <c r="K51" s="5">
        <f>IF(I51&gt;0,1,0)</f>
        <v>0</v>
      </c>
      <c r="L51" s="5">
        <f>IF(J51&lt;PuntoReorden,1,0)</f>
        <v>0</v>
      </c>
      <c r="M51" s="9">
        <f>PrecioVenta*H51</f>
        <v>4760000</v>
      </c>
      <c r="N51" s="9">
        <f>CostoUnitario*E51</f>
        <v>0</v>
      </c>
      <c r="O51" s="9">
        <f>IF(E51&gt;0,CostoPedido,0)</f>
        <v>0</v>
      </c>
      <c r="P51" s="9">
        <f>CostoAlm*(F51+J51)/2</f>
        <v>920</v>
      </c>
      <c r="Q51" s="9">
        <f>CostoFijo*D51</f>
        <v>0</v>
      </c>
      <c r="R51" s="9">
        <f>M51-N51-O51-P51-Q51</f>
        <v>4759080</v>
      </c>
      <c r="S51" s="21">
        <f>PuntoReorden</f>
        <v>7</v>
      </c>
      <c r="W51" s="7" t="n">
        <v>45</v>
      </c>
      <c r="X51" s="9" t="n">
        <v>106114080</v>
      </c>
      <c r="Y51" s="27" t="n">
        <v>0</v>
      </c>
      <c r="Z51" s="27" t="n">
        <v>0</v>
      </c>
      <c r="AA51" s="12" t="n">
        <v>5</v>
      </c>
    </row>
    <row r="52">
      <c r="A52" s="5">
        <f>A51+1</f>
        <v>47</v>
      </c>
      <c r="B52" s="20">
        <f>B51+IF(WEEKDAY(B51,2)=6,2,1)</f>
        <v>46077</v>
      </c>
      <c r="C52" s="5">
        <f>MONTH(B52)</f>
        <v>2</v>
      </c>
      <c r="D52" s="5">
        <f>IF(C52&lt;&gt;C51,1,0)</f>
        <v>0</v>
      </c>
      <c r="E52" s="5">
        <f>IF(L51=1,CantPedido,0)</f>
        <v>0</v>
      </c>
      <c r="F52" s="5">
        <f>J51+E52</f>
        <v>8</v>
      </c>
      <c r="G52" s="5">
        <f>RANDBETWEEN(3,7)</f>
        <v>6</v>
      </c>
      <c r="H52" s="5">
        <f>MIN(F52,G52)</f>
        <v>6</v>
      </c>
      <c r="I52" s="5">
        <f>G52-H52</f>
        <v>0</v>
      </c>
      <c r="J52" s="5">
        <f>F52-H52</f>
        <v>2</v>
      </c>
      <c r="K52" s="5">
        <f>IF(I52&gt;0,1,0)</f>
        <v>0</v>
      </c>
      <c r="L52" s="5">
        <f>IF(J52&lt;PuntoReorden,1,0)</f>
        <v>1</v>
      </c>
      <c r="M52" s="9">
        <f>PrecioVenta*H52</f>
        <v>4080000</v>
      </c>
      <c r="N52" s="9">
        <f>CostoUnitario*E52</f>
        <v>0</v>
      </c>
      <c r="O52" s="9">
        <f>IF(E52&gt;0,CostoPedido,0)</f>
        <v>0</v>
      </c>
      <c r="P52" s="9">
        <f>CostoAlm*(F52+J52)/2</f>
        <v>400</v>
      </c>
      <c r="Q52" s="9">
        <f>CostoFijo*D52</f>
        <v>0</v>
      </c>
      <c r="R52" s="9">
        <f>M52-N52-O52-P52-Q52</f>
        <v>4079600</v>
      </c>
      <c r="S52" s="21">
        <f>PuntoReorden</f>
        <v>7</v>
      </c>
      <c r="W52" s="7" t="n">
        <v>46</v>
      </c>
      <c r="X52" s="9" t="n">
        <v>100466440</v>
      </c>
      <c r="Y52" s="27" t="n">
        <v>0</v>
      </c>
      <c r="Z52" s="27" t="n">
        <v>0</v>
      </c>
      <c r="AA52" s="12" t="n">
        <v>15</v>
      </c>
    </row>
    <row r="53">
      <c r="A53" s="5">
        <f>A52+1</f>
        <v>48</v>
      </c>
      <c r="B53" s="20">
        <f>B52+IF(WEEKDAY(B52,2)=6,2,1)</f>
        <v>46078</v>
      </c>
      <c r="C53" s="5">
        <f>MONTH(B53)</f>
        <v>2</v>
      </c>
      <c r="D53" s="5">
        <f>IF(C53&lt;&gt;C52,1,0)</f>
        <v>0</v>
      </c>
      <c r="E53" s="5">
        <f>IF(L52=1,CantPedido,0)</f>
        <v>15</v>
      </c>
      <c r="F53" s="5">
        <f>J52+E53</f>
        <v>17</v>
      </c>
      <c r="G53" s="5">
        <f>RANDBETWEEN(3,7)</f>
        <v>4</v>
      </c>
      <c r="H53" s="5">
        <f>MIN(F53,G53)</f>
        <v>4</v>
      </c>
      <c r="I53" s="5">
        <f>G53-H53</f>
        <v>0</v>
      </c>
      <c r="J53" s="5">
        <f>F53-H53</f>
        <v>13</v>
      </c>
      <c r="K53" s="5">
        <f>IF(I53&gt;0,1,0)</f>
        <v>0</v>
      </c>
      <c r="L53" s="5">
        <f>IF(J53&lt;PuntoReorden,1,0)</f>
        <v>0</v>
      </c>
      <c r="M53" s="9">
        <f>PrecioVenta*H53</f>
        <v>2720000</v>
      </c>
      <c r="N53" s="9">
        <f>CostoUnitario*E53</f>
        <v>9000000</v>
      </c>
      <c r="O53" s="9">
        <f>IF(E53&gt;0,CostoPedido,0)</f>
        <v>40000</v>
      </c>
      <c r="P53" s="9">
        <f>CostoAlm*(F53+J53)/2</f>
        <v>1200</v>
      </c>
      <c r="Q53" s="9">
        <f>CostoFijo*D53</f>
        <v>0</v>
      </c>
      <c r="R53" s="9">
        <f>M53-N53-O53-P53-Q53</f>
        <v>-6321200</v>
      </c>
      <c r="S53" s="21">
        <f>PuntoReorden</f>
        <v>7</v>
      </c>
      <c r="W53" s="7" t="n">
        <v>47</v>
      </c>
      <c r="X53" s="9" t="n">
        <v>102317800</v>
      </c>
      <c r="Y53" s="27" t="n">
        <v>0</v>
      </c>
      <c r="Z53" s="27" t="n">
        <v>0</v>
      </c>
      <c r="AA53" s="12" t="n">
        <v>14</v>
      </c>
    </row>
    <row r="54">
      <c r="A54" s="5">
        <f>A53+1</f>
        <v>49</v>
      </c>
      <c r="B54" s="20">
        <f>B53+IF(WEEKDAY(B53,2)=6,2,1)</f>
        <v>46079</v>
      </c>
      <c r="C54" s="5">
        <f>MONTH(B54)</f>
        <v>2</v>
      </c>
      <c r="D54" s="5">
        <f>IF(C54&lt;&gt;C53,1,0)</f>
        <v>0</v>
      </c>
      <c r="E54" s="5">
        <f>IF(L53=1,CantPedido,0)</f>
        <v>0</v>
      </c>
      <c r="F54" s="5">
        <f>J53+E54</f>
        <v>13</v>
      </c>
      <c r="G54" s="5">
        <f>RANDBETWEEN(3,7)</f>
        <v>4</v>
      </c>
      <c r="H54" s="5">
        <f>MIN(F54,G54)</f>
        <v>4</v>
      </c>
      <c r="I54" s="5">
        <f>G54-H54</f>
        <v>0</v>
      </c>
      <c r="J54" s="5">
        <f>F54-H54</f>
        <v>9</v>
      </c>
      <c r="K54" s="5">
        <f>IF(I54&gt;0,1,0)</f>
        <v>0</v>
      </c>
      <c r="L54" s="5">
        <f>IF(J54&lt;PuntoReorden,1,0)</f>
        <v>0</v>
      </c>
      <c r="M54" s="9">
        <f>PrecioVenta*H54</f>
        <v>2720000</v>
      </c>
      <c r="N54" s="9">
        <f>CostoUnitario*E54</f>
        <v>0</v>
      </c>
      <c r="O54" s="9">
        <f>IF(E54&gt;0,CostoPedido,0)</f>
        <v>0</v>
      </c>
      <c r="P54" s="9">
        <f>CostoAlm*(F54+J54)/2</f>
        <v>880</v>
      </c>
      <c r="Q54" s="9">
        <f>CostoFijo*D54</f>
        <v>0</v>
      </c>
      <c r="R54" s="9">
        <f>M54-N54-O54-P54-Q54</f>
        <v>2719120</v>
      </c>
      <c r="S54" s="21">
        <f>PuntoReorden</f>
        <v>7</v>
      </c>
      <c r="W54" s="7" t="n">
        <v>48</v>
      </c>
      <c r="X54" s="9" t="n">
        <v>99718800</v>
      </c>
      <c r="Y54" s="27" t="n">
        <v>0</v>
      </c>
      <c r="Z54" s="27" t="n">
        <v>0</v>
      </c>
      <c r="AA54" s="12" t="n">
        <v>11</v>
      </c>
    </row>
    <row r="55">
      <c r="A55" s="5">
        <f>A54+1</f>
        <v>50</v>
      </c>
      <c r="B55" s="20">
        <f>B54+IF(WEEKDAY(B54,2)=6,2,1)</f>
        <v>46080</v>
      </c>
      <c r="C55" s="5">
        <f>MONTH(B55)</f>
        <v>2</v>
      </c>
      <c r="D55" s="5">
        <f>IF(C55&lt;&gt;C54,1,0)</f>
        <v>0</v>
      </c>
      <c r="E55" s="5">
        <f>IF(L54=1,CantPedido,0)</f>
        <v>0</v>
      </c>
      <c r="F55" s="5">
        <f>J54+E55</f>
        <v>9</v>
      </c>
      <c r="G55" s="5">
        <f>RANDBETWEEN(3,7)</f>
        <v>3</v>
      </c>
      <c r="H55" s="5">
        <f>MIN(F55,G55)</f>
        <v>3</v>
      </c>
      <c r="I55" s="5">
        <f>G55-H55</f>
        <v>0</v>
      </c>
      <c r="J55" s="5">
        <f>F55-H55</f>
        <v>6</v>
      </c>
      <c r="K55" s="5">
        <f>IF(I55&gt;0,1,0)</f>
        <v>0</v>
      </c>
      <c r="L55" s="5">
        <f>IF(J55&lt;PuntoReorden,1,0)</f>
        <v>1</v>
      </c>
      <c r="M55" s="9">
        <f>PrecioVenta*H55</f>
        <v>2040000</v>
      </c>
      <c r="N55" s="9">
        <f>CostoUnitario*E55</f>
        <v>0</v>
      </c>
      <c r="O55" s="9">
        <f>IF(E55&gt;0,CostoPedido,0)</f>
        <v>0</v>
      </c>
      <c r="P55" s="9">
        <f>CostoAlm*(F55+J55)/2</f>
        <v>600</v>
      </c>
      <c r="Q55" s="9">
        <f>CostoFijo*D55</f>
        <v>0</v>
      </c>
      <c r="R55" s="9">
        <f>M55-N55-O55-P55-Q55</f>
        <v>2039400</v>
      </c>
      <c r="S55" s="21">
        <f>PuntoReorden</f>
        <v>7</v>
      </c>
      <c r="W55" s="7" t="n">
        <v>49</v>
      </c>
      <c r="X55" s="9" t="n">
        <v>102029040</v>
      </c>
      <c r="Y55" s="27" t="n">
        <v>0</v>
      </c>
      <c r="Z55" s="27" t="n">
        <v>0</v>
      </c>
      <c r="AA55" s="12" t="n">
        <v>11</v>
      </c>
    </row>
    <row r="56">
      <c r="A56" s="5">
        <f>A55+1</f>
        <v>51</v>
      </c>
      <c r="B56" s="20">
        <f>B55+IF(WEEKDAY(B55,2)=6,2,1)</f>
        <v>46081</v>
      </c>
      <c r="C56" s="5">
        <f>MONTH(B56)</f>
        <v>2</v>
      </c>
      <c r="D56" s="5">
        <f>IF(C56&lt;&gt;C55,1,0)</f>
        <v>0</v>
      </c>
      <c r="E56" s="5">
        <f>IF(L55=1,CantPedido,0)</f>
        <v>15</v>
      </c>
      <c r="F56" s="5">
        <f>J55+E56</f>
        <v>21</v>
      </c>
      <c r="G56" s="5">
        <f>RANDBETWEEN(3,7)</f>
        <v>4</v>
      </c>
      <c r="H56" s="5">
        <f>MIN(F56,G56)</f>
        <v>4</v>
      </c>
      <c r="I56" s="5">
        <f>G56-H56</f>
        <v>0</v>
      </c>
      <c r="J56" s="5">
        <f>F56-H56</f>
        <v>17</v>
      </c>
      <c r="K56" s="5">
        <f>IF(I56&gt;0,1,0)</f>
        <v>0</v>
      </c>
      <c r="L56" s="5">
        <f>IF(J56&lt;PuntoReorden,1,0)</f>
        <v>0</v>
      </c>
      <c r="M56" s="9">
        <f>PrecioVenta*H56</f>
        <v>2720000</v>
      </c>
      <c r="N56" s="9">
        <f>CostoUnitario*E56</f>
        <v>9000000</v>
      </c>
      <c r="O56" s="9">
        <f>IF(E56&gt;0,CostoPedido,0)</f>
        <v>40000</v>
      </c>
      <c r="P56" s="9">
        <f>CostoAlm*(F56+J56)/2</f>
        <v>1520</v>
      </c>
      <c r="Q56" s="9">
        <f>CostoFijo*D56</f>
        <v>0</v>
      </c>
      <c r="R56" s="9">
        <f>M56-N56-O56-P56-Q56</f>
        <v>-6321520</v>
      </c>
      <c r="S56" s="21">
        <f>PuntoReorden</f>
        <v>7</v>
      </c>
      <c r="W56" s="7" t="n">
        <v>50</v>
      </c>
      <c r="X56" s="9" t="n">
        <v>111434360</v>
      </c>
      <c r="Y56" s="27" t="n">
        <v>0</v>
      </c>
      <c r="Z56" s="27" t="n">
        <v>0</v>
      </c>
      <c r="AA56" s="12" t="n">
        <v>4</v>
      </c>
    </row>
    <row r="57">
      <c r="A57" s="5">
        <f>A56+1</f>
        <v>52</v>
      </c>
      <c r="B57" s="20">
        <f>B56+IF(WEEKDAY(B56,2)=6,2,1)</f>
        <v>46083</v>
      </c>
      <c r="C57" s="5">
        <f>MONTH(B57)</f>
        <v>3</v>
      </c>
      <c r="D57" s="5">
        <f>IF(C57&lt;&gt;C56,1,0)</f>
        <v>1</v>
      </c>
      <c r="E57" s="5">
        <f>IF(L56=1,CantPedido,0)</f>
        <v>0</v>
      </c>
      <c r="F57" s="5">
        <f>J56+E57</f>
        <v>17</v>
      </c>
      <c r="G57" s="5">
        <f>RANDBETWEEN(3,7)</f>
        <v>3</v>
      </c>
      <c r="H57" s="5">
        <f>MIN(F57,G57)</f>
        <v>3</v>
      </c>
      <c r="I57" s="5">
        <f>G57-H57</f>
        <v>0</v>
      </c>
      <c r="J57" s="5">
        <f>F57-H57</f>
        <v>14</v>
      </c>
      <c r="K57" s="5">
        <f>IF(I57&gt;0,1,0)</f>
        <v>0</v>
      </c>
      <c r="L57" s="5">
        <f>IF(J57&lt;PuntoReorden,1,0)</f>
        <v>0</v>
      </c>
      <c r="M57" s="9">
        <f>PrecioVenta*H57</f>
        <v>2040000</v>
      </c>
      <c r="N57" s="9">
        <f>CostoUnitario*E57</f>
        <v>0</v>
      </c>
      <c r="O57" s="9">
        <f>IF(E57&gt;0,CostoPedido,0)</f>
        <v>0</v>
      </c>
      <c r="P57" s="9">
        <f>CostoAlm*(F57+J57)/2</f>
        <v>1240</v>
      </c>
      <c r="Q57" s="9">
        <f>CostoFijo*D57</f>
        <v>1000000</v>
      </c>
      <c r="R57" s="9">
        <f>M57-N57-O57-P57-Q57</f>
        <v>1038760</v>
      </c>
      <c r="S57" s="21">
        <f>PuntoReorden</f>
        <v>7</v>
      </c>
      <c r="W57" s="7" t="n">
        <v>51</v>
      </c>
      <c r="X57" s="9" t="n">
        <v>102707160</v>
      </c>
      <c r="Y57" s="27" t="n">
        <v>0</v>
      </c>
      <c r="Z57" s="27" t="n">
        <v>0</v>
      </c>
      <c r="AA57" s="12" t="n">
        <v>10</v>
      </c>
    </row>
    <row r="58">
      <c r="A58" s="5">
        <f>A57+1</f>
        <v>53</v>
      </c>
      <c r="B58" s="20">
        <f>B57+IF(WEEKDAY(B57,2)=6,2,1)</f>
        <v>46084</v>
      </c>
      <c r="C58" s="5">
        <f>MONTH(B58)</f>
        <v>3</v>
      </c>
      <c r="D58" s="5">
        <f>IF(C58&lt;&gt;C57,1,0)</f>
        <v>0</v>
      </c>
      <c r="E58" s="5">
        <f>IF(L57=1,CantPedido,0)</f>
        <v>0</v>
      </c>
      <c r="F58" s="5">
        <f>J57+E58</f>
        <v>14</v>
      </c>
      <c r="G58" s="5">
        <f>RANDBETWEEN(3,7)</f>
        <v>6</v>
      </c>
      <c r="H58" s="5">
        <f>MIN(F58,G58)</f>
        <v>6</v>
      </c>
      <c r="I58" s="5">
        <f>G58-H58</f>
        <v>0</v>
      </c>
      <c r="J58" s="5">
        <f>F58-H58</f>
        <v>8</v>
      </c>
      <c r="K58" s="5">
        <f>IF(I58&gt;0,1,0)</f>
        <v>0</v>
      </c>
      <c r="L58" s="5">
        <f>IF(J58&lt;PuntoReorden,1,0)</f>
        <v>0</v>
      </c>
      <c r="M58" s="9">
        <f>PrecioVenta*H58</f>
        <v>4080000</v>
      </c>
      <c r="N58" s="9">
        <f>CostoUnitario*E58</f>
        <v>0</v>
      </c>
      <c r="O58" s="9">
        <f>IF(E58&gt;0,CostoPedido,0)</f>
        <v>0</v>
      </c>
      <c r="P58" s="9">
        <f>CostoAlm*(F58+J58)/2</f>
        <v>880</v>
      </c>
      <c r="Q58" s="9">
        <f>CostoFijo*D58</f>
        <v>0</v>
      </c>
      <c r="R58" s="9">
        <f>M58-N58-O58-P58-Q58</f>
        <v>4079120</v>
      </c>
      <c r="S58" s="21">
        <f>PuntoReorden</f>
        <v>7</v>
      </c>
      <c r="W58" s="7" t="n">
        <v>52</v>
      </c>
      <c r="X58" s="9" t="n">
        <v>103869680</v>
      </c>
      <c r="Y58" s="27" t="n">
        <v>0</v>
      </c>
      <c r="Z58" s="27" t="n">
        <v>0</v>
      </c>
      <c r="AA58" s="12" t="n">
        <v>10</v>
      </c>
    </row>
    <row r="59">
      <c r="A59" s="5">
        <f>A58+1</f>
        <v>54</v>
      </c>
      <c r="B59" s="20">
        <f>B58+IF(WEEKDAY(B58,2)=6,2,1)</f>
        <v>46085</v>
      </c>
      <c r="C59" s="5">
        <f>MONTH(B59)</f>
        <v>3</v>
      </c>
      <c r="D59" s="5">
        <f>IF(C59&lt;&gt;C58,1,0)</f>
        <v>0</v>
      </c>
      <c r="E59" s="5">
        <f>IF(L58=1,CantPedido,0)</f>
        <v>0</v>
      </c>
      <c r="F59" s="5">
        <f>J58+E59</f>
        <v>8</v>
      </c>
      <c r="G59" s="5">
        <f>RANDBETWEEN(3,7)</f>
        <v>5</v>
      </c>
      <c r="H59" s="5">
        <f>MIN(F59,G59)</f>
        <v>5</v>
      </c>
      <c r="I59" s="5">
        <f>G59-H59</f>
        <v>0</v>
      </c>
      <c r="J59" s="5">
        <f>F59-H59</f>
        <v>3</v>
      </c>
      <c r="K59" s="5">
        <f>IF(I59&gt;0,1,0)</f>
        <v>0</v>
      </c>
      <c r="L59" s="5">
        <f>IF(J59&lt;PuntoReorden,1,0)</f>
        <v>1</v>
      </c>
      <c r="M59" s="9">
        <f>PrecioVenta*H59</f>
        <v>3400000</v>
      </c>
      <c r="N59" s="9">
        <f>CostoUnitario*E59</f>
        <v>0</v>
      </c>
      <c r="O59" s="9">
        <f>IF(E59&gt;0,CostoPedido,0)</f>
        <v>0</v>
      </c>
      <c r="P59" s="9">
        <f>CostoAlm*(F59+J59)/2</f>
        <v>440</v>
      </c>
      <c r="Q59" s="9">
        <f>CostoFijo*D59</f>
        <v>0</v>
      </c>
      <c r="R59" s="9">
        <f>M59-N59-O59-P59-Q59</f>
        <v>3399560</v>
      </c>
      <c r="S59" s="21">
        <f>PuntoReorden</f>
        <v>7</v>
      </c>
      <c r="W59" s="7" t="n">
        <v>53</v>
      </c>
      <c r="X59" s="9" t="n">
        <v>99996760</v>
      </c>
      <c r="Y59" s="27" t="n">
        <v>0</v>
      </c>
      <c r="Z59" s="27" t="n">
        <v>0</v>
      </c>
      <c r="AA59" s="12" t="n">
        <v>14</v>
      </c>
    </row>
    <row r="60">
      <c r="A60" s="5">
        <f>A59+1</f>
        <v>55</v>
      </c>
      <c r="B60" s="20">
        <f>B59+IF(WEEKDAY(B59,2)=6,2,1)</f>
        <v>46086</v>
      </c>
      <c r="C60" s="5">
        <f>MONTH(B60)</f>
        <v>3</v>
      </c>
      <c r="D60" s="5">
        <f>IF(C60&lt;&gt;C59,1,0)</f>
        <v>0</v>
      </c>
      <c r="E60" s="5">
        <f>IF(L59=1,CantPedido,0)</f>
        <v>15</v>
      </c>
      <c r="F60" s="5">
        <f>J59+E60</f>
        <v>18</v>
      </c>
      <c r="G60" s="5">
        <f>RANDBETWEEN(3,7)</f>
        <v>4</v>
      </c>
      <c r="H60" s="5">
        <f>MIN(F60,G60)</f>
        <v>4</v>
      </c>
      <c r="I60" s="5">
        <f>G60-H60</f>
        <v>0</v>
      </c>
      <c r="J60" s="5">
        <f>F60-H60</f>
        <v>14</v>
      </c>
      <c r="K60" s="5">
        <f>IF(I60&gt;0,1,0)</f>
        <v>0</v>
      </c>
      <c r="L60" s="5">
        <f>IF(J60&lt;PuntoReorden,1,0)</f>
        <v>0</v>
      </c>
      <c r="M60" s="9">
        <f>PrecioVenta*H60</f>
        <v>2720000</v>
      </c>
      <c r="N60" s="9">
        <f>CostoUnitario*E60</f>
        <v>9000000</v>
      </c>
      <c r="O60" s="9">
        <f>IF(E60&gt;0,CostoPedido,0)</f>
        <v>40000</v>
      </c>
      <c r="P60" s="9">
        <f>CostoAlm*(F60+J60)/2</f>
        <v>1280</v>
      </c>
      <c r="Q60" s="9">
        <f>CostoFijo*D60</f>
        <v>0</v>
      </c>
      <c r="R60" s="9">
        <f>M60-N60-O60-P60-Q60</f>
        <v>-6321280</v>
      </c>
      <c r="S60" s="21">
        <f>PuntoReorden</f>
        <v>7</v>
      </c>
      <c r="W60" s="7" t="n">
        <v>54</v>
      </c>
      <c r="X60" s="9" t="n">
        <v>102991600</v>
      </c>
      <c r="Y60" s="27" t="n">
        <v>0</v>
      </c>
      <c r="Z60" s="27" t="n">
        <v>0</v>
      </c>
      <c r="AA60" s="12" t="n">
        <v>13</v>
      </c>
    </row>
    <row r="61">
      <c r="A61" s="5">
        <f>A60+1</f>
        <v>56</v>
      </c>
      <c r="B61" s="20">
        <f>B60+IF(WEEKDAY(B60,2)=6,2,1)</f>
        <v>46087</v>
      </c>
      <c r="C61" s="5">
        <f>MONTH(B61)</f>
        <v>3</v>
      </c>
      <c r="D61" s="5">
        <f>IF(C61&lt;&gt;C60,1,0)</f>
        <v>0</v>
      </c>
      <c r="E61" s="5">
        <f>IF(L60=1,CantPedido,0)</f>
        <v>0</v>
      </c>
      <c r="F61" s="5">
        <f>J60+E61</f>
        <v>14</v>
      </c>
      <c r="G61" s="5">
        <f>RANDBETWEEN(3,7)</f>
        <v>3</v>
      </c>
      <c r="H61" s="5">
        <f>MIN(F61,G61)</f>
        <v>3</v>
      </c>
      <c r="I61" s="5">
        <f>G61-H61</f>
        <v>0</v>
      </c>
      <c r="J61" s="5">
        <f>F61-H61</f>
        <v>11</v>
      </c>
      <c r="K61" s="5">
        <f>IF(I61&gt;0,1,0)</f>
        <v>0</v>
      </c>
      <c r="L61" s="5">
        <f>IF(J61&lt;PuntoReorden,1,0)</f>
        <v>0</v>
      </c>
      <c r="M61" s="9">
        <f>PrecioVenta*H61</f>
        <v>2040000</v>
      </c>
      <c r="N61" s="9">
        <f>CostoUnitario*E61</f>
        <v>0</v>
      </c>
      <c r="O61" s="9">
        <f>IF(E61&gt;0,CostoPedido,0)</f>
        <v>0</v>
      </c>
      <c r="P61" s="9">
        <f>CostoAlm*(F61+J61)/2</f>
        <v>1000</v>
      </c>
      <c r="Q61" s="9">
        <f>CostoFijo*D61</f>
        <v>0</v>
      </c>
      <c r="R61" s="9">
        <f>M61-N61-O61-P61-Q61</f>
        <v>2039000</v>
      </c>
      <c r="S61" s="21">
        <f>PuntoReorden</f>
        <v>7</v>
      </c>
      <c r="W61" s="7" t="n">
        <v>55</v>
      </c>
      <c r="X61" s="9" t="n">
        <v>106190320</v>
      </c>
      <c r="Y61" s="27" t="n">
        <v>0</v>
      </c>
      <c r="Z61" s="27" t="n">
        <v>0</v>
      </c>
      <c r="AA61" s="12" t="n">
        <v>10</v>
      </c>
    </row>
    <row r="62">
      <c r="A62" s="5">
        <f>A61+1</f>
        <v>57</v>
      </c>
      <c r="B62" s="20">
        <f>B61+IF(WEEKDAY(B61,2)=6,2,1)</f>
        <v>46088</v>
      </c>
      <c r="C62" s="5">
        <f>MONTH(B62)</f>
        <v>3</v>
      </c>
      <c r="D62" s="5">
        <f>IF(C62&lt;&gt;C61,1,0)</f>
        <v>0</v>
      </c>
      <c r="E62" s="5">
        <f>IF(L61=1,CantPedido,0)</f>
        <v>0</v>
      </c>
      <c r="F62" s="5">
        <f>J61+E62</f>
        <v>11</v>
      </c>
      <c r="G62" s="5">
        <f>RANDBETWEEN(3,7)</f>
        <v>7</v>
      </c>
      <c r="H62" s="5">
        <f>MIN(F62,G62)</f>
        <v>7</v>
      </c>
      <c r="I62" s="5">
        <f>G62-H62</f>
        <v>0</v>
      </c>
      <c r="J62" s="5">
        <f>F62-H62</f>
        <v>4</v>
      </c>
      <c r="K62" s="5">
        <f>IF(I62&gt;0,1,0)</f>
        <v>0</v>
      </c>
      <c r="L62" s="5">
        <f>IF(J62&lt;PuntoReorden,1,0)</f>
        <v>1</v>
      </c>
      <c r="M62" s="9">
        <f>PrecioVenta*H62</f>
        <v>4760000</v>
      </c>
      <c r="N62" s="9">
        <f>CostoUnitario*E62</f>
        <v>0</v>
      </c>
      <c r="O62" s="9">
        <f>IF(E62&gt;0,CostoPedido,0)</f>
        <v>0</v>
      </c>
      <c r="P62" s="9">
        <f>CostoAlm*(F62+J62)/2</f>
        <v>600</v>
      </c>
      <c r="Q62" s="9">
        <f>CostoFijo*D62</f>
        <v>0</v>
      </c>
      <c r="R62" s="9">
        <f>M62-N62-O62-P62-Q62</f>
        <v>4759400</v>
      </c>
      <c r="S62" s="21">
        <f>PuntoReorden</f>
        <v>7</v>
      </c>
      <c r="W62" s="7" t="n">
        <v>56</v>
      </c>
      <c r="X62" s="9" t="n">
        <v>102428320</v>
      </c>
      <c r="Y62" s="27" t="n">
        <v>0</v>
      </c>
      <c r="Z62" s="27" t="n">
        <v>0</v>
      </c>
      <c r="AA62" s="12" t="n">
        <v>7</v>
      </c>
    </row>
    <row r="63">
      <c r="A63" s="5">
        <f>A62+1</f>
        <v>58</v>
      </c>
      <c r="B63" s="20">
        <f>B62+IF(WEEKDAY(B62,2)=6,2,1)</f>
        <v>46090</v>
      </c>
      <c r="C63" s="5">
        <f>MONTH(B63)</f>
        <v>3</v>
      </c>
      <c r="D63" s="5">
        <f>IF(C63&lt;&gt;C62,1,0)</f>
        <v>0</v>
      </c>
      <c r="E63" s="5">
        <f>IF(L62=1,CantPedido,0)</f>
        <v>15</v>
      </c>
      <c r="F63" s="5">
        <f>J62+E63</f>
        <v>19</v>
      </c>
      <c r="G63" s="5">
        <f>RANDBETWEEN(3,7)</f>
        <v>5</v>
      </c>
      <c r="H63" s="5">
        <f>MIN(F63,G63)</f>
        <v>5</v>
      </c>
      <c r="I63" s="5">
        <f>G63-H63</f>
        <v>0</v>
      </c>
      <c r="J63" s="5">
        <f>F63-H63</f>
        <v>14</v>
      </c>
      <c r="K63" s="5">
        <f>IF(I63&gt;0,1,0)</f>
        <v>0</v>
      </c>
      <c r="L63" s="5">
        <f>IF(J63&lt;PuntoReorden,1,0)</f>
        <v>0</v>
      </c>
      <c r="M63" s="9">
        <f>PrecioVenta*H63</f>
        <v>3400000</v>
      </c>
      <c r="N63" s="9">
        <f>CostoUnitario*E63</f>
        <v>9000000</v>
      </c>
      <c r="O63" s="9">
        <f>IF(E63&gt;0,CostoPedido,0)</f>
        <v>40000</v>
      </c>
      <c r="P63" s="9">
        <f>CostoAlm*(F63+J63)/2</f>
        <v>1320</v>
      </c>
      <c r="Q63" s="9">
        <f>CostoFijo*D63</f>
        <v>0</v>
      </c>
      <c r="R63" s="9">
        <f>M63-N63-O63-P63-Q63</f>
        <v>-5641320</v>
      </c>
      <c r="S63" s="21">
        <f>PuntoReorden</f>
        <v>7</v>
      </c>
      <c r="W63" s="7" t="n">
        <v>57</v>
      </c>
      <c r="X63" s="9" t="n">
        <v>102906160</v>
      </c>
      <c r="Y63" s="27" t="n">
        <v>0</v>
      </c>
      <c r="Z63" s="27" t="n">
        <v>0</v>
      </c>
      <c r="AA63" s="12" t="n">
        <v>8</v>
      </c>
    </row>
    <row r="64">
      <c r="A64" s="5">
        <f>A63+1</f>
        <v>59</v>
      </c>
      <c r="B64" s="20">
        <f>B63+IF(WEEKDAY(B63,2)=6,2,1)</f>
        <v>46091</v>
      </c>
      <c r="C64" s="5">
        <f>MONTH(B64)</f>
        <v>3</v>
      </c>
      <c r="D64" s="5">
        <f>IF(C64&lt;&gt;C63,1,0)</f>
        <v>0</v>
      </c>
      <c r="E64" s="5">
        <f>IF(L63=1,CantPedido,0)</f>
        <v>0</v>
      </c>
      <c r="F64" s="5">
        <f>J63+E64</f>
        <v>14</v>
      </c>
      <c r="G64" s="5">
        <f>RANDBETWEEN(3,7)</f>
        <v>4</v>
      </c>
      <c r="H64" s="5">
        <f>MIN(F64,G64)</f>
        <v>4</v>
      </c>
      <c r="I64" s="5">
        <f>G64-H64</f>
        <v>0</v>
      </c>
      <c r="J64" s="5">
        <f>F64-H64</f>
        <v>10</v>
      </c>
      <c r="K64" s="5">
        <f>IF(I64&gt;0,1,0)</f>
        <v>0</v>
      </c>
      <c r="L64" s="5">
        <f>IF(J64&lt;PuntoReorden,1,0)</f>
        <v>0</v>
      </c>
      <c r="M64" s="9">
        <f>PrecioVenta*H64</f>
        <v>2720000</v>
      </c>
      <c r="N64" s="9">
        <f>CostoUnitario*E64</f>
        <v>0</v>
      </c>
      <c r="O64" s="9">
        <f>IF(E64&gt;0,CostoPedido,0)</f>
        <v>0</v>
      </c>
      <c r="P64" s="9">
        <f>CostoAlm*(F64+J64)/2</f>
        <v>960</v>
      </c>
      <c r="Q64" s="9">
        <f>CostoFijo*D64</f>
        <v>0</v>
      </c>
      <c r="R64" s="9">
        <f>M64-N64-O64-P64-Q64</f>
        <v>2719040</v>
      </c>
      <c r="S64" s="21">
        <f>PuntoReorden</f>
        <v>7</v>
      </c>
      <c r="W64" s="7" t="n">
        <v>58</v>
      </c>
      <c r="X64" s="9" t="n">
        <v>99593800</v>
      </c>
      <c r="Y64" s="27" t="n">
        <v>0</v>
      </c>
      <c r="Z64" s="27" t="n">
        <v>0</v>
      </c>
      <c r="AA64" s="12" t="n">
        <v>18</v>
      </c>
    </row>
    <row r="65">
      <c r="A65" s="5">
        <f>A64+1</f>
        <v>60</v>
      </c>
      <c r="B65" s="20">
        <f>B64+IF(WEEKDAY(B64,2)=6,2,1)</f>
        <v>46092</v>
      </c>
      <c r="C65" s="5">
        <f>MONTH(B65)</f>
        <v>3</v>
      </c>
      <c r="D65" s="5">
        <f>IF(C65&lt;&gt;C64,1,0)</f>
        <v>0</v>
      </c>
      <c r="E65" s="5">
        <f>IF(L64=1,CantPedido,0)</f>
        <v>0</v>
      </c>
      <c r="F65" s="5">
        <f>J64+E65</f>
        <v>10</v>
      </c>
      <c r="G65" s="5">
        <f>RANDBETWEEN(3,7)</f>
        <v>6</v>
      </c>
      <c r="H65" s="5">
        <f>MIN(F65,G65)</f>
        <v>6</v>
      </c>
      <c r="I65" s="5">
        <f>G65-H65</f>
        <v>0</v>
      </c>
      <c r="J65" s="5">
        <f>F65-H65</f>
        <v>4</v>
      </c>
      <c r="K65" s="5">
        <f>IF(I65&gt;0,1,0)</f>
        <v>0</v>
      </c>
      <c r="L65" s="5">
        <f>IF(J65&lt;PuntoReorden,1,0)</f>
        <v>1</v>
      </c>
      <c r="M65" s="9">
        <f>PrecioVenta*H65</f>
        <v>4080000</v>
      </c>
      <c r="N65" s="9">
        <f>CostoUnitario*E65</f>
        <v>0</v>
      </c>
      <c r="O65" s="9">
        <f>IF(E65&gt;0,CostoPedido,0)</f>
        <v>0</v>
      </c>
      <c r="P65" s="9">
        <f>CostoAlm*(F65+J65)/2</f>
        <v>560</v>
      </c>
      <c r="Q65" s="9">
        <f>CostoFijo*D65</f>
        <v>0</v>
      </c>
      <c r="R65" s="9">
        <f>M65-N65-O65-P65-Q65</f>
        <v>4079440</v>
      </c>
      <c r="S65" s="21">
        <f>PuntoReorden</f>
        <v>7</v>
      </c>
      <c r="W65" s="7" t="n">
        <v>59</v>
      </c>
      <c r="X65" s="9" t="n">
        <v>107269800</v>
      </c>
      <c r="Y65" s="27" t="n">
        <v>0</v>
      </c>
      <c r="Z65" s="27" t="n">
        <v>0</v>
      </c>
      <c r="AA65" s="12" t="n">
        <v>5</v>
      </c>
    </row>
    <row r="66">
      <c r="A66" s="5">
        <f>A65+1</f>
        <v>61</v>
      </c>
      <c r="B66" s="20">
        <f>B65+IF(WEEKDAY(B65,2)=6,2,1)</f>
        <v>46093</v>
      </c>
      <c r="C66" s="5">
        <f>MONTH(B66)</f>
        <v>3</v>
      </c>
      <c r="D66" s="5">
        <f>IF(C66&lt;&gt;C65,1,0)</f>
        <v>0</v>
      </c>
      <c r="E66" s="5">
        <f>IF(L65=1,CantPedido,0)</f>
        <v>15</v>
      </c>
      <c r="F66" s="5">
        <f>J65+E66</f>
        <v>19</v>
      </c>
      <c r="G66" s="5">
        <f>RANDBETWEEN(3,7)</f>
        <v>7</v>
      </c>
      <c r="H66" s="5">
        <f>MIN(F66,G66)</f>
        <v>7</v>
      </c>
      <c r="I66" s="5">
        <f>G66-H66</f>
        <v>0</v>
      </c>
      <c r="J66" s="5">
        <f>F66-H66</f>
        <v>12</v>
      </c>
      <c r="K66" s="5">
        <f>IF(I66&gt;0,1,0)</f>
        <v>0</v>
      </c>
      <c r="L66" s="5">
        <f>IF(J66&lt;PuntoReorden,1,0)</f>
        <v>0</v>
      </c>
      <c r="M66" s="9">
        <f>PrecioVenta*H66</f>
        <v>4760000</v>
      </c>
      <c r="N66" s="9">
        <f>CostoUnitario*E66</f>
        <v>9000000</v>
      </c>
      <c r="O66" s="9">
        <f>IF(E66&gt;0,CostoPedido,0)</f>
        <v>40000</v>
      </c>
      <c r="P66" s="9">
        <f>CostoAlm*(F66+J66)/2</f>
        <v>1240</v>
      </c>
      <c r="Q66" s="9">
        <f>CostoFijo*D66</f>
        <v>0</v>
      </c>
      <c r="R66" s="9">
        <f>M66-N66-O66-P66-Q66</f>
        <v>-4281240</v>
      </c>
      <c r="S66" s="21">
        <f>PuntoReorden</f>
        <v>7</v>
      </c>
      <c r="W66" s="7" t="n">
        <v>60</v>
      </c>
      <c r="X66" s="9" t="n">
        <v>105144480</v>
      </c>
      <c r="Y66" s="27" t="n">
        <v>0</v>
      </c>
      <c r="Z66" s="27" t="n">
        <v>0</v>
      </c>
      <c r="AA66" s="12" t="n">
        <v>3</v>
      </c>
    </row>
    <row r="67">
      <c r="A67" s="5">
        <f>A66+1</f>
        <v>62</v>
      </c>
      <c r="B67" s="20">
        <f>B66+IF(WEEKDAY(B66,2)=6,2,1)</f>
        <v>46094</v>
      </c>
      <c r="C67" s="5">
        <f>MONTH(B67)</f>
        <v>3</v>
      </c>
      <c r="D67" s="5">
        <f>IF(C67&lt;&gt;C66,1,0)</f>
        <v>0</v>
      </c>
      <c r="E67" s="5">
        <f>IF(L66=1,CantPedido,0)</f>
        <v>0</v>
      </c>
      <c r="F67" s="5">
        <f>J66+E67</f>
        <v>12</v>
      </c>
      <c r="G67" s="5">
        <f>RANDBETWEEN(3,7)</f>
        <v>3</v>
      </c>
      <c r="H67" s="5">
        <f>MIN(F67,G67)</f>
        <v>3</v>
      </c>
      <c r="I67" s="5">
        <f>G67-H67</f>
        <v>0</v>
      </c>
      <c r="J67" s="5">
        <f>F67-H67</f>
        <v>9</v>
      </c>
      <c r="K67" s="5">
        <f>IF(I67&gt;0,1,0)</f>
        <v>0</v>
      </c>
      <c r="L67" s="5">
        <f>IF(J67&lt;PuntoReorden,1,0)</f>
        <v>0</v>
      </c>
      <c r="M67" s="9">
        <f>PrecioVenta*H67</f>
        <v>2040000</v>
      </c>
      <c r="N67" s="9">
        <f>CostoUnitario*E67</f>
        <v>0</v>
      </c>
      <c r="O67" s="9">
        <f>IF(E67&gt;0,CostoPedido,0)</f>
        <v>0</v>
      </c>
      <c r="P67" s="9">
        <f>CostoAlm*(F67+J67)/2</f>
        <v>840</v>
      </c>
      <c r="Q67" s="9">
        <f>CostoFijo*D67</f>
        <v>0</v>
      </c>
      <c r="R67" s="9">
        <f>M67-N67-O67-P67-Q67</f>
        <v>2039160</v>
      </c>
      <c r="S67" s="21">
        <f>PuntoReorden</f>
        <v>7</v>
      </c>
      <c r="W67" s="7" t="n">
        <v>61</v>
      </c>
      <c r="X67" s="9" t="n">
        <v>98357120</v>
      </c>
      <c r="Y67" s="27" t="n">
        <v>0</v>
      </c>
      <c r="Z67" s="27" t="n">
        <v>0</v>
      </c>
      <c r="AA67" s="12" t="n">
        <v>13</v>
      </c>
    </row>
    <row r="68">
      <c r="A68" s="5">
        <f>A67+1</f>
        <v>63</v>
      </c>
      <c r="B68" s="20">
        <f>B67+IF(WEEKDAY(B67,2)=6,2,1)</f>
        <v>46095</v>
      </c>
      <c r="C68" s="5">
        <f>MONTH(B68)</f>
        <v>3</v>
      </c>
      <c r="D68" s="5">
        <f>IF(C68&lt;&gt;C67,1,0)</f>
        <v>0</v>
      </c>
      <c r="E68" s="5">
        <f>IF(L67=1,CantPedido,0)</f>
        <v>0</v>
      </c>
      <c r="F68" s="5">
        <f>J67+E68</f>
        <v>9</v>
      </c>
      <c r="G68" s="5">
        <f>RANDBETWEEN(3,7)</f>
        <v>7</v>
      </c>
      <c r="H68" s="5">
        <f>MIN(F68,G68)</f>
        <v>7</v>
      </c>
      <c r="I68" s="5">
        <f>G68-H68</f>
        <v>0</v>
      </c>
      <c r="J68" s="5">
        <f>F68-H68</f>
        <v>2</v>
      </c>
      <c r="K68" s="5">
        <f>IF(I68&gt;0,1,0)</f>
        <v>0</v>
      </c>
      <c r="L68" s="5">
        <f>IF(J68&lt;PuntoReorden,1,0)</f>
        <v>1</v>
      </c>
      <c r="M68" s="9">
        <f>PrecioVenta*H68</f>
        <v>4760000</v>
      </c>
      <c r="N68" s="9">
        <f>CostoUnitario*E68</f>
        <v>0</v>
      </c>
      <c r="O68" s="9">
        <f>IF(E68&gt;0,CostoPedido,0)</f>
        <v>0</v>
      </c>
      <c r="P68" s="9">
        <f>CostoAlm*(F68+J68)/2</f>
        <v>440</v>
      </c>
      <c r="Q68" s="9">
        <f>CostoFijo*D68</f>
        <v>0</v>
      </c>
      <c r="R68" s="9">
        <f>M68-N68-O68-P68-Q68</f>
        <v>4759560</v>
      </c>
      <c r="S68" s="21">
        <f>PuntoReorden</f>
        <v>7</v>
      </c>
      <c r="W68" s="7" t="n">
        <v>62</v>
      </c>
      <c r="X68" s="9" t="n">
        <v>108346160</v>
      </c>
      <c r="Y68" s="27" t="n">
        <v>0</v>
      </c>
      <c r="Z68" s="27" t="n">
        <v>0</v>
      </c>
      <c r="AA68" s="12" t="n">
        <v>0</v>
      </c>
    </row>
    <row r="69">
      <c r="A69" s="5">
        <f>A68+1</f>
        <v>64</v>
      </c>
      <c r="B69" s="20">
        <f>B68+IF(WEEKDAY(B68,2)=6,2,1)</f>
        <v>46097</v>
      </c>
      <c r="C69" s="5">
        <f>MONTH(B69)</f>
        <v>3</v>
      </c>
      <c r="D69" s="5">
        <f>IF(C69&lt;&gt;C68,1,0)</f>
        <v>0</v>
      </c>
      <c r="E69" s="5">
        <f>IF(L68=1,CantPedido,0)</f>
        <v>15</v>
      </c>
      <c r="F69" s="5">
        <f>J68+E69</f>
        <v>17</v>
      </c>
      <c r="G69" s="5">
        <f>RANDBETWEEN(3,7)</f>
        <v>7</v>
      </c>
      <c r="H69" s="5">
        <f>MIN(F69,G69)</f>
        <v>7</v>
      </c>
      <c r="I69" s="5">
        <f>G69-H69</f>
        <v>0</v>
      </c>
      <c r="J69" s="5">
        <f>F69-H69</f>
        <v>10</v>
      </c>
      <c r="K69" s="5">
        <f>IF(I69&gt;0,1,0)</f>
        <v>0</v>
      </c>
      <c r="L69" s="5">
        <f>IF(J69&lt;PuntoReorden,1,0)</f>
        <v>0</v>
      </c>
      <c r="M69" s="9">
        <f>PrecioVenta*H69</f>
        <v>4760000</v>
      </c>
      <c r="N69" s="9">
        <f>CostoUnitario*E69</f>
        <v>9000000</v>
      </c>
      <c r="O69" s="9">
        <f>IF(E69&gt;0,CostoPedido,0)</f>
        <v>40000</v>
      </c>
      <c r="P69" s="9">
        <f>CostoAlm*(F69+J69)/2</f>
        <v>1080</v>
      </c>
      <c r="Q69" s="9">
        <f>CostoFijo*D69</f>
        <v>0</v>
      </c>
      <c r="R69" s="9">
        <f>M69-N69-O69-P69-Q69</f>
        <v>-4281080</v>
      </c>
      <c r="S69" s="21">
        <f>PuntoReorden</f>
        <v>7</v>
      </c>
      <c r="W69" s="7" t="n">
        <v>63</v>
      </c>
      <c r="X69" s="9" t="n">
        <v>108152040</v>
      </c>
      <c r="Y69" s="27" t="n">
        <v>0</v>
      </c>
      <c r="Z69" s="27" t="n">
        <v>0</v>
      </c>
      <c r="AA69" s="12" t="n">
        <v>2</v>
      </c>
    </row>
    <row r="70">
      <c r="A70" s="5">
        <f>A69+1</f>
        <v>65</v>
      </c>
      <c r="B70" s="20">
        <f>B69+IF(WEEKDAY(B69,2)=6,2,1)</f>
        <v>46098</v>
      </c>
      <c r="C70" s="5">
        <f>MONTH(B70)</f>
        <v>3</v>
      </c>
      <c r="D70" s="5">
        <f>IF(C70&lt;&gt;C69,1,0)</f>
        <v>0</v>
      </c>
      <c r="E70" s="5">
        <f>IF(L69=1,CantPedido,0)</f>
        <v>0</v>
      </c>
      <c r="F70" s="5">
        <f>J69+E70</f>
        <v>10</v>
      </c>
      <c r="G70" s="5">
        <f>RANDBETWEEN(3,7)</f>
        <v>6</v>
      </c>
      <c r="H70" s="5">
        <f>MIN(F70,G70)</f>
        <v>6</v>
      </c>
      <c r="I70" s="5">
        <f>G70-H70</f>
        <v>0</v>
      </c>
      <c r="J70" s="5">
        <f>F70-H70</f>
        <v>4</v>
      </c>
      <c r="K70" s="5">
        <f>IF(I70&gt;0,1,0)</f>
        <v>0</v>
      </c>
      <c r="L70" s="5">
        <f>IF(J70&lt;PuntoReorden,1,0)</f>
        <v>1</v>
      </c>
      <c r="M70" s="9">
        <f>PrecioVenta*H70</f>
        <v>4080000</v>
      </c>
      <c r="N70" s="9">
        <f>CostoUnitario*E70</f>
        <v>0</v>
      </c>
      <c r="O70" s="9">
        <f>IF(E70&gt;0,CostoPedido,0)</f>
        <v>0</v>
      </c>
      <c r="P70" s="9">
        <f>CostoAlm*(F70+J70)/2</f>
        <v>560</v>
      </c>
      <c r="Q70" s="9">
        <f>CostoFijo*D70</f>
        <v>0</v>
      </c>
      <c r="R70" s="9">
        <f>M70-N70-O70-P70-Q70</f>
        <v>4079440</v>
      </c>
      <c r="S70" s="21">
        <f>PuntoReorden</f>
        <v>7</v>
      </c>
      <c r="W70" s="7" t="n">
        <v>64</v>
      </c>
      <c r="X70" s="9" t="n">
        <v>99991640</v>
      </c>
      <c r="Y70" s="27" t="n">
        <v>0</v>
      </c>
      <c r="Z70" s="27" t="n">
        <v>0</v>
      </c>
      <c r="AA70" s="12" t="n">
        <v>14</v>
      </c>
    </row>
    <row r="71">
      <c r="A71" s="5">
        <f>A70+1</f>
        <v>66</v>
      </c>
      <c r="B71" s="20">
        <f>B70+IF(WEEKDAY(B70,2)=6,2,1)</f>
        <v>46099</v>
      </c>
      <c r="C71" s="5">
        <f>MONTH(B71)</f>
        <v>3</v>
      </c>
      <c r="D71" s="5">
        <f>IF(C71&lt;&gt;C70,1,0)</f>
        <v>0</v>
      </c>
      <c r="E71" s="5">
        <f>IF(L70=1,CantPedido,0)</f>
        <v>15</v>
      </c>
      <c r="F71" s="5">
        <f>J70+E71</f>
        <v>19</v>
      </c>
      <c r="G71" s="5">
        <f>RANDBETWEEN(3,7)</f>
        <v>6</v>
      </c>
      <c r="H71" s="5">
        <f>MIN(F71,G71)</f>
        <v>6</v>
      </c>
      <c r="I71" s="5">
        <f>G71-H71</f>
        <v>0</v>
      </c>
      <c r="J71" s="5">
        <f>F71-H71</f>
        <v>13</v>
      </c>
      <c r="K71" s="5">
        <f>IF(I71&gt;0,1,0)</f>
        <v>0</v>
      </c>
      <c r="L71" s="5">
        <f>IF(J71&lt;PuntoReorden,1,0)</f>
        <v>0</v>
      </c>
      <c r="M71" s="9">
        <f>PrecioVenta*H71</f>
        <v>4080000</v>
      </c>
      <c r="N71" s="9">
        <f>CostoUnitario*E71</f>
        <v>9000000</v>
      </c>
      <c r="O71" s="9">
        <f>IF(E71&gt;0,CostoPedido,0)</f>
        <v>40000</v>
      </c>
      <c r="P71" s="9">
        <f>CostoAlm*(F71+J71)/2</f>
        <v>1280</v>
      </c>
      <c r="Q71" s="9">
        <f>CostoFijo*D71</f>
        <v>0</v>
      </c>
      <c r="R71" s="9">
        <f>M71-N71-O71-P71-Q71</f>
        <v>-4961280</v>
      </c>
      <c r="S71" s="21">
        <f>PuntoReorden</f>
        <v>7</v>
      </c>
      <c r="W71" s="7" t="n">
        <v>65</v>
      </c>
      <c r="X71" s="9" t="n">
        <v>104268400</v>
      </c>
      <c r="Y71" s="27" t="n">
        <v>0</v>
      </c>
      <c r="Z71" s="27" t="n">
        <v>0</v>
      </c>
      <c r="AA71" s="12" t="n">
        <v>6</v>
      </c>
    </row>
    <row r="72">
      <c r="A72" s="5">
        <f>A71+1</f>
        <v>67</v>
      </c>
      <c r="B72" s="20">
        <f>B71+IF(WEEKDAY(B71,2)=6,2,1)</f>
        <v>46100</v>
      </c>
      <c r="C72" s="5">
        <f>MONTH(B72)</f>
        <v>3</v>
      </c>
      <c r="D72" s="5">
        <f>IF(C72&lt;&gt;C71,1,0)</f>
        <v>0</v>
      </c>
      <c r="E72" s="5">
        <f>IF(L71=1,CantPedido,0)</f>
        <v>0</v>
      </c>
      <c r="F72" s="5">
        <f>J71+E72</f>
        <v>13</v>
      </c>
      <c r="G72" s="5">
        <f>RANDBETWEEN(3,7)</f>
        <v>5</v>
      </c>
      <c r="H72" s="5">
        <f>MIN(F72,G72)</f>
        <v>5</v>
      </c>
      <c r="I72" s="5">
        <f>G72-H72</f>
        <v>0</v>
      </c>
      <c r="J72" s="5">
        <f>F72-H72</f>
        <v>8</v>
      </c>
      <c r="K72" s="5">
        <f>IF(I72&gt;0,1,0)</f>
        <v>0</v>
      </c>
      <c r="L72" s="5">
        <f>IF(J72&lt;PuntoReorden,1,0)</f>
        <v>0</v>
      </c>
      <c r="M72" s="9">
        <f>PrecioVenta*H72</f>
        <v>3400000</v>
      </c>
      <c r="N72" s="9">
        <f>CostoUnitario*E72</f>
        <v>0</v>
      </c>
      <c r="O72" s="9">
        <f>IF(E72&gt;0,CostoPedido,0)</f>
        <v>0</v>
      </c>
      <c r="P72" s="9">
        <f>CostoAlm*(F72+J72)/2</f>
        <v>840</v>
      </c>
      <c r="Q72" s="9">
        <f>CostoFijo*D72</f>
        <v>0</v>
      </c>
      <c r="R72" s="9">
        <f>M72-N72-O72-P72-Q72</f>
        <v>3399160</v>
      </c>
      <c r="S72" s="21">
        <f>PuntoReorden</f>
        <v>7</v>
      </c>
      <c r="W72" s="7" t="n">
        <v>66</v>
      </c>
      <c r="X72" s="9" t="n">
        <v>97669800</v>
      </c>
      <c r="Y72" s="27" t="n">
        <v>0</v>
      </c>
      <c r="Z72" s="27" t="n">
        <v>0</v>
      </c>
      <c r="AA72" s="12" t="n">
        <v>14</v>
      </c>
    </row>
    <row r="73">
      <c r="A73" s="5">
        <f>A72+1</f>
        <v>68</v>
      </c>
      <c r="B73" s="20">
        <f>B72+IF(WEEKDAY(B72,2)=6,2,1)</f>
        <v>46101</v>
      </c>
      <c r="C73" s="5">
        <f>MONTH(B73)</f>
        <v>3</v>
      </c>
      <c r="D73" s="5">
        <f>IF(C73&lt;&gt;C72,1,0)</f>
        <v>0</v>
      </c>
      <c r="E73" s="5">
        <f>IF(L72=1,CantPedido,0)</f>
        <v>0</v>
      </c>
      <c r="F73" s="5">
        <f>J72+E73</f>
        <v>8</v>
      </c>
      <c r="G73" s="5">
        <f>RANDBETWEEN(3,7)</f>
        <v>7</v>
      </c>
      <c r="H73" s="5">
        <f>MIN(F73,G73)</f>
        <v>7</v>
      </c>
      <c r="I73" s="5">
        <f>G73-H73</f>
        <v>0</v>
      </c>
      <c r="J73" s="5">
        <f>F73-H73</f>
        <v>1</v>
      </c>
      <c r="K73" s="5">
        <f>IF(I73&gt;0,1,0)</f>
        <v>0</v>
      </c>
      <c r="L73" s="5">
        <f>IF(J73&lt;PuntoReorden,1,0)</f>
        <v>1</v>
      </c>
      <c r="M73" s="9">
        <f>PrecioVenta*H73</f>
        <v>4760000</v>
      </c>
      <c r="N73" s="9">
        <f>CostoUnitario*E73</f>
        <v>0</v>
      </c>
      <c r="O73" s="9">
        <f>IF(E73&gt;0,CostoPedido,0)</f>
        <v>0</v>
      </c>
      <c r="P73" s="9">
        <f>CostoAlm*(F73+J73)/2</f>
        <v>360</v>
      </c>
      <c r="Q73" s="9">
        <f>CostoFijo*D73</f>
        <v>0</v>
      </c>
      <c r="R73" s="9">
        <f>M73-N73-O73-P73-Q73</f>
        <v>4759640</v>
      </c>
      <c r="S73" s="21">
        <f>PuntoReorden</f>
        <v>7</v>
      </c>
      <c r="W73" s="7" t="n">
        <v>67</v>
      </c>
      <c r="X73" s="9" t="n">
        <v>101155520</v>
      </c>
      <c r="Y73" s="27" t="n">
        <v>0</v>
      </c>
      <c r="Z73" s="27" t="n">
        <v>0</v>
      </c>
      <c r="AA73" s="12" t="n">
        <v>14</v>
      </c>
    </row>
    <row r="74">
      <c r="A74" s="5">
        <f>A73+1</f>
        <v>69</v>
      </c>
      <c r="B74" s="20">
        <f>B73+IF(WEEKDAY(B73,2)=6,2,1)</f>
        <v>46102</v>
      </c>
      <c r="C74" s="5">
        <f>MONTH(B74)</f>
        <v>3</v>
      </c>
      <c r="D74" s="5">
        <f>IF(C74&lt;&gt;C73,1,0)</f>
        <v>0</v>
      </c>
      <c r="E74" s="5">
        <f>IF(L73=1,CantPedido,0)</f>
        <v>15</v>
      </c>
      <c r="F74" s="5">
        <f>J73+E74</f>
        <v>16</v>
      </c>
      <c r="G74" s="5">
        <f>RANDBETWEEN(3,7)</f>
        <v>3</v>
      </c>
      <c r="H74" s="5">
        <f>MIN(F74,G74)</f>
        <v>3</v>
      </c>
      <c r="I74" s="5">
        <f>G74-H74</f>
        <v>0</v>
      </c>
      <c r="J74" s="5">
        <f>F74-H74</f>
        <v>13</v>
      </c>
      <c r="K74" s="5">
        <f>IF(I74&gt;0,1,0)</f>
        <v>0</v>
      </c>
      <c r="L74" s="5">
        <f>IF(J74&lt;PuntoReorden,1,0)</f>
        <v>0</v>
      </c>
      <c r="M74" s="9">
        <f>PrecioVenta*H74</f>
        <v>2040000</v>
      </c>
      <c r="N74" s="9">
        <f>CostoUnitario*E74</f>
        <v>9000000</v>
      </c>
      <c r="O74" s="9">
        <f>IF(E74&gt;0,CostoPedido,0)</f>
        <v>40000</v>
      </c>
      <c r="P74" s="9">
        <f>CostoAlm*(F74+J74)/2</f>
        <v>1160</v>
      </c>
      <c r="Q74" s="9">
        <f>CostoFijo*D74</f>
        <v>0</v>
      </c>
      <c r="R74" s="9">
        <f>M74-N74-O74-P74-Q74</f>
        <v>-7001160</v>
      </c>
      <c r="S74" s="21">
        <f>PuntoReorden</f>
        <v>7</v>
      </c>
      <c r="W74" s="7" t="n">
        <v>68</v>
      </c>
      <c r="X74" s="9" t="n">
        <v>100671200</v>
      </c>
      <c r="Y74" s="27" t="n">
        <v>0</v>
      </c>
      <c r="Z74" s="27" t="n">
        <v>0</v>
      </c>
      <c r="AA74" s="12" t="n">
        <v>13</v>
      </c>
    </row>
    <row r="75">
      <c r="A75" s="5">
        <f>A74+1</f>
        <v>70</v>
      </c>
      <c r="B75" s="20">
        <f>B74+IF(WEEKDAY(B74,2)=6,2,1)</f>
        <v>46104</v>
      </c>
      <c r="C75" s="5">
        <f>MONTH(B75)</f>
        <v>3</v>
      </c>
      <c r="D75" s="5">
        <f>IF(C75&lt;&gt;C74,1,0)</f>
        <v>0</v>
      </c>
      <c r="E75" s="5">
        <f>IF(L74=1,CantPedido,0)</f>
        <v>0</v>
      </c>
      <c r="F75" s="5">
        <f>J74+E75</f>
        <v>13</v>
      </c>
      <c r="G75" s="5">
        <f>RANDBETWEEN(3,7)</f>
        <v>7</v>
      </c>
      <c r="H75" s="5">
        <f>MIN(F75,G75)</f>
        <v>7</v>
      </c>
      <c r="I75" s="5">
        <f>G75-H75</f>
        <v>0</v>
      </c>
      <c r="J75" s="5">
        <f>F75-H75</f>
        <v>6</v>
      </c>
      <c r="K75" s="5">
        <f>IF(I75&gt;0,1,0)</f>
        <v>0</v>
      </c>
      <c r="L75" s="5">
        <f>IF(J75&lt;PuntoReorden,1,0)</f>
        <v>1</v>
      </c>
      <c r="M75" s="9">
        <f>PrecioVenta*H75</f>
        <v>4760000</v>
      </c>
      <c r="N75" s="9">
        <f>CostoUnitario*E75</f>
        <v>0</v>
      </c>
      <c r="O75" s="9">
        <f>IF(E75&gt;0,CostoPedido,0)</f>
        <v>0</v>
      </c>
      <c r="P75" s="9">
        <f>CostoAlm*(F75+J75)/2</f>
        <v>760</v>
      </c>
      <c r="Q75" s="9">
        <f>CostoFijo*D75</f>
        <v>0</v>
      </c>
      <c r="R75" s="9">
        <f>M75-N75-O75-P75-Q75</f>
        <v>4759240</v>
      </c>
      <c r="S75" s="21">
        <f>PuntoReorden</f>
        <v>7</v>
      </c>
      <c r="W75" s="7" t="n">
        <v>69</v>
      </c>
      <c r="X75" s="9" t="n">
        <v>98546840</v>
      </c>
      <c r="Y75" s="27" t="n">
        <v>0</v>
      </c>
      <c r="Z75" s="27" t="n">
        <v>0</v>
      </c>
      <c r="AA75" s="12" t="n">
        <v>11</v>
      </c>
    </row>
    <row r="76">
      <c r="A76" s="5">
        <f>A75+1</f>
        <v>71</v>
      </c>
      <c r="B76" s="20">
        <f>B75+IF(WEEKDAY(B75,2)=6,2,1)</f>
        <v>46105</v>
      </c>
      <c r="C76" s="5">
        <f>MONTH(B76)</f>
        <v>3</v>
      </c>
      <c r="D76" s="5">
        <f>IF(C76&lt;&gt;C75,1,0)</f>
        <v>0</v>
      </c>
      <c r="E76" s="5">
        <f>IF(L75=1,CantPedido,0)</f>
        <v>15</v>
      </c>
      <c r="F76" s="5">
        <f>J75+E76</f>
        <v>21</v>
      </c>
      <c r="G76" s="5">
        <f>RANDBETWEEN(3,7)</f>
        <v>4</v>
      </c>
      <c r="H76" s="5">
        <f>MIN(F76,G76)</f>
        <v>4</v>
      </c>
      <c r="I76" s="5">
        <f>G76-H76</f>
        <v>0</v>
      </c>
      <c r="J76" s="5">
        <f>F76-H76</f>
        <v>17</v>
      </c>
      <c r="K76" s="5">
        <f>IF(I76&gt;0,1,0)</f>
        <v>0</v>
      </c>
      <c r="L76" s="5">
        <f>IF(J76&lt;PuntoReorden,1,0)</f>
        <v>0</v>
      </c>
      <c r="M76" s="9">
        <f>PrecioVenta*H76</f>
        <v>2720000</v>
      </c>
      <c r="N76" s="9">
        <f>CostoUnitario*E76</f>
        <v>9000000</v>
      </c>
      <c r="O76" s="9">
        <f>IF(E76&gt;0,CostoPedido,0)</f>
        <v>40000</v>
      </c>
      <c r="P76" s="9">
        <f>CostoAlm*(F76+J76)/2</f>
        <v>1520</v>
      </c>
      <c r="Q76" s="9">
        <f>CostoFijo*D76</f>
        <v>0</v>
      </c>
      <c r="R76" s="9">
        <f>M76-N76-O76-P76-Q76</f>
        <v>-6321520</v>
      </c>
      <c r="S76" s="21">
        <f>PuntoReorden</f>
        <v>7</v>
      </c>
      <c r="W76" s="7" t="n">
        <v>70</v>
      </c>
      <c r="X76" s="9" t="n">
        <v>100871480</v>
      </c>
      <c r="Y76" s="27" t="n">
        <v>0</v>
      </c>
      <c r="Z76" s="27" t="n">
        <v>0</v>
      </c>
      <c r="AA76" s="12" t="n">
        <v>11</v>
      </c>
    </row>
    <row r="77">
      <c r="A77" s="5">
        <f>A76+1</f>
        <v>72</v>
      </c>
      <c r="B77" s="20">
        <f>B76+IF(WEEKDAY(B76,2)=6,2,1)</f>
        <v>46106</v>
      </c>
      <c r="C77" s="5">
        <f>MONTH(B77)</f>
        <v>3</v>
      </c>
      <c r="D77" s="5">
        <f>IF(C77&lt;&gt;C76,1,0)</f>
        <v>0</v>
      </c>
      <c r="E77" s="5">
        <f>IF(L76=1,CantPedido,0)</f>
        <v>0</v>
      </c>
      <c r="F77" s="5">
        <f>J76+E77</f>
        <v>17</v>
      </c>
      <c r="G77" s="5">
        <f>RANDBETWEEN(3,7)</f>
        <v>7</v>
      </c>
      <c r="H77" s="5">
        <f>MIN(F77,G77)</f>
        <v>7</v>
      </c>
      <c r="I77" s="5">
        <f>G77-H77</f>
        <v>0</v>
      </c>
      <c r="J77" s="5">
        <f>F77-H77</f>
        <v>10</v>
      </c>
      <c r="K77" s="5">
        <f>IF(I77&gt;0,1,0)</f>
        <v>0</v>
      </c>
      <c r="L77" s="5">
        <f>IF(J77&lt;PuntoReorden,1,0)</f>
        <v>0</v>
      </c>
      <c r="M77" s="9">
        <f>PrecioVenta*H77</f>
        <v>4760000</v>
      </c>
      <c r="N77" s="9">
        <f>CostoUnitario*E77</f>
        <v>0</v>
      </c>
      <c r="O77" s="9">
        <f>IF(E77&gt;0,CostoPedido,0)</f>
        <v>0</v>
      </c>
      <c r="P77" s="9">
        <f>CostoAlm*(F77+J77)/2</f>
        <v>1080</v>
      </c>
      <c r="Q77" s="9">
        <f>CostoFijo*D77</f>
        <v>0</v>
      </c>
      <c r="R77" s="9">
        <f>M77-N77-O77-P77-Q77</f>
        <v>4758920</v>
      </c>
      <c r="S77" s="21">
        <f>PuntoReorden</f>
        <v>7</v>
      </c>
      <c r="W77" s="7" t="n">
        <v>71</v>
      </c>
      <c r="X77" s="9" t="n">
        <v>98631800</v>
      </c>
      <c r="Y77" s="27" t="n">
        <v>0</v>
      </c>
      <c r="Z77" s="27" t="n">
        <v>0</v>
      </c>
      <c r="AA77" s="12" t="n">
        <v>16</v>
      </c>
    </row>
    <row r="78">
      <c r="A78" s="5">
        <f>A77+1</f>
        <v>73</v>
      </c>
      <c r="B78" s="20">
        <f>B77+IF(WEEKDAY(B77,2)=6,2,1)</f>
        <v>46107</v>
      </c>
      <c r="C78" s="5">
        <f>MONTH(B78)</f>
        <v>3</v>
      </c>
      <c r="D78" s="5">
        <f>IF(C78&lt;&gt;C77,1,0)</f>
        <v>0</v>
      </c>
      <c r="E78" s="5">
        <f>IF(L77=1,CantPedido,0)</f>
        <v>0</v>
      </c>
      <c r="F78" s="5">
        <f>J77+E78</f>
        <v>10</v>
      </c>
      <c r="G78" s="5">
        <f>RANDBETWEEN(3,7)</f>
        <v>6</v>
      </c>
      <c r="H78" s="5">
        <f>MIN(F78,G78)</f>
        <v>6</v>
      </c>
      <c r="I78" s="5">
        <f>G78-H78</f>
        <v>0</v>
      </c>
      <c r="J78" s="5">
        <f>F78-H78</f>
        <v>4</v>
      </c>
      <c r="K78" s="5">
        <f>IF(I78&gt;0,1,0)</f>
        <v>0</v>
      </c>
      <c r="L78" s="5">
        <f>IF(J78&lt;PuntoReorden,1,0)</f>
        <v>1</v>
      </c>
      <c r="M78" s="9">
        <f>PrecioVenta*H78</f>
        <v>4080000</v>
      </c>
      <c r="N78" s="9">
        <f>CostoUnitario*E78</f>
        <v>0</v>
      </c>
      <c r="O78" s="9">
        <f>IF(E78&gt;0,CostoPedido,0)</f>
        <v>0</v>
      </c>
      <c r="P78" s="9">
        <f>CostoAlm*(F78+J78)/2</f>
        <v>560</v>
      </c>
      <c r="Q78" s="9">
        <f>CostoFijo*D78</f>
        <v>0</v>
      </c>
      <c r="R78" s="9">
        <f>M78-N78-O78-P78-Q78</f>
        <v>4079440</v>
      </c>
      <c r="S78" s="21">
        <f>PuntoReorden</f>
        <v>7</v>
      </c>
      <c r="W78" s="7" t="n">
        <v>72</v>
      </c>
      <c r="X78" s="9" t="n">
        <v>97956480</v>
      </c>
      <c r="Y78" s="27" t="n">
        <v>0</v>
      </c>
      <c r="Z78" s="27" t="n">
        <v>0</v>
      </c>
      <c r="AA78" s="12" t="n">
        <v>17</v>
      </c>
    </row>
    <row r="79">
      <c r="A79" s="5">
        <f>A78+1</f>
        <v>74</v>
      </c>
      <c r="B79" s="20">
        <f>B78+IF(WEEKDAY(B78,2)=6,2,1)</f>
        <v>46108</v>
      </c>
      <c r="C79" s="5">
        <f>MONTH(B79)</f>
        <v>3</v>
      </c>
      <c r="D79" s="5">
        <f>IF(C79&lt;&gt;C78,1,0)</f>
        <v>0</v>
      </c>
      <c r="E79" s="5">
        <f>IF(L78=1,CantPedido,0)</f>
        <v>15</v>
      </c>
      <c r="F79" s="5">
        <f>J78+E79</f>
        <v>19</v>
      </c>
      <c r="G79" s="5">
        <f>RANDBETWEEN(3,7)</f>
        <v>4</v>
      </c>
      <c r="H79" s="5">
        <f>MIN(F79,G79)</f>
        <v>4</v>
      </c>
      <c r="I79" s="5">
        <f>G79-H79</f>
        <v>0</v>
      </c>
      <c r="J79" s="5">
        <f>F79-H79</f>
        <v>15</v>
      </c>
      <c r="K79" s="5">
        <f>IF(I79&gt;0,1,0)</f>
        <v>0</v>
      </c>
      <c r="L79" s="5">
        <f>IF(J79&lt;PuntoReorden,1,0)</f>
        <v>0</v>
      </c>
      <c r="M79" s="9">
        <f>PrecioVenta*H79</f>
        <v>2720000</v>
      </c>
      <c r="N79" s="9">
        <f>CostoUnitario*E79</f>
        <v>9000000</v>
      </c>
      <c r="O79" s="9">
        <f>IF(E79&gt;0,CostoPedido,0)</f>
        <v>40000</v>
      </c>
      <c r="P79" s="9">
        <f>CostoAlm*(F79+J79)/2</f>
        <v>1360</v>
      </c>
      <c r="Q79" s="9">
        <f>CostoFijo*D79</f>
        <v>0</v>
      </c>
      <c r="R79" s="9">
        <f>M79-N79-O79-P79-Q79</f>
        <v>-6321360</v>
      </c>
      <c r="S79" s="21">
        <f>PuntoReorden</f>
        <v>7</v>
      </c>
      <c r="W79" s="7" t="n">
        <v>73</v>
      </c>
      <c r="X79" s="9" t="n">
        <v>105427960</v>
      </c>
      <c r="Y79" s="27" t="n">
        <v>0</v>
      </c>
      <c r="Z79" s="27" t="n">
        <v>0</v>
      </c>
      <c r="AA79" s="12" t="n">
        <v>6</v>
      </c>
    </row>
    <row r="80">
      <c r="A80" s="5">
        <f>A79+1</f>
        <v>75</v>
      </c>
      <c r="B80" s="20">
        <f>B79+IF(WEEKDAY(B79,2)=6,2,1)</f>
        <v>46109</v>
      </c>
      <c r="C80" s="5">
        <f>MONTH(B80)</f>
        <v>3</v>
      </c>
      <c r="D80" s="5">
        <f>IF(C80&lt;&gt;C79,1,0)</f>
        <v>0</v>
      </c>
      <c r="E80" s="5">
        <f>IF(L79=1,CantPedido,0)</f>
        <v>0</v>
      </c>
      <c r="F80" s="5">
        <f>J79+E80</f>
        <v>15</v>
      </c>
      <c r="G80" s="5">
        <f>RANDBETWEEN(3,7)</f>
        <v>5</v>
      </c>
      <c r="H80" s="5">
        <f>MIN(F80,G80)</f>
        <v>5</v>
      </c>
      <c r="I80" s="5">
        <f>G80-H80</f>
        <v>0</v>
      </c>
      <c r="J80" s="5">
        <f>F80-H80</f>
        <v>10</v>
      </c>
      <c r="K80" s="5">
        <f>IF(I80&gt;0,1,0)</f>
        <v>0</v>
      </c>
      <c r="L80" s="5">
        <f>IF(J80&lt;PuntoReorden,1,0)</f>
        <v>0</v>
      </c>
      <c r="M80" s="9">
        <f>PrecioVenta*H80</f>
        <v>3400000</v>
      </c>
      <c r="N80" s="9">
        <f>CostoUnitario*E80</f>
        <v>0</v>
      </c>
      <c r="O80" s="9">
        <f>IF(E80&gt;0,CostoPedido,0)</f>
        <v>0</v>
      </c>
      <c r="P80" s="9">
        <f>CostoAlm*(F80+J80)/2</f>
        <v>1000</v>
      </c>
      <c r="Q80" s="9">
        <f>CostoFijo*D80</f>
        <v>0</v>
      </c>
      <c r="R80" s="9">
        <f>M80-N80-O80-P80-Q80</f>
        <v>3399000</v>
      </c>
      <c r="S80" s="21">
        <f>PuntoReorden</f>
        <v>7</v>
      </c>
      <c r="W80" s="7" t="n">
        <v>74</v>
      </c>
      <c r="X80" s="9" t="n">
        <v>102910240</v>
      </c>
      <c r="Y80" s="27" t="n">
        <v>0</v>
      </c>
      <c r="Z80" s="27" t="n">
        <v>0</v>
      </c>
      <c r="AA80" s="12" t="n">
        <v>8</v>
      </c>
    </row>
    <row r="81">
      <c r="A81" s="5">
        <f>A80+1</f>
        <v>76</v>
      </c>
      <c r="B81" s="20">
        <f>B80+IF(WEEKDAY(B80,2)=6,2,1)</f>
        <v>46111</v>
      </c>
      <c r="C81" s="5">
        <f>MONTH(B81)</f>
        <v>3</v>
      </c>
      <c r="D81" s="5">
        <f>IF(C81&lt;&gt;C80,1,0)</f>
        <v>0</v>
      </c>
      <c r="E81" s="5">
        <f>IF(L80=1,CantPedido,0)</f>
        <v>0</v>
      </c>
      <c r="F81" s="5">
        <f>J80+E81</f>
        <v>10</v>
      </c>
      <c r="G81" s="5">
        <f>RANDBETWEEN(3,7)</f>
        <v>5</v>
      </c>
      <c r="H81" s="5">
        <f>MIN(F81,G81)</f>
        <v>5</v>
      </c>
      <c r="I81" s="5">
        <f>G81-H81</f>
        <v>0</v>
      </c>
      <c r="J81" s="5">
        <f>F81-H81</f>
        <v>5</v>
      </c>
      <c r="K81" s="5">
        <f>IF(I81&gt;0,1,0)</f>
        <v>0</v>
      </c>
      <c r="L81" s="5">
        <f>IF(J81&lt;PuntoReorden,1,0)</f>
        <v>1</v>
      </c>
      <c r="M81" s="9">
        <f>PrecioVenta*H81</f>
        <v>3400000</v>
      </c>
      <c r="N81" s="9">
        <f>CostoUnitario*E81</f>
        <v>0</v>
      </c>
      <c r="O81" s="9">
        <f>IF(E81&gt;0,CostoPedido,0)</f>
        <v>0</v>
      </c>
      <c r="P81" s="9">
        <f>CostoAlm*(F81+J81)/2</f>
        <v>600</v>
      </c>
      <c r="Q81" s="9">
        <f>CostoFijo*D81</f>
        <v>0</v>
      </c>
      <c r="R81" s="9">
        <f>M81-N81-O81-P81-Q81</f>
        <v>3399400</v>
      </c>
      <c r="S81" s="21">
        <f>PuntoReorden</f>
        <v>7</v>
      </c>
      <c r="W81" s="7" t="n">
        <v>75</v>
      </c>
      <c r="X81" s="9" t="n">
        <v>103674840</v>
      </c>
      <c r="Y81" s="27" t="n">
        <v>0</v>
      </c>
      <c r="Z81" s="27" t="n">
        <v>0</v>
      </c>
      <c r="AA81" s="12" t="n">
        <v>12</v>
      </c>
    </row>
    <row r="82">
      <c r="A82" s="5">
        <f>A81+1</f>
        <v>77</v>
      </c>
      <c r="B82" s="20">
        <f>B81+IF(WEEKDAY(B81,2)=6,2,1)</f>
        <v>46112</v>
      </c>
      <c r="C82" s="5">
        <f>MONTH(B82)</f>
        <v>3</v>
      </c>
      <c r="D82" s="5">
        <f>IF(C82&lt;&gt;C81,1,0)</f>
        <v>0</v>
      </c>
      <c r="E82" s="5">
        <f>IF(L81=1,CantPedido,0)</f>
        <v>15</v>
      </c>
      <c r="F82" s="5">
        <f>J81+E82</f>
        <v>20</v>
      </c>
      <c r="G82" s="5">
        <f>RANDBETWEEN(3,7)</f>
        <v>6</v>
      </c>
      <c r="H82" s="5">
        <f>MIN(F82,G82)</f>
        <v>6</v>
      </c>
      <c r="I82" s="5">
        <f>G82-H82</f>
        <v>0</v>
      </c>
      <c r="J82" s="5">
        <f>F82-H82</f>
        <v>14</v>
      </c>
      <c r="K82" s="5">
        <f>IF(I82&gt;0,1,0)</f>
        <v>0</v>
      </c>
      <c r="L82" s="5">
        <f>IF(J82&lt;PuntoReorden,1,0)</f>
        <v>0</v>
      </c>
      <c r="M82" s="9">
        <f>PrecioVenta*H82</f>
        <v>4080000</v>
      </c>
      <c r="N82" s="9">
        <f>CostoUnitario*E82</f>
        <v>9000000</v>
      </c>
      <c r="O82" s="9">
        <f>IF(E82&gt;0,CostoPedido,0)</f>
        <v>40000</v>
      </c>
      <c r="P82" s="9">
        <f>CostoAlm*(F82+J82)/2</f>
        <v>1360</v>
      </c>
      <c r="Q82" s="9">
        <f>CostoFijo*D82</f>
        <v>0</v>
      </c>
      <c r="R82" s="9">
        <f>M82-N82-O82-P82-Q82</f>
        <v>-4961360</v>
      </c>
      <c r="S82" s="21">
        <f>PuntoReorden</f>
        <v>7</v>
      </c>
      <c r="W82" s="7" t="n">
        <v>76</v>
      </c>
      <c r="X82" s="9" t="n">
        <v>109316640</v>
      </c>
      <c r="Y82" s="27" t="n">
        <v>0</v>
      </c>
      <c r="Z82" s="27" t="n">
        <v>0</v>
      </c>
      <c r="AA82" s="12" t="n">
        <v>2</v>
      </c>
    </row>
    <row r="83">
      <c r="A83" s="5">
        <f>A82+1</f>
        <v>78</v>
      </c>
      <c r="B83" s="20">
        <f>B82+IF(WEEKDAY(B82,2)=6,2,1)</f>
        <v>46113</v>
      </c>
      <c r="C83" s="5">
        <f>MONTH(B83)</f>
        <v>4</v>
      </c>
      <c r="D83" s="5">
        <f>IF(C83&lt;&gt;C82,1,0)</f>
        <v>1</v>
      </c>
      <c r="E83" s="5">
        <f>IF(L82=1,CantPedido,0)</f>
        <v>0</v>
      </c>
      <c r="F83" s="5">
        <f>J82+E83</f>
        <v>14</v>
      </c>
      <c r="G83" s="5">
        <f>RANDBETWEEN(3,7)</f>
        <v>3</v>
      </c>
      <c r="H83" s="5">
        <f>MIN(F83,G83)</f>
        <v>3</v>
      </c>
      <c r="I83" s="5">
        <f>G83-H83</f>
        <v>0</v>
      </c>
      <c r="J83" s="5">
        <f>F83-H83</f>
        <v>11</v>
      </c>
      <c r="K83" s="5">
        <f>IF(I83&gt;0,1,0)</f>
        <v>0</v>
      </c>
      <c r="L83" s="5">
        <f>IF(J83&lt;PuntoReorden,1,0)</f>
        <v>0</v>
      </c>
      <c r="M83" s="9">
        <f>PrecioVenta*H83</f>
        <v>2040000</v>
      </c>
      <c r="N83" s="9">
        <f>CostoUnitario*E83</f>
        <v>0</v>
      </c>
      <c r="O83" s="9">
        <f>IF(E83&gt;0,CostoPedido,0)</f>
        <v>0</v>
      </c>
      <c r="P83" s="9">
        <f>CostoAlm*(F83+J83)/2</f>
        <v>1000</v>
      </c>
      <c r="Q83" s="9">
        <f>CostoFijo*D83</f>
        <v>1000000</v>
      </c>
      <c r="R83" s="9">
        <f>M83-N83-O83-P83-Q83</f>
        <v>1039000</v>
      </c>
      <c r="S83" s="21">
        <f>PuntoReorden</f>
        <v>7</v>
      </c>
      <c r="W83" s="7" t="n">
        <v>77</v>
      </c>
      <c r="X83" s="9" t="n">
        <v>99794080</v>
      </c>
      <c r="Y83" s="27" t="n">
        <v>0</v>
      </c>
      <c r="Z83" s="27" t="n">
        <v>0</v>
      </c>
      <c r="AA83" s="12" t="n">
        <v>16</v>
      </c>
    </row>
    <row r="84">
      <c r="A84" s="5">
        <f>A83+1</f>
        <v>79</v>
      </c>
      <c r="B84" s="20">
        <f>B83+IF(WEEKDAY(B83,2)=6,2,1)</f>
        <v>46114</v>
      </c>
      <c r="C84" s="5">
        <f>MONTH(B84)</f>
        <v>4</v>
      </c>
      <c r="D84" s="5">
        <f>IF(C84&lt;&gt;C83,1,0)</f>
        <v>0</v>
      </c>
      <c r="E84" s="5">
        <f>IF(L83=1,CantPedido,0)</f>
        <v>0</v>
      </c>
      <c r="F84" s="5">
        <f>J83+E84</f>
        <v>11</v>
      </c>
      <c r="G84" s="5">
        <f>RANDBETWEEN(3,7)</f>
        <v>4</v>
      </c>
      <c r="H84" s="5">
        <f>MIN(F84,G84)</f>
        <v>4</v>
      </c>
      <c r="I84" s="5">
        <f>G84-H84</f>
        <v>0</v>
      </c>
      <c r="J84" s="5">
        <f>F84-H84</f>
        <v>7</v>
      </c>
      <c r="K84" s="5">
        <f>IF(I84&gt;0,1,0)</f>
        <v>0</v>
      </c>
      <c r="L84" s="5">
        <f>IF(J84&lt;PuntoReorden,1,0)</f>
        <v>0</v>
      </c>
      <c r="M84" s="9">
        <f>PrecioVenta*H84</f>
        <v>2720000</v>
      </c>
      <c r="N84" s="9">
        <f>CostoUnitario*E84</f>
        <v>0</v>
      </c>
      <c r="O84" s="9">
        <f>IF(E84&gt;0,CostoPedido,0)</f>
        <v>0</v>
      </c>
      <c r="P84" s="9">
        <f>CostoAlm*(F84+J84)/2</f>
        <v>720</v>
      </c>
      <c r="Q84" s="9">
        <f>CostoFijo*D84</f>
        <v>0</v>
      </c>
      <c r="R84" s="9">
        <f>M84-N84-O84-P84-Q84</f>
        <v>2719280</v>
      </c>
      <c r="S84" s="21">
        <f>PuntoReorden</f>
        <v>7</v>
      </c>
      <c r="W84" s="7" t="n">
        <v>78</v>
      </c>
      <c r="X84" s="9" t="n">
        <v>104467880</v>
      </c>
      <c r="Y84" s="27" t="n">
        <v>0</v>
      </c>
      <c r="Z84" s="27" t="n">
        <v>0</v>
      </c>
      <c r="AA84" s="12" t="n">
        <v>4</v>
      </c>
    </row>
    <row r="85">
      <c r="A85" s="5">
        <f>A84+1</f>
        <v>80</v>
      </c>
      <c r="B85" s="20">
        <f>B84+IF(WEEKDAY(B84,2)=6,2,1)</f>
        <v>46115</v>
      </c>
      <c r="C85" s="5">
        <f>MONTH(B85)</f>
        <v>4</v>
      </c>
      <c r="D85" s="5">
        <f>IF(C85&lt;&gt;C84,1,0)</f>
        <v>0</v>
      </c>
      <c r="E85" s="5">
        <f>IF(L84=1,CantPedido,0)</f>
        <v>0</v>
      </c>
      <c r="F85" s="5">
        <f>J84+E85</f>
        <v>7</v>
      </c>
      <c r="G85" s="5">
        <f>RANDBETWEEN(3,7)</f>
        <v>4</v>
      </c>
      <c r="H85" s="5">
        <f>MIN(F85,G85)</f>
        <v>4</v>
      </c>
      <c r="I85" s="5">
        <f>G85-H85</f>
        <v>0</v>
      </c>
      <c r="J85" s="5">
        <f>F85-H85</f>
        <v>3</v>
      </c>
      <c r="K85" s="5">
        <f>IF(I85&gt;0,1,0)</f>
        <v>0</v>
      </c>
      <c r="L85" s="5">
        <f>IF(J85&lt;PuntoReorden,1,0)</f>
        <v>1</v>
      </c>
      <c r="M85" s="9">
        <f>PrecioVenta*H85</f>
        <v>2720000</v>
      </c>
      <c r="N85" s="9">
        <f>CostoUnitario*E85</f>
        <v>0</v>
      </c>
      <c r="O85" s="9">
        <f>IF(E85&gt;0,CostoPedido,0)</f>
        <v>0</v>
      </c>
      <c r="P85" s="9">
        <f>CostoAlm*(F85+J85)/2</f>
        <v>400</v>
      </c>
      <c r="Q85" s="9">
        <f>CostoFijo*D85</f>
        <v>0</v>
      </c>
      <c r="R85" s="9">
        <f>M85-N85-O85-P85-Q85</f>
        <v>2719600</v>
      </c>
      <c r="S85" s="21">
        <f>PuntoReorden</f>
        <v>7</v>
      </c>
      <c r="W85" s="7" t="n">
        <v>79</v>
      </c>
      <c r="X85" s="9" t="n">
        <v>103392400</v>
      </c>
      <c r="Y85" s="27" t="n">
        <v>0</v>
      </c>
      <c r="Z85" s="27" t="n">
        <v>0</v>
      </c>
      <c r="AA85" s="12" t="n">
        <v>9</v>
      </c>
    </row>
    <row r="86">
      <c r="A86" s="5">
        <f>A85+1</f>
        <v>81</v>
      </c>
      <c r="B86" s="20">
        <f>B85+IF(WEEKDAY(B85,2)=6,2,1)</f>
        <v>46116</v>
      </c>
      <c r="C86" s="5">
        <f>MONTH(B86)</f>
        <v>4</v>
      </c>
      <c r="D86" s="5">
        <f>IF(C86&lt;&gt;C85,1,0)</f>
        <v>0</v>
      </c>
      <c r="E86" s="5">
        <f>IF(L85=1,CantPedido,0)</f>
        <v>15</v>
      </c>
      <c r="F86" s="5">
        <f>J85+E86</f>
        <v>18</v>
      </c>
      <c r="G86" s="5">
        <f>RANDBETWEEN(3,7)</f>
        <v>7</v>
      </c>
      <c r="H86" s="5">
        <f>MIN(F86,G86)</f>
        <v>7</v>
      </c>
      <c r="I86" s="5">
        <f>G86-H86</f>
        <v>0</v>
      </c>
      <c r="J86" s="5">
        <f>F86-H86</f>
        <v>11</v>
      </c>
      <c r="K86" s="5">
        <f>IF(I86&gt;0,1,0)</f>
        <v>0</v>
      </c>
      <c r="L86" s="5">
        <f>IF(J86&lt;PuntoReorden,1,0)</f>
        <v>0</v>
      </c>
      <c r="M86" s="9">
        <f>PrecioVenta*H86</f>
        <v>4760000</v>
      </c>
      <c r="N86" s="9">
        <f>CostoUnitario*E86</f>
        <v>9000000</v>
      </c>
      <c r="O86" s="9">
        <f>IF(E86&gt;0,CostoPedido,0)</f>
        <v>40000</v>
      </c>
      <c r="P86" s="9">
        <f>CostoAlm*(F86+J86)/2</f>
        <v>1160</v>
      </c>
      <c r="Q86" s="9">
        <f>CostoFijo*D86</f>
        <v>0</v>
      </c>
      <c r="R86" s="9">
        <f>M86-N86-O86-P86-Q86</f>
        <v>-4281160</v>
      </c>
      <c r="S86" s="21">
        <f>PuntoReorden</f>
        <v>7</v>
      </c>
      <c r="W86" s="7" t="n">
        <v>80</v>
      </c>
      <c r="X86" s="9" t="n">
        <v>103587880</v>
      </c>
      <c r="Y86" s="27" t="n">
        <v>0</v>
      </c>
      <c r="Z86" s="27" t="n">
        <v>0</v>
      </c>
      <c r="AA86" s="12" t="n">
        <v>7</v>
      </c>
    </row>
    <row r="87">
      <c r="A87" s="5">
        <f>A86+1</f>
        <v>82</v>
      </c>
      <c r="B87" s="20">
        <f>B86+IF(WEEKDAY(B86,2)=6,2,1)</f>
        <v>46118</v>
      </c>
      <c r="C87" s="5">
        <f>MONTH(B87)</f>
        <v>4</v>
      </c>
      <c r="D87" s="5">
        <f>IF(C87&lt;&gt;C86,1,0)</f>
        <v>0</v>
      </c>
      <c r="E87" s="5">
        <f>IF(L86=1,CantPedido,0)</f>
        <v>0</v>
      </c>
      <c r="F87" s="5">
        <f>J86+E87</f>
        <v>11</v>
      </c>
      <c r="G87" s="5">
        <f>RANDBETWEEN(3,7)</f>
        <v>4</v>
      </c>
      <c r="H87" s="5">
        <f>MIN(F87,G87)</f>
        <v>4</v>
      </c>
      <c r="I87" s="5">
        <f>G87-H87</f>
        <v>0</v>
      </c>
      <c r="J87" s="5">
        <f>F87-H87</f>
        <v>7</v>
      </c>
      <c r="K87" s="5">
        <f>IF(I87&gt;0,1,0)</f>
        <v>0</v>
      </c>
      <c r="L87" s="5">
        <f>IF(J87&lt;PuntoReorden,1,0)</f>
        <v>0</v>
      </c>
      <c r="M87" s="9">
        <f>PrecioVenta*H87</f>
        <v>2720000</v>
      </c>
      <c r="N87" s="9">
        <f>CostoUnitario*E87</f>
        <v>0</v>
      </c>
      <c r="O87" s="9">
        <f>IF(E87&gt;0,CostoPedido,0)</f>
        <v>0</v>
      </c>
      <c r="P87" s="9">
        <f>CostoAlm*(F87+J87)/2</f>
        <v>720</v>
      </c>
      <c r="Q87" s="9">
        <f>CostoFijo*D87</f>
        <v>0</v>
      </c>
      <c r="R87" s="9">
        <f>M87-N87-O87-P87-Q87</f>
        <v>2719280</v>
      </c>
      <c r="S87" s="21">
        <f>PuntoReorden</f>
        <v>7</v>
      </c>
      <c r="W87" s="7" t="n">
        <v>81</v>
      </c>
      <c r="X87" s="9" t="n">
        <v>104476280</v>
      </c>
      <c r="Y87" s="27" t="n">
        <v>0</v>
      </c>
      <c r="Z87" s="27" t="n">
        <v>0</v>
      </c>
      <c r="AA87" s="12" t="n">
        <v>4</v>
      </c>
    </row>
    <row r="88">
      <c r="A88" s="5">
        <f>A87+1</f>
        <v>83</v>
      </c>
      <c r="B88" s="20">
        <f>B87+IF(WEEKDAY(B87,2)=6,2,1)</f>
        <v>46119</v>
      </c>
      <c r="C88" s="5">
        <f>MONTH(B88)</f>
        <v>4</v>
      </c>
      <c r="D88" s="5">
        <f>IF(C88&lt;&gt;C87,1,0)</f>
        <v>0</v>
      </c>
      <c r="E88" s="5">
        <f>IF(L87=1,CantPedido,0)</f>
        <v>0</v>
      </c>
      <c r="F88" s="5">
        <f>J87+E88</f>
        <v>7</v>
      </c>
      <c r="G88" s="5">
        <f>RANDBETWEEN(3,7)</f>
        <v>3</v>
      </c>
      <c r="H88" s="5">
        <f>MIN(F88,G88)</f>
        <v>3</v>
      </c>
      <c r="I88" s="5">
        <f>G88-H88</f>
        <v>0</v>
      </c>
      <c r="J88" s="5">
        <f>F88-H88</f>
        <v>4</v>
      </c>
      <c r="K88" s="5">
        <f>IF(I88&gt;0,1,0)</f>
        <v>0</v>
      </c>
      <c r="L88" s="5">
        <f>IF(J88&lt;PuntoReorden,1,0)</f>
        <v>1</v>
      </c>
      <c r="M88" s="9">
        <f>PrecioVenta*H88</f>
        <v>2040000</v>
      </c>
      <c r="N88" s="9">
        <f>CostoUnitario*E88</f>
        <v>0</v>
      </c>
      <c r="O88" s="9">
        <f>IF(E88&gt;0,CostoPedido,0)</f>
        <v>0</v>
      </c>
      <c r="P88" s="9">
        <f>CostoAlm*(F88+J88)/2</f>
        <v>440</v>
      </c>
      <c r="Q88" s="9">
        <f>CostoFijo*D88</f>
        <v>0</v>
      </c>
      <c r="R88" s="9">
        <f>M88-N88-O88-P88-Q88</f>
        <v>2039560</v>
      </c>
      <c r="S88" s="21">
        <f>PuntoReorden</f>
        <v>7</v>
      </c>
      <c r="W88" s="7" t="n">
        <v>82</v>
      </c>
      <c r="X88" s="9" t="n">
        <v>106795720</v>
      </c>
      <c r="Y88" s="27" t="n">
        <v>0</v>
      </c>
      <c r="Z88" s="27" t="n">
        <v>0</v>
      </c>
      <c r="AA88" s="12" t="n">
        <v>4</v>
      </c>
    </row>
    <row r="89">
      <c r="A89" s="5">
        <f>A88+1</f>
        <v>84</v>
      </c>
      <c r="B89" s="20">
        <f>B88+IF(WEEKDAY(B88,2)=6,2,1)</f>
        <v>46120</v>
      </c>
      <c r="C89" s="5">
        <f>MONTH(B89)</f>
        <v>4</v>
      </c>
      <c r="D89" s="5">
        <f>IF(C89&lt;&gt;C88,1,0)</f>
        <v>0</v>
      </c>
      <c r="E89" s="5">
        <f>IF(L88=1,CantPedido,0)</f>
        <v>15</v>
      </c>
      <c r="F89" s="5">
        <f>J88+E89</f>
        <v>19</v>
      </c>
      <c r="G89" s="5">
        <f>RANDBETWEEN(3,7)</f>
        <v>5</v>
      </c>
      <c r="H89" s="5">
        <f>MIN(F89,G89)</f>
        <v>5</v>
      </c>
      <c r="I89" s="5">
        <f>G89-H89</f>
        <v>0</v>
      </c>
      <c r="J89" s="5">
        <f>F89-H89</f>
        <v>14</v>
      </c>
      <c r="K89" s="5">
        <f>IF(I89&gt;0,1,0)</f>
        <v>0</v>
      </c>
      <c r="L89" s="5">
        <f>IF(J89&lt;PuntoReorden,1,0)</f>
        <v>0</v>
      </c>
      <c r="M89" s="9">
        <f>PrecioVenta*H89</f>
        <v>3400000</v>
      </c>
      <c r="N89" s="9">
        <f>CostoUnitario*E89</f>
        <v>9000000</v>
      </c>
      <c r="O89" s="9">
        <f>IF(E89&gt;0,CostoPedido,0)</f>
        <v>40000</v>
      </c>
      <c r="P89" s="9">
        <f>CostoAlm*(F89+J89)/2</f>
        <v>1320</v>
      </c>
      <c r="Q89" s="9">
        <f>CostoFijo*D89</f>
        <v>0</v>
      </c>
      <c r="R89" s="9">
        <f>M89-N89-O89-P89-Q89</f>
        <v>-5641320</v>
      </c>
      <c r="S89" s="21">
        <f>PuntoReorden</f>
        <v>7</v>
      </c>
      <c r="W89" s="7" t="n">
        <v>83</v>
      </c>
      <c r="X89" s="9" t="n">
        <v>106799400</v>
      </c>
      <c r="Y89" s="27" t="n">
        <v>0</v>
      </c>
      <c r="Z89" s="27" t="n">
        <v>0</v>
      </c>
      <c r="AA89" s="12" t="n">
        <v>4</v>
      </c>
    </row>
    <row r="90">
      <c r="A90" s="5">
        <f>A89+1</f>
        <v>85</v>
      </c>
      <c r="B90" s="20">
        <f>B89+IF(WEEKDAY(B89,2)=6,2,1)</f>
        <v>46121</v>
      </c>
      <c r="C90" s="5">
        <f>MONTH(B90)</f>
        <v>4</v>
      </c>
      <c r="D90" s="5">
        <f>IF(C90&lt;&gt;C89,1,0)</f>
        <v>0</v>
      </c>
      <c r="E90" s="5">
        <f>IF(L89=1,CantPedido,0)</f>
        <v>0</v>
      </c>
      <c r="F90" s="5">
        <f>J89+E90</f>
        <v>14</v>
      </c>
      <c r="G90" s="5">
        <f>RANDBETWEEN(3,7)</f>
        <v>6</v>
      </c>
      <c r="H90" s="5">
        <f>MIN(F90,G90)</f>
        <v>6</v>
      </c>
      <c r="I90" s="5">
        <f>G90-H90</f>
        <v>0</v>
      </c>
      <c r="J90" s="5">
        <f>F90-H90</f>
        <v>8</v>
      </c>
      <c r="K90" s="5">
        <f>IF(I90&gt;0,1,0)</f>
        <v>0</v>
      </c>
      <c r="L90" s="5">
        <f>IF(J90&lt;PuntoReorden,1,0)</f>
        <v>0</v>
      </c>
      <c r="M90" s="9">
        <f>PrecioVenta*H90</f>
        <v>4080000</v>
      </c>
      <c r="N90" s="9">
        <f>CostoUnitario*E90</f>
        <v>0</v>
      </c>
      <c r="O90" s="9">
        <f>IF(E90&gt;0,CostoPedido,0)</f>
        <v>0</v>
      </c>
      <c r="P90" s="9">
        <f>CostoAlm*(F90+J90)/2</f>
        <v>880</v>
      </c>
      <c r="Q90" s="9">
        <f>CostoFijo*D90</f>
        <v>0</v>
      </c>
      <c r="R90" s="9">
        <f>M90-N90-O90-P90-Q90</f>
        <v>4079120</v>
      </c>
      <c r="S90" s="21">
        <f>PuntoReorden</f>
        <v>7</v>
      </c>
      <c r="W90" s="7" t="n">
        <v>84</v>
      </c>
      <c r="X90" s="9" t="n">
        <v>110472040</v>
      </c>
      <c r="Y90" s="27" t="n">
        <v>0</v>
      </c>
      <c r="Z90" s="27" t="n">
        <v>0</v>
      </c>
      <c r="AA90" s="12" t="n">
        <v>2</v>
      </c>
    </row>
    <row r="91">
      <c r="A91" s="5">
        <f>A90+1</f>
        <v>86</v>
      </c>
      <c r="B91" s="20">
        <f>B90+IF(WEEKDAY(B90,2)=6,2,1)</f>
        <v>46122</v>
      </c>
      <c r="C91" s="5">
        <f>MONTH(B91)</f>
        <v>4</v>
      </c>
      <c r="D91" s="5">
        <f>IF(C91&lt;&gt;C90,1,0)</f>
        <v>0</v>
      </c>
      <c r="E91" s="5">
        <f>IF(L90=1,CantPedido,0)</f>
        <v>0</v>
      </c>
      <c r="F91" s="5">
        <f>J90+E91</f>
        <v>8</v>
      </c>
      <c r="G91" s="5">
        <f>RANDBETWEEN(3,7)</f>
        <v>7</v>
      </c>
      <c r="H91" s="5">
        <f>MIN(F91,G91)</f>
        <v>7</v>
      </c>
      <c r="I91" s="5">
        <f>G91-H91</f>
        <v>0</v>
      </c>
      <c r="J91" s="5">
        <f>F91-H91</f>
        <v>1</v>
      </c>
      <c r="K91" s="5">
        <f>IF(I91&gt;0,1,0)</f>
        <v>0</v>
      </c>
      <c r="L91" s="5">
        <f>IF(J91&lt;PuntoReorden,1,0)</f>
        <v>1</v>
      </c>
      <c r="M91" s="9">
        <f>PrecioVenta*H91</f>
        <v>4760000</v>
      </c>
      <c r="N91" s="9">
        <f>CostoUnitario*E91</f>
        <v>0</v>
      </c>
      <c r="O91" s="9">
        <f>IF(E91&gt;0,CostoPedido,0)</f>
        <v>0</v>
      </c>
      <c r="P91" s="9">
        <f>CostoAlm*(F91+J91)/2</f>
        <v>360</v>
      </c>
      <c r="Q91" s="9">
        <f>CostoFijo*D91</f>
        <v>0</v>
      </c>
      <c r="R91" s="9">
        <f>M91-N91-O91-P91-Q91</f>
        <v>4759640</v>
      </c>
      <c r="S91" s="21">
        <f>PuntoReorden</f>
        <v>7</v>
      </c>
      <c r="W91" s="7" t="n">
        <v>85</v>
      </c>
      <c r="X91" s="9" t="n">
        <v>104757440</v>
      </c>
      <c r="Y91" s="27" t="n">
        <v>0</v>
      </c>
      <c r="Z91" s="27" t="n">
        <v>0</v>
      </c>
      <c r="AA91" s="12" t="n">
        <v>7</v>
      </c>
    </row>
    <row r="92">
      <c r="A92" s="5">
        <f>A91+1</f>
        <v>87</v>
      </c>
      <c r="B92" s="20">
        <f>B91+IF(WEEKDAY(B91,2)=6,2,1)</f>
        <v>46123</v>
      </c>
      <c r="C92" s="5">
        <f>MONTH(B92)</f>
        <v>4</v>
      </c>
      <c r="D92" s="5">
        <f>IF(C92&lt;&gt;C91,1,0)</f>
        <v>0</v>
      </c>
      <c r="E92" s="5">
        <f>IF(L91=1,CantPedido,0)</f>
        <v>15</v>
      </c>
      <c r="F92" s="5">
        <f>J91+E92</f>
        <v>16</v>
      </c>
      <c r="G92" s="5">
        <f>RANDBETWEEN(3,7)</f>
        <v>6</v>
      </c>
      <c r="H92" s="5">
        <f>MIN(F92,G92)</f>
        <v>6</v>
      </c>
      <c r="I92" s="5">
        <f>G92-H92</f>
        <v>0</v>
      </c>
      <c r="J92" s="5">
        <f>F92-H92</f>
        <v>10</v>
      </c>
      <c r="K92" s="5">
        <f>IF(I92&gt;0,1,0)</f>
        <v>0</v>
      </c>
      <c r="L92" s="5">
        <f>IF(J92&lt;PuntoReorden,1,0)</f>
        <v>0</v>
      </c>
      <c r="M92" s="9">
        <f>PrecioVenta*H92</f>
        <v>4080000</v>
      </c>
      <c r="N92" s="9">
        <f>CostoUnitario*E92</f>
        <v>9000000</v>
      </c>
      <c r="O92" s="9">
        <f>IF(E92&gt;0,CostoPedido,0)</f>
        <v>40000</v>
      </c>
      <c r="P92" s="9">
        <f>CostoAlm*(F92+J92)/2</f>
        <v>1040</v>
      </c>
      <c r="Q92" s="9">
        <f>CostoFijo*D92</f>
        <v>0</v>
      </c>
      <c r="R92" s="9">
        <f>M92-N92-O92-P92-Q92</f>
        <v>-4961040</v>
      </c>
      <c r="S92" s="21">
        <f>PuntoReorden</f>
        <v>7</v>
      </c>
      <c r="W92" s="7" t="n">
        <v>86</v>
      </c>
      <c r="X92" s="9" t="n">
        <v>98346800</v>
      </c>
      <c r="Y92" s="27" t="n">
        <v>0</v>
      </c>
      <c r="Z92" s="27" t="n">
        <v>0</v>
      </c>
      <c r="AA92" s="12" t="n">
        <v>13</v>
      </c>
    </row>
    <row r="93">
      <c r="A93" s="5">
        <f>A92+1</f>
        <v>88</v>
      </c>
      <c r="B93" s="20">
        <f>B92+IF(WEEKDAY(B92,2)=6,2,1)</f>
        <v>46125</v>
      </c>
      <c r="C93" s="5">
        <f>MONTH(B93)</f>
        <v>4</v>
      </c>
      <c r="D93" s="5">
        <f>IF(C93&lt;&gt;C92,1,0)</f>
        <v>0</v>
      </c>
      <c r="E93" s="5">
        <f>IF(L92=1,CantPedido,0)</f>
        <v>0</v>
      </c>
      <c r="F93" s="5">
        <f>J92+E93</f>
        <v>10</v>
      </c>
      <c r="G93" s="5">
        <f>RANDBETWEEN(3,7)</f>
        <v>3</v>
      </c>
      <c r="H93" s="5">
        <f>MIN(F93,G93)</f>
        <v>3</v>
      </c>
      <c r="I93" s="5">
        <f>G93-H93</f>
        <v>0</v>
      </c>
      <c r="J93" s="5">
        <f>F93-H93</f>
        <v>7</v>
      </c>
      <c r="K93" s="5">
        <f>IF(I93&gt;0,1,0)</f>
        <v>0</v>
      </c>
      <c r="L93" s="5">
        <f>IF(J93&lt;PuntoReorden,1,0)</f>
        <v>0</v>
      </c>
      <c r="M93" s="9">
        <f>PrecioVenta*H93</f>
        <v>2040000</v>
      </c>
      <c r="N93" s="9">
        <f>CostoUnitario*E93</f>
        <v>0</v>
      </c>
      <c r="O93" s="9">
        <f>IF(E93&gt;0,CostoPedido,0)</f>
        <v>0</v>
      </c>
      <c r="P93" s="9">
        <f>CostoAlm*(F93+J93)/2</f>
        <v>680</v>
      </c>
      <c r="Q93" s="9">
        <f>CostoFijo*D93</f>
        <v>0</v>
      </c>
      <c r="R93" s="9">
        <f>M93-N93-O93-P93-Q93</f>
        <v>2039320</v>
      </c>
      <c r="S93" s="21">
        <f>PuntoReorden</f>
        <v>7</v>
      </c>
      <c r="W93" s="7" t="n">
        <v>87</v>
      </c>
      <c r="X93" s="9" t="n">
        <v>97469360</v>
      </c>
      <c r="Y93" s="27" t="n">
        <v>0</v>
      </c>
      <c r="Z93" s="27" t="n">
        <v>0</v>
      </c>
      <c r="AA93" s="12" t="n">
        <v>16</v>
      </c>
    </row>
    <row r="94">
      <c r="A94" s="5">
        <f>A93+1</f>
        <v>89</v>
      </c>
      <c r="B94" s="20">
        <f>B93+IF(WEEKDAY(B93,2)=6,2,1)</f>
        <v>46126</v>
      </c>
      <c r="C94" s="5">
        <f>MONTH(B94)</f>
        <v>4</v>
      </c>
      <c r="D94" s="5">
        <f>IF(C94&lt;&gt;C93,1,0)</f>
        <v>0</v>
      </c>
      <c r="E94" s="5">
        <f>IF(L93=1,CantPedido,0)</f>
        <v>0</v>
      </c>
      <c r="F94" s="5">
        <f>J93+E94</f>
        <v>7</v>
      </c>
      <c r="G94" s="5">
        <f>RANDBETWEEN(3,7)</f>
        <v>6</v>
      </c>
      <c r="H94" s="5">
        <f>MIN(F94,G94)</f>
        <v>6</v>
      </c>
      <c r="I94" s="5">
        <f>G94-H94</f>
        <v>0</v>
      </c>
      <c r="J94" s="5">
        <f>F94-H94</f>
        <v>1</v>
      </c>
      <c r="K94" s="5">
        <f>IF(I94&gt;0,1,0)</f>
        <v>0</v>
      </c>
      <c r="L94" s="5">
        <f>IF(J94&lt;PuntoReorden,1,0)</f>
        <v>1</v>
      </c>
      <c r="M94" s="9">
        <f>PrecioVenta*H94</f>
        <v>4080000</v>
      </c>
      <c r="N94" s="9">
        <f>CostoUnitario*E94</f>
        <v>0</v>
      </c>
      <c r="O94" s="9">
        <f>IF(E94&gt;0,CostoPedido,0)</f>
        <v>0</v>
      </c>
      <c r="P94" s="9">
        <f>CostoAlm*(F94+J94)/2</f>
        <v>320</v>
      </c>
      <c r="Q94" s="9">
        <f>CostoFijo*D94</f>
        <v>0</v>
      </c>
      <c r="R94" s="9">
        <f>M94-N94-O94-P94-Q94</f>
        <v>4079680</v>
      </c>
      <c r="S94" s="21">
        <f>PuntoReorden</f>
        <v>7</v>
      </c>
      <c r="W94" s="7" t="n">
        <v>88</v>
      </c>
      <c r="X94" s="9" t="n">
        <v>101639280</v>
      </c>
      <c r="Y94" s="27" t="n">
        <v>0</v>
      </c>
      <c r="Z94" s="27" t="n">
        <v>0</v>
      </c>
      <c r="AA94" s="12" t="n">
        <v>15</v>
      </c>
    </row>
    <row r="95">
      <c r="A95" s="5">
        <f>A94+1</f>
        <v>90</v>
      </c>
      <c r="B95" s="20">
        <f>B94+IF(WEEKDAY(B94,2)=6,2,1)</f>
        <v>46127</v>
      </c>
      <c r="C95" s="5">
        <f>MONTH(B95)</f>
        <v>4</v>
      </c>
      <c r="D95" s="5">
        <f>IF(C95&lt;&gt;C94,1,0)</f>
        <v>0</v>
      </c>
      <c r="E95" s="5">
        <f>IF(L94=1,CantPedido,0)</f>
        <v>15</v>
      </c>
      <c r="F95" s="5">
        <f>J94+E95</f>
        <v>16</v>
      </c>
      <c r="G95" s="5">
        <f>RANDBETWEEN(3,7)</f>
        <v>5</v>
      </c>
      <c r="H95" s="5">
        <f>MIN(F95,G95)</f>
        <v>5</v>
      </c>
      <c r="I95" s="5">
        <f>G95-H95</f>
        <v>0</v>
      </c>
      <c r="J95" s="5">
        <f>F95-H95</f>
        <v>11</v>
      </c>
      <c r="K95" s="5">
        <f>IF(I95&gt;0,1,0)</f>
        <v>0</v>
      </c>
      <c r="L95" s="5">
        <f>IF(J95&lt;PuntoReorden,1,0)</f>
        <v>0</v>
      </c>
      <c r="M95" s="9">
        <f>PrecioVenta*H95</f>
        <v>3400000</v>
      </c>
      <c r="N95" s="9">
        <f>CostoUnitario*E95</f>
        <v>9000000</v>
      </c>
      <c r="O95" s="9">
        <f>IF(E95&gt;0,CostoPedido,0)</f>
        <v>40000</v>
      </c>
      <c r="P95" s="9">
        <f>CostoAlm*(F95+J95)/2</f>
        <v>1080</v>
      </c>
      <c r="Q95" s="9">
        <f>CostoFijo*D95</f>
        <v>0</v>
      </c>
      <c r="R95" s="9">
        <f>M95-N95-O95-P95-Q95</f>
        <v>-5641080</v>
      </c>
      <c r="S95" s="21">
        <f>PuntoReorden</f>
        <v>7</v>
      </c>
      <c r="W95" s="7" t="n">
        <v>89</v>
      </c>
      <c r="X95" s="9" t="n">
        <v>100588240</v>
      </c>
      <c r="Y95" s="27" t="n">
        <v>0</v>
      </c>
      <c r="Z95" s="27" t="n">
        <v>0</v>
      </c>
      <c r="AA95" s="12" t="n">
        <v>8</v>
      </c>
    </row>
    <row r="96">
      <c r="A96" s="5">
        <f>A95+1</f>
        <v>91</v>
      </c>
      <c r="B96" s="20">
        <f>B95+IF(WEEKDAY(B95,2)=6,2,1)</f>
        <v>46128</v>
      </c>
      <c r="C96" s="5">
        <f>MONTH(B96)</f>
        <v>4</v>
      </c>
      <c r="D96" s="5">
        <f>IF(C96&lt;&gt;C95,1,0)</f>
        <v>0</v>
      </c>
      <c r="E96" s="5">
        <f>IF(L95=1,CantPedido,0)</f>
        <v>0</v>
      </c>
      <c r="F96" s="5">
        <f>J95+E96</f>
        <v>11</v>
      </c>
      <c r="G96" s="5">
        <f>RANDBETWEEN(3,7)</f>
        <v>3</v>
      </c>
      <c r="H96" s="5">
        <f>MIN(F96,G96)</f>
        <v>3</v>
      </c>
      <c r="I96" s="5">
        <f>G96-H96</f>
        <v>0</v>
      </c>
      <c r="J96" s="5">
        <f>F96-H96</f>
        <v>8</v>
      </c>
      <c r="K96" s="5">
        <f>IF(I96&gt;0,1,0)</f>
        <v>0</v>
      </c>
      <c r="L96" s="5">
        <f>IF(J96&lt;PuntoReorden,1,0)</f>
        <v>0</v>
      </c>
      <c r="M96" s="9">
        <f>PrecioVenta*H96</f>
        <v>2040000</v>
      </c>
      <c r="N96" s="9">
        <f>CostoUnitario*E96</f>
        <v>0</v>
      </c>
      <c r="O96" s="9">
        <f>IF(E96&gt;0,CostoPedido,0)</f>
        <v>0</v>
      </c>
      <c r="P96" s="9">
        <f>CostoAlm*(F96+J96)/2</f>
        <v>760</v>
      </c>
      <c r="Q96" s="9">
        <f>CostoFijo*D96</f>
        <v>0</v>
      </c>
      <c r="R96" s="9">
        <f>M96-N96-O96-P96-Q96</f>
        <v>2039240</v>
      </c>
      <c r="S96" s="21">
        <f>PuntoReorden</f>
        <v>7</v>
      </c>
      <c r="W96" s="7" t="n">
        <v>90</v>
      </c>
      <c r="X96" s="9" t="n">
        <v>102427360</v>
      </c>
      <c r="Y96" s="27" t="n">
        <v>0</v>
      </c>
      <c r="Z96" s="27" t="n">
        <v>0</v>
      </c>
      <c r="AA96" s="12" t="n">
        <v>7</v>
      </c>
    </row>
    <row r="97">
      <c r="A97" s="5">
        <f>A96+1</f>
        <v>92</v>
      </c>
      <c r="B97" s="20">
        <f>B96+IF(WEEKDAY(B96,2)=6,2,1)</f>
        <v>46129</v>
      </c>
      <c r="C97" s="5">
        <f>MONTH(B97)</f>
        <v>4</v>
      </c>
      <c r="D97" s="5">
        <f>IF(C97&lt;&gt;C96,1,0)</f>
        <v>0</v>
      </c>
      <c r="E97" s="5">
        <f>IF(L96=1,CantPedido,0)</f>
        <v>0</v>
      </c>
      <c r="F97" s="5">
        <f>J96+E97</f>
        <v>8</v>
      </c>
      <c r="G97" s="5">
        <f>RANDBETWEEN(3,7)</f>
        <v>6</v>
      </c>
      <c r="H97" s="5">
        <f>MIN(F97,G97)</f>
        <v>6</v>
      </c>
      <c r="I97" s="5">
        <f>G97-H97</f>
        <v>0</v>
      </c>
      <c r="J97" s="5">
        <f>F97-H97</f>
        <v>2</v>
      </c>
      <c r="K97" s="5">
        <f>IF(I97&gt;0,1,0)</f>
        <v>0</v>
      </c>
      <c r="L97" s="5">
        <f>IF(J97&lt;PuntoReorden,1,0)</f>
        <v>1</v>
      </c>
      <c r="M97" s="9">
        <f>PrecioVenta*H97</f>
        <v>4080000</v>
      </c>
      <c r="N97" s="9">
        <f>CostoUnitario*E97</f>
        <v>0</v>
      </c>
      <c r="O97" s="9">
        <f>IF(E97&gt;0,CostoPedido,0)</f>
        <v>0</v>
      </c>
      <c r="P97" s="9">
        <f>CostoAlm*(F97+J97)/2</f>
        <v>400</v>
      </c>
      <c r="Q97" s="9">
        <f>CostoFijo*D97</f>
        <v>0</v>
      </c>
      <c r="R97" s="9">
        <f>M97-N97-O97-P97-Q97</f>
        <v>4079600</v>
      </c>
      <c r="S97" s="21">
        <f>PuntoReorden</f>
        <v>7</v>
      </c>
      <c r="W97" s="7" t="n">
        <v>91</v>
      </c>
      <c r="X97" s="9" t="n">
        <v>99228560</v>
      </c>
      <c r="Y97" s="27" t="n">
        <v>0</v>
      </c>
      <c r="Z97" s="27" t="n">
        <v>0</v>
      </c>
      <c r="AA97" s="12" t="n">
        <v>10</v>
      </c>
    </row>
    <row r="98">
      <c r="A98" s="5">
        <f>A97+1</f>
        <v>93</v>
      </c>
      <c r="B98" s="20">
        <f>B97+IF(WEEKDAY(B97,2)=6,2,1)</f>
        <v>46130</v>
      </c>
      <c r="C98" s="5">
        <f>MONTH(B98)</f>
        <v>4</v>
      </c>
      <c r="D98" s="5">
        <f>IF(C98&lt;&gt;C97,1,0)</f>
        <v>0</v>
      </c>
      <c r="E98" s="5">
        <f>IF(L97=1,CantPedido,0)</f>
        <v>15</v>
      </c>
      <c r="F98" s="5">
        <f>J97+E98</f>
        <v>17</v>
      </c>
      <c r="G98" s="5">
        <f>RANDBETWEEN(3,7)</f>
        <v>3</v>
      </c>
      <c r="H98" s="5">
        <f>MIN(F98,G98)</f>
        <v>3</v>
      </c>
      <c r="I98" s="5">
        <f>G98-H98</f>
        <v>0</v>
      </c>
      <c r="J98" s="5">
        <f>F98-H98</f>
        <v>14</v>
      </c>
      <c r="K98" s="5">
        <f>IF(I98&gt;0,1,0)</f>
        <v>0</v>
      </c>
      <c r="L98" s="5">
        <f>IF(J98&lt;PuntoReorden,1,0)</f>
        <v>0</v>
      </c>
      <c r="M98" s="9">
        <f>PrecioVenta*H98</f>
        <v>2040000</v>
      </c>
      <c r="N98" s="9">
        <f>CostoUnitario*E98</f>
        <v>9000000</v>
      </c>
      <c r="O98" s="9">
        <f>IF(E98&gt;0,CostoPedido,0)</f>
        <v>40000</v>
      </c>
      <c r="P98" s="9">
        <f>CostoAlm*(F98+J98)/2</f>
        <v>1240</v>
      </c>
      <c r="Q98" s="9">
        <f>CostoFijo*D98</f>
        <v>0</v>
      </c>
      <c r="R98" s="9">
        <f>M98-N98-O98-P98-Q98</f>
        <v>-7001240</v>
      </c>
      <c r="S98" s="21">
        <f>PuntoReorden</f>
        <v>7</v>
      </c>
      <c r="W98" s="7" t="n">
        <v>92</v>
      </c>
      <c r="X98" s="9" t="n">
        <v>105631840</v>
      </c>
      <c r="Y98" s="27" t="n">
        <v>0</v>
      </c>
      <c r="Z98" s="27" t="n">
        <v>0</v>
      </c>
      <c r="AA98" s="12" t="n">
        <v>4</v>
      </c>
    </row>
    <row r="99">
      <c r="A99" s="5">
        <f>A98+1</f>
        <v>94</v>
      </c>
      <c r="B99" s="20">
        <f>B98+IF(WEEKDAY(B98,2)=6,2,1)</f>
        <v>46132</v>
      </c>
      <c r="C99" s="5">
        <f>MONTH(B99)</f>
        <v>4</v>
      </c>
      <c r="D99" s="5">
        <f>IF(C99&lt;&gt;C98,1,0)</f>
        <v>0</v>
      </c>
      <c r="E99" s="5">
        <f>IF(L98=1,CantPedido,0)</f>
        <v>0</v>
      </c>
      <c r="F99" s="5">
        <f>J98+E99</f>
        <v>14</v>
      </c>
      <c r="G99" s="5">
        <f>RANDBETWEEN(3,7)</f>
        <v>5</v>
      </c>
      <c r="H99" s="5">
        <f>MIN(F99,G99)</f>
        <v>5</v>
      </c>
      <c r="I99" s="5">
        <f>G99-H99</f>
        <v>0</v>
      </c>
      <c r="J99" s="5">
        <f>F99-H99</f>
        <v>9</v>
      </c>
      <c r="K99" s="5">
        <f>IF(I99&gt;0,1,0)</f>
        <v>0</v>
      </c>
      <c r="L99" s="5">
        <f>IF(J99&lt;PuntoReorden,1,0)</f>
        <v>0</v>
      </c>
      <c r="M99" s="9">
        <f>PrecioVenta*H99</f>
        <v>3400000</v>
      </c>
      <c r="N99" s="9">
        <f>CostoUnitario*E99</f>
        <v>0</v>
      </c>
      <c r="O99" s="9">
        <f>IF(E99&gt;0,CostoPedido,0)</f>
        <v>0</v>
      </c>
      <c r="P99" s="9">
        <f>CostoAlm*(F99+J99)/2</f>
        <v>920</v>
      </c>
      <c r="Q99" s="9">
        <f>CostoFijo*D99</f>
        <v>0</v>
      </c>
      <c r="R99" s="9">
        <f>M99-N99-O99-P99-Q99</f>
        <v>3399080</v>
      </c>
      <c r="S99" s="21">
        <f>PuntoReorden</f>
        <v>7</v>
      </c>
      <c r="W99" s="7" t="n">
        <v>93</v>
      </c>
      <c r="X99" s="9" t="n">
        <v>97948560</v>
      </c>
      <c r="Y99" s="27" t="n">
        <v>0</v>
      </c>
      <c r="Z99" s="27" t="n">
        <v>0</v>
      </c>
      <c r="AA99" s="12" t="n">
        <v>17</v>
      </c>
    </row>
    <row r="100">
      <c r="A100" s="5">
        <f>A99+1</f>
        <v>95</v>
      </c>
      <c r="B100" s="20">
        <f>B99+IF(WEEKDAY(B99,2)=6,2,1)</f>
        <v>46133</v>
      </c>
      <c r="C100" s="5">
        <f>MONTH(B100)</f>
        <v>4</v>
      </c>
      <c r="D100" s="5">
        <f>IF(C100&lt;&gt;C99,1,0)</f>
        <v>0</v>
      </c>
      <c r="E100" s="5">
        <f>IF(L99=1,CantPedido,0)</f>
        <v>0</v>
      </c>
      <c r="F100" s="5">
        <f>J99+E100</f>
        <v>9</v>
      </c>
      <c r="G100" s="5">
        <f>RANDBETWEEN(3,7)</f>
        <v>7</v>
      </c>
      <c r="H100" s="5">
        <f>MIN(F100,G100)</f>
        <v>7</v>
      </c>
      <c r="I100" s="5">
        <f>G100-H100</f>
        <v>0</v>
      </c>
      <c r="J100" s="5">
        <f>F100-H100</f>
        <v>2</v>
      </c>
      <c r="K100" s="5">
        <f>IF(I100&gt;0,1,0)</f>
        <v>0</v>
      </c>
      <c r="L100" s="5">
        <f>IF(J100&lt;PuntoReorden,1,0)</f>
        <v>1</v>
      </c>
      <c r="M100" s="9">
        <f>PrecioVenta*H100</f>
        <v>4760000</v>
      </c>
      <c r="N100" s="9">
        <f>CostoUnitario*E100</f>
        <v>0</v>
      </c>
      <c r="O100" s="9">
        <f>IF(E100&gt;0,CostoPedido,0)</f>
        <v>0</v>
      </c>
      <c r="P100" s="9">
        <f>CostoAlm*(F100+J100)/2</f>
        <v>440</v>
      </c>
      <c r="Q100" s="9">
        <f>CostoFijo*D100</f>
        <v>0</v>
      </c>
      <c r="R100" s="9">
        <f>M100-N100-O100-P100-Q100</f>
        <v>4759560</v>
      </c>
      <c r="S100" s="21">
        <f>PuntoReorden</f>
        <v>7</v>
      </c>
      <c r="W100" s="7" t="n">
        <v>94</v>
      </c>
      <c r="X100" s="9" t="n">
        <v>105433240</v>
      </c>
      <c r="Y100" s="27" t="n">
        <v>0</v>
      </c>
      <c r="Z100" s="27" t="n">
        <v>0</v>
      </c>
      <c r="AA100" s="12" t="n">
        <v>6</v>
      </c>
    </row>
    <row r="101">
      <c r="A101" s="5">
        <f>A100+1</f>
        <v>96</v>
      </c>
      <c r="B101" s="20">
        <f>B100+IF(WEEKDAY(B100,2)=6,2,1)</f>
        <v>46134</v>
      </c>
      <c r="C101" s="5">
        <f>MONTH(B101)</f>
        <v>4</v>
      </c>
      <c r="D101" s="5">
        <f>IF(C101&lt;&gt;C100,1,0)</f>
        <v>0</v>
      </c>
      <c r="E101" s="5">
        <f>IF(L100=1,CantPedido,0)</f>
        <v>15</v>
      </c>
      <c r="F101" s="5">
        <f>J100+E101</f>
        <v>17</v>
      </c>
      <c r="G101" s="5">
        <f>RANDBETWEEN(3,7)</f>
        <v>3</v>
      </c>
      <c r="H101" s="5">
        <f>MIN(F101,G101)</f>
        <v>3</v>
      </c>
      <c r="I101" s="5">
        <f>G101-H101</f>
        <v>0</v>
      </c>
      <c r="J101" s="5">
        <f>F101-H101</f>
        <v>14</v>
      </c>
      <c r="K101" s="5">
        <f>IF(I101&gt;0,1,0)</f>
        <v>0</v>
      </c>
      <c r="L101" s="5">
        <f>IF(J101&lt;PuntoReorden,1,0)</f>
        <v>0</v>
      </c>
      <c r="M101" s="9">
        <f>PrecioVenta*H101</f>
        <v>2040000</v>
      </c>
      <c r="N101" s="9">
        <f>CostoUnitario*E101</f>
        <v>9000000</v>
      </c>
      <c r="O101" s="9">
        <f>IF(E101&gt;0,CostoPedido,0)</f>
        <v>40000</v>
      </c>
      <c r="P101" s="9">
        <f>CostoAlm*(F101+J101)/2</f>
        <v>1240</v>
      </c>
      <c r="Q101" s="9">
        <f>CostoFijo*D101</f>
        <v>0</v>
      </c>
      <c r="R101" s="9">
        <f>M101-N101-O101-P101-Q101</f>
        <v>-7001240</v>
      </c>
      <c r="S101" s="21">
        <f>PuntoReorden</f>
        <v>7</v>
      </c>
      <c r="W101" s="7" t="n">
        <v>95</v>
      </c>
      <c r="X101" s="9" t="n">
        <v>103676680</v>
      </c>
      <c r="Y101" s="27" t="n">
        <v>0</v>
      </c>
      <c r="Z101" s="27" t="n">
        <v>0</v>
      </c>
      <c r="AA101" s="12" t="n">
        <v>12</v>
      </c>
    </row>
    <row r="102">
      <c r="A102" s="5">
        <f>A101+1</f>
        <v>97</v>
      </c>
      <c r="B102" s="20">
        <f>B101+IF(WEEKDAY(B101,2)=6,2,1)</f>
        <v>46135</v>
      </c>
      <c r="C102" s="5">
        <f>MONTH(B102)</f>
        <v>4</v>
      </c>
      <c r="D102" s="5">
        <f>IF(C102&lt;&gt;C101,1,0)</f>
        <v>0</v>
      </c>
      <c r="E102" s="5">
        <f>IF(L101=1,CantPedido,0)</f>
        <v>0</v>
      </c>
      <c r="F102" s="5">
        <f>J101+E102</f>
        <v>14</v>
      </c>
      <c r="G102" s="5">
        <f>RANDBETWEEN(3,7)</f>
        <v>6</v>
      </c>
      <c r="H102" s="5">
        <f>MIN(F102,G102)</f>
        <v>6</v>
      </c>
      <c r="I102" s="5">
        <f>G102-H102</f>
        <v>0</v>
      </c>
      <c r="J102" s="5">
        <f>F102-H102</f>
        <v>8</v>
      </c>
      <c r="K102" s="5">
        <f>IF(I102&gt;0,1,0)</f>
        <v>0</v>
      </c>
      <c r="L102" s="5">
        <f>IF(J102&lt;PuntoReorden,1,0)</f>
        <v>0</v>
      </c>
      <c r="M102" s="9">
        <f>PrecioVenta*H102</f>
        <v>4080000</v>
      </c>
      <c r="N102" s="9">
        <f>CostoUnitario*E102</f>
        <v>0</v>
      </c>
      <c r="O102" s="9">
        <f>IF(E102&gt;0,CostoPedido,0)</f>
        <v>0</v>
      </c>
      <c r="P102" s="9">
        <f>CostoAlm*(F102+J102)/2</f>
        <v>880</v>
      </c>
      <c r="Q102" s="9">
        <f>CostoFijo*D102</f>
        <v>0</v>
      </c>
      <c r="R102" s="9">
        <f>M102-N102-O102-P102-Q102</f>
        <v>4079120</v>
      </c>
      <c r="S102" s="21">
        <f>PuntoReorden</f>
        <v>7</v>
      </c>
      <c r="W102" s="7" t="n">
        <v>96</v>
      </c>
      <c r="X102" s="9" t="n">
        <v>102155720</v>
      </c>
      <c r="Y102" s="27" t="n">
        <v>0</v>
      </c>
      <c r="Z102" s="27" t="n">
        <v>0</v>
      </c>
      <c r="AA102" s="12" t="n">
        <v>4</v>
      </c>
    </row>
    <row r="103">
      <c r="A103" s="5">
        <f>A102+1</f>
        <v>98</v>
      </c>
      <c r="B103" s="20">
        <f>B102+IF(WEEKDAY(B102,2)=6,2,1)</f>
        <v>46136</v>
      </c>
      <c r="C103" s="5">
        <f>MONTH(B103)</f>
        <v>4</v>
      </c>
      <c r="D103" s="5">
        <f>IF(C103&lt;&gt;C102,1,0)</f>
        <v>0</v>
      </c>
      <c r="E103" s="5">
        <f>IF(L102=1,CantPedido,0)</f>
        <v>0</v>
      </c>
      <c r="F103" s="5">
        <f>J102+E103</f>
        <v>8</v>
      </c>
      <c r="G103" s="5">
        <f>RANDBETWEEN(3,7)</f>
        <v>4</v>
      </c>
      <c r="H103" s="5">
        <f>MIN(F103,G103)</f>
        <v>4</v>
      </c>
      <c r="I103" s="5">
        <f>G103-H103</f>
        <v>0</v>
      </c>
      <c r="J103" s="5">
        <f>F103-H103</f>
        <v>4</v>
      </c>
      <c r="K103" s="5">
        <f>IF(I103&gt;0,1,0)</f>
        <v>0</v>
      </c>
      <c r="L103" s="5">
        <f>IF(J103&lt;PuntoReorden,1,0)</f>
        <v>1</v>
      </c>
      <c r="M103" s="9">
        <f>PrecioVenta*H103</f>
        <v>2720000</v>
      </c>
      <c r="N103" s="9">
        <f>CostoUnitario*E103</f>
        <v>0</v>
      </c>
      <c r="O103" s="9">
        <f>IF(E103&gt;0,CostoPedido,0)</f>
        <v>0</v>
      </c>
      <c r="P103" s="9">
        <f>CostoAlm*(F103+J103)/2</f>
        <v>480</v>
      </c>
      <c r="Q103" s="9">
        <f>CostoFijo*D103</f>
        <v>0</v>
      </c>
      <c r="R103" s="9">
        <f>M103-N103-O103-P103-Q103</f>
        <v>2719520</v>
      </c>
      <c r="S103" s="21">
        <f>PuntoReorden</f>
        <v>7</v>
      </c>
      <c r="W103" s="7" t="n">
        <v>97</v>
      </c>
      <c r="X103" s="9" t="n">
        <v>105629680</v>
      </c>
      <c r="Y103" s="27" t="n">
        <v>0</v>
      </c>
      <c r="Z103" s="27" t="n">
        <v>0</v>
      </c>
      <c r="AA103" s="12" t="n">
        <v>4</v>
      </c>
    </row>
    <row r="104">
      <c r="A104" s="5">
        <f>A103+1</f>
        <v>99</v>
      </c>
      <c r="B104" s="20">
        <f>B103+IF(WEEKDAY(B103,2)=6,2,1)</f>
        <v>46137</v>
      </c>
      <c r="C104" s="5">
        <f>MONTH(B104)</f>
        <v>4</v>
      </c>
      <c r="D104" s="5">
        <f>IF(C104&lt;&gt;C103,1,0)</f>
        <v>0</v>
      </c>
      <c r="E104" s="5">
        <f>IF(L103=1,CantPedido,0)</f>
        <v>15</v>
      </c>
      <c r="F104" s="5">
        <f>J103+E104</f>
        <v>19</v>
      </c>
      <c r="G104" s="5">
        <f>RANDBETWEEN(3,7)</f>
        <v>3</v>
      </c>
      <c r="H104" s="5">
        <f>MIN(F104,G104)</f>
        <v>3</v>
      </c>
      <c r="I104" s="5">
        <f>G104-H104</f>
        <v>0</v>
      </c>
      <c r="J104" s="5">
        <f>F104-H104</f>
        <v>16</v>
      </c>
      <c r="K104" s="5">
        <f>IF(I104&gt;0,1,0)</f>
        <v>0</v>
      </c>
      <c r="L104" s="5">
        <f>IF(J104&lt;PuntoReorden,1,0)</f>
        <v>0</v>
      </c>
      <c r="M104" s="9">
        <f>PrecioVenta*H104</f>
        <v>2040000</v>
      </c>
      <c r="N104" s="9">
        <f>CostoUnitario*E104</f>
        <v>9000000</v>
      </c>
      <c r="O104" s="9">
        <f>IF(E104&gt;0,CostoPedido,0)</f>
        <v>40000</v>
      </c>
      <c r="P104" s="9">
        <f>CostoAlm*(F104+J104)/2</f>
        <v>1400</v>
      </c>
      <c r="Q104" s="9">
        <f>CostoFijo*D104</f>
        <v>0</v>
      </c>
      <c r="R104" s="9">
        <f>M104-N104-O104-P104-Q104</f>
        <v>-7001400</v>
      </c>
      <c r="S104" s="21">
        <f>PuntoReorden</f>
        <v>7</v>
      </c>
      <c r="W104" s="7" t="n">
        <v>98</v>
      </c>
      <c r="X104" s="9" t="n">
        <v>99511560</v>
      </c>
      <c r="Y104" s="27" t="n">
        <v>0</v>
      </c>
      <c r="Z104" s="27" t="n">
        <v>0</v>
      </c>
      <c r="AA104" s="12" t="n">
        <v>13</v>
      </c>
    </row>
    <row r="105">
      <c r="A105" s="5">
        <f>A104+1</f>
        <v>100</v>
      </c>
      <c r="B105" s="20">
        <f>B104+IF(WEEKDAY(B104,2)=6,2,1)</f>
        <v>46139</v>
      </c>
      <c r="C105" s="5">
        <f>MONTH(B105)</f>
        <v>4</v>
      </c>
      <c r="D105" s="5">
        <f>IF(C105&lt;&gt;C104,1,0)</f>
        <v>0</v>
      </c>
      <c r="E105" s="5">
        <f>IF(L104=1,CantPedido,0)</f>
        <v>0</v>
      </c>
      <c r="F105" s="5">
        <f>J104+E105</f>
        <v>16</v>
      </c>
      <c r="G105" s="5">
        <f>RANDBETWEEN(3,7)</f>
        <v>3</v>
      </c>
      <c r="H105" s="5">
        <f>MIN(F105,G105)</f>
        <v>3</v>
      </c>
      <c r="I105" s="5">
        <f>G105-H105</f>
        <v>0</v>
      </c>
      <c r="J105" s="5">
        <f>F105-H105</f>
        <v>13</v>
      </c>
      <c r="K105" s="5">
        <f>IF(I105&gt;0,1,0)</f>
        <v>0</v>
      </c>
      <c r="L105" s="5">
        <f>IF(J105&lt;PuntoReorden,1,0)</f>
        <v>0</v>
      </c>
      <c r="M105" s="9">
        <f>PrecioVenta*H105</f>
        <v>2040000</v>
      </c>
      <c r="N105" s="9">
        <f>CostoUnitario*E105</f>
        <v>0</v>
      </c>
      <c r="O105" s="9">
        <f>IF(E105&gt;0,CostoPedido,0)</f>
        <v>0</v>
      </c>
      <c r="P105" s="9">
        <f>CostoAlm*(F105+J105)/2</f>
        <v>1160</v>
      </c>
      <c r="Q105" s="9">
        <f>CostoFijo*D105</f>
        <v>0</v>
      </c>
      <c r="R105" s="9">
        <f>M105-N105-O105-P105-Q105</f>
        <v>2038840</v>
      </c>
      <c r="S105" s="21">
        <f>PuntoReorden</f>
        <v>7</v>
      </c>
      <c r="W105" s="7" t="n">
        <v>99</v>
      </c>
      <c r="X105" s="9" t="n">
        <v>103674760</v>
      </c>
      <c r="Y105" s="27" t="n">
        <v>0</v>
      </c>
      <c r="Z105" s="27" t="n">
        <v>0</v>
      </c>
      <c r="AA105" s="12" t="n">
        <v>12</v>
      </c>
    </row>
    <row r="106">
      <c r="A106" s="5">
        <f>A105+1</f>
        <v>101</v>
      </c>
      <c r="B106" s="20">
        <f>B105+IF(WEEKDAY(B105,2)=6,2,1)</f>
        <v>46140</v>
      </c>
      <c r="C106" s="5">
        <f>MONTH(B106)</f>
        <v>4</v>
      </c>
      <c r="D106" s="5">
        <f>IF(C106&lt;&gt;C105,1,0)</f>
        <v>0</v>
      </c>
      <c r="E106" s="5">
        <f>IF(L105=1,CantPedido,0)</f>
        <v>0</v>
      </c>
      <c r="F106" s="5">
        <f>J105+E106</f>
        <v>13</v>
      </c>
      <c r="G106" s="5">
        <f>RANDBETWEEN(3,7)</f>
        <v>6</v>
      </c>
      <c r="H106" s="5">
        <f>MIN(F106,G106)</f>
        <v>6</v>
      </c>
      <c r="I106" s="5">
        <f>G106-H106</f>
        <v>0</v>
      </c>
      <c r="J106" s="5">
        <f>F106-H106</f>
        <v>7</v>
      </c>
      <c r="K106" s="5">
        <f>IF(I106&gt;0,1,0)</f>
        <v>0</v>
      </c>
      <c r="L106" s="5">
        <f>IF(J106&lt;PuntoReorden,1,0)</f>
        <v>0</v>
      </c>
      <c r="M106" s="9">
        <f>PrecioVenta*H106</f>
        <v>4080000</v>
      </c>
      <c r="N106" s="9">
        <f>CostoUnitario*E106</f>
        <v>0</v>
      </c>
      <c r="O106" s="9">
        <f>IF(E106&gt;0,CostoPedido,0)</f>
        <v>0</v>
      </c>
      <c r="P106" s="9">
        <f>CostoAlm*(F106+J106)/2</f>
        <v>800</v>
      </c>
      <c r="Q106" s="9">
        <f>CostoFijo*D106</f>
        <v>0</v>
      </c>
      <c r="R106" s="9">
        <f>M106-N106-O106-P106-Q106</f>
        <v>4079200</v>
      </c>
      <c r="S106" s="21">
        <f>PuntoReorden</f>
        <v>7</v>
      </c>
      <c r="W106" s="7" t="n">
        <v>100</v>
      </c>
      <c r="X106" s="9" t="n">
        <v>106596240</v>
      </c>
      <c r="Y106" s="27" t="n">
        <v>0</v>
      </c>
      <c r="Z106" s="27" t="n">
        <v>0</v>
      </c>
      <c r="AA106" s="12" t="n">
        <v>6</v>
      </c>
    </row>
    <row r="107">
      <c r="A107" s="5">
        <f>A106+1</f>
        <v>102</v>
      </c>
      <c r="B107" s="20">
        <f>B106+IF(WEEKDAY(B106,2)=6,2,1)</f>
        <v>46141</v>
      </c>
      <c r="C107" s="5">
        <f>MONTH(B107)</f>
        <v>4</v>
      </c>
      <c r="D107" s="5">
        <f>IF(C107&lt;&gt;C106,1,0)</f>
        <v>0</v>
      </c>
      <c r="E107" s="5">
        <f>IF(L106=1,CantPedido,0)</f>
        <v>0</v>
      </c>
      <c r="F107" s="5">
        <f>J106+E107</f>
        <v>7</v>
      </c>
      <c r="G107" s="5">
        <f>RANDBETWEEN(3,7)</f>
        <v>3</v>
      </c>
      <c r="H107" s="5">
        <f>MIN(F107,G107)</f>
        <v>3</v>
      </c>
      <c r="I107" s="5">
        <f>G107-H107</f>
        <v>0</v>
      </c>
      <c r="J107" s="5">
        <f>F107-H107</f>
        <v>4</v>
      </c>
      <c r="K107" s="5">
        <f>IF(I107&gt;0,1,0)</f>
        <v>0</v>
      </c>
      <c r="L107" s="5">
        <f>IF(J107&lt;PuntoReorden,1,0)</f>
        <v>1</v>
      </c>
      <c r="M107" s="9">
        <f>PrecioVenta*H107</f>
        <v>2040000</v>
      </c>
      <c r="N107" s="9">
        <f>CostoUnitario*E107</f>
        <v>0</v>
      </c>
      <c r="O107" s="9">
        <f>IF(E107&gt;0,CostoPedido,0)</f>
        <v>0</v>
      </c>
      <c r="P107" s="9">
        <f>CostoAlm*(F107+J107)/2</f>
        <v>440</v>
      </c>
      <c r="Q107" s="9">
        <f>CostoFijo*D107</f>
        <v>0</v>
      </c>
      <c r="R107" s="9">
        <f>M107-N107-O107-P107-Q107</f>
        <v>2039560</v>
      </c>
      <c r="S107" s="21">
        <f>PuntoReorden</f>
        <v>7</v>
      </c>
    </row>
    <row r="108">
      <c r="A108" s="5">
        <f>A107+1</f>
        <v>103</v>
      </c>
      <c r="B108" s="20">
        <f>B107+IF(WEEKDAY(B107,2)=6,2,1)</f>
        <v>46142</v>
      </c>
      <c r="C108" s="5">
        <f>MONTH(B108)</f>
        <v>4</v>
      </c>
      <c r="D108" s="5">
        <f>IF(C108&lt;&gt;C107,1,0)</f>
        <v>0</v>
      </c>
      <c r="E108" s="5">
        <f>IF(L107=1,CantPedido,0)</f>
        <v>15</v>
      </c>
      <c r="F108" s="5">
        <f>J107+E108</f>
        <v>19</v>
      </c>
      <c r="G108" s="5">
        <f>RANDBETWEEN(3,7)</f>
        <v>4</v>
      </c>
      <c r="H108" s="5">
        <f>MIN(F108,G108)</f>
        <v>4</v>
      </c>
      <c r="I108" s="5">
        <f>G108-H108</f>
        <v>0</v>
      </c>
      <c r="J108" s="5">
        <f>F108-H108</f>
        <v>15</v>
      </c>
      <c r="K108" s="5">
        <f>IF(I108&gt;0,1,0)</f>
        <v>0</v>
      </c>
      <c r="L108" s="5">
        <f>IF(J108&lt;PuntoReorden,1,0)</f>
        <v>0</v>
      </c>
      <c r="M108" s="9">
        <f>PrecioVenta*H108</f>
        <v>2720000</v>
      </c>
      <c r="N108" s="9">
        <f>CostoUnitario*E108</f>
        <v>9000000</v>
      </c>
      <c r="O108" s="9">
        <f>IF(E108&gt;0,CostoPedido,0)</f>
        <v>40000</v>
      </c>
      <c r="P108" s="9">
        <f>CostoAlm*(F108+J108)/2</f>
        <v>1360</v>
      </c>
      <c r="Q108" s="9">
        <f>CostoFijo*D108</f>
        <v>0</v>
      </c>
      <c r="R108" s="9">
        <f>M108-N108-O108-P108-Q108</f>
        <v>-6321360</v>
      </c>
      <c r="S108" s="21">
        <f>PuntoReorden</f>
        <v>7</v>
      </c>
    </row>
    <row r="109">
      <c r="A109" s="5">
        <f>A108+1</f>
        <v>104</v>
      </c>
      <c r="B109" s="20">
        <f>B108+IF(WEEKDAY(B108,2)=6,2,1)</f>
        <v>46143</v>
      </c>
      <c r="C109" s="5">
        <f>MONTH(B109)</f>
        <v>5</v>
      </c>
      <c r="D109" s="5">
        <f>IF(C109&lt;&gt;C108,1,0)</f>
        <v>1</v>
      </c>
      <c r="E109" s="5">
        <f>IF(L108=1,CantPedido,0)</f>
        <v>0</v>
      </c>
      <c r="F109" s="5">
        <f>J108+E109</f>
        <v>15</v>
      </c>
      <c r="G109" s="5">
        <f>RANDBETWEEN(3,7)</f>
        <v>5</v>
      </c>
      <c r="H109" s="5">
        <f>MIN(F109,G109)</f>
        <v>5</v>
      </c>
      <c r="I109" s="5">
        <f>G109-H109</f>
        <v>0</v>
      </c>
      <c r="J109" s="5">
        <f>F109-H109</f>
        <v>10</v>
      </c>
      <c r="K109" s="5">
        <f>IF(I109&gt;0,1,0)</f>
        <v>0</v>
      </c>
      <c r="L109" s="5">
        <f>IF(J109&lt;PuntoReorden,1,0)</f>
        <v>0</v>
      </c>
      <c r="M109" s="9">
        <f>PrecioVenta*H109</f>
        <v>3400000</v>
      </c>
      <c r="N109" s="9">
        <f>CostoUnitario*E109</f>
        <v>0</v>
      </c>
      <c r="O109" s="9">
        <f>IF(E109&gt;0,CostoPedido,0)</f>
        <v>0</v>
      </c>
      <c r="P109" s="9">
        <f>CostoAlm*(F109+J109)/2</f>
        <v>1000</v>
      </c>
      <c r="Q109" s="9">
        <f>CostoFijo*D109</f>
        <v>1000000</v>
      </c>
      <c r="R109" s="9">
        <f>M109-N109-O109-P109-Q109</f>
        <v>2399000</v>
      </c>
      <c r="S109" s="21">
        <f>PuntoReorden</f>
        <v>7</v>
      </c>
    </row>
    <row r="110">
      <c r="A110" s="5">
        <f>A109+1</f>
        <v>105</v>
      </c>
      <c r="B110" s="20">
        <f>B109+IF(WEEKDAY(B109,2)=6,2,1)</f>
        <v>46144</v>
      </c>
      <c r="C110" s="5">
        <f>MONTH(B110)</f>
        <v>5</v>
      </c>
      <c r="D110" s="5">
        <f>IF(C110&lt;&gt;C109,1,0)</f>
        <v>0</v>
      </c>
      <c r="E110" s="5">
        <f>IF(L109=1,CantPedido,0)</f>
        <v>0</v>
      </c>
      <c r="F110" s="5">
        <f>J109+E110</f>
        <v>10</v>
      </c>
      <c r="G110" s="5">
        <f>RANDBETWEEN(3,7)</f>
        <v>5</v>
      </c>
      <c r="H110" s="5">
        <f>MIN(F110,G110)</f>
        <v>5</v>
      </c>
      <c r="I110" s="5">
        <f>G110-H110</f>
        <v>0</v>
      </c>
      <c r="J110" s="5">
        <f>F110-H110</f>
        <v>5</v>
      </c>
      <c r="K110" s="5">
        <f>IF(I110&gt;0,1,0)</f>
        <v>0</v>
      </c>
      <c r="L110" s="5">
        <f>IF(J110&lt;PuntoReorden,1,0)</f>
        <v>1</v>
      </c>
      <c r="M110" s="9">
        <f>PrecioVenta*H110</f>
        <v>3400000</v>
      </c>
      <c r="N110" s="9">
        <f>CostoUnitario*E110</f>
        <v>0</v>
      </c>
      <c r="O110" s="9">
        <f>IF(E110&gt;0,CostoPedido,0)</f>
        <v>0</v>
      </c>
      <c r="P110" s="9">
        <f>CostoAlm*(F110+J110)/2</f>
        <v>600</v>
      </c>
      <c r="Q110" s="9">
        <f>CostoFijo*D110</f>
        <v>0</v>
      </c>
      <c r="R110" s="9">
        <f>M110-N110-O110-P110-Q110</f>
        <v>3399400</v>
      </c>
      <c r="S110" s="21">
        <f>PuntoReorden</f>
        <v>7</v>
      </c>
    </row>
    <row r="111">
      <c r="A111" s="5">
        <f>A110+1</f>
        <v>106</v>
      </c>
      <c r="B111" s="20">
        <f>B110+IF(WEEKDAY(B110,2)=6,2,1)</f>
        <v>46146</v>
      </c>
      <c r="C111" s="5">
        <f>MONTH(B111)</f>
        <v>5</v>
      </c>
      <c r="D111" s="5">
        <f>IF(C111&lt;&gt;C110,1,0)</f>
        <v>0</v>
      </c>
      <c r="E111" s="5">
        <f>IF(L110=1,CantPedido,0)</f>
        <v>15</v>
      </c>
      <c r="F111" s="5">
        <f>J110+E111</f>
        <v>20</v>
      </c>
      <c r="G111" s="5">
        <f>RANDBETWEEN(3,7)</f>
        <v>6</v>
      </c>
      <c r="H111" s="5">
        <f>MIN(F111,G111)</f>
        <v>6</v>
      </c>
      <c r="I111" s="5">
        <f>G111-H111</f>
        <v>0</v>
      </c>
      <c r="J111" s="5">
        <f>F111-H111</f>
        <v>14</v>
      </c>
      <c r="K111" s="5">
        <f>IF(I111&gt;0,1,0)</f>
        <v>0</v>
      </c>
      <c r="L111" s="5">
        <f>IF(J111&lt;PuntoReorden,1,0)</f>
        <v>0</v>
      </c>
      <c r="M111" s="9">
        <f>PrecioVenta*H111</f>
        <v>4080000</v>
      </c>
      <c r="N111" s="9">
        <f>CostoUnitario*E111</f>
        <v>9000000</v>
      </c>
      <c r="O111" s="9">
        <f>IF(E111&gt;0,CostoPedido,0)</f>
        <v>40000</v>
      </c>
      <c r="P111" s="9">
        <f>CostoAlm*(F111+J111)/2</f>
        <v>1360</v>
      </c>
      <c r="Q111" s="9">
        <f>CostoFijo*D111</f>
        <v>0</v>
      </c>
      <c r="R111" s="9">
        <f>M111-N111-O111-P111-Q111</f>
        <v>-4961360</v>
      </c>
      <c r="S111" s="21">
        <f>PuntoReorden</f>
        <v>7</v>
      </c>
    </row>
    <row r="112">
      <c r="A112" s="5">
        <f>A111+1</f>
        <v>107</v>
      </c>
      <c r="B112" s="20">
        <f>B111+IF(WEEKDAY(B111,2)=6,2,1)</f>
        <v>46147</v>
      </c>
      <c r="C112" s="5">
        <f>MONTH(B112)</f>
        <v>5</v>
      </c>
      <c r="D112" s="5">
        <f>IF(C112&lt;&gt;C111,1,0)</f>
        <v>0</v>
      </c>
      <c r="E112" s="5">
        <f>IF(L111=1,CantPedido,0)</f>
        <v>0</v>
      </c>
      <c r="F112" s="5">
        <f>J111+E112</f>
        <v>14</v>
      </c>
      <c r="G112" s="5">
        <f>RANDBETWEEN(3,7)</f>
        <v>6</v>
      </c>
      <c r="H112" s="5">
        <f>MIN(F112,G112)</f>
        <v>6</v>
      </c>
      <c r="I112" s="5">
        <f>G112-H112</f>
        <v>0</v>
      </c>
      <c r="J112" s="5">
        <f>F112-H112</f>
        <v>8</v>
      </c>
      <c r="K112" s="5">
        <f>IF(I112&gt;0,1,0)</f>
        <v>0</v>
      </c>
      <c r="L112" s="5">
        <f>IF(J112&lt;PuntoReorden,1,0)</f>
        <v>0</v>
      </c>
      <c r="M112" s="9">
        <f>PrecioVenta*H112</f>
        <v>4080000</v>
      </c>
      <c r="N112" s="9">
        <f>CostoUnitario*E112</f>
        <v>0</v>
      </c>
      <c r="O112" s="9">
        <f>IF(E112&gt;0,CostoPedido,0)</f>
        <v>0</v>
      </c>
      <c r="P112" s="9">
        <f>CostoAlm*(F112+J112)/2</f>
        <v>880</v>
      </c>
      <c r="Q112" s="9">
        <f>CostoFijo*D112</f>
        <v>0</v>
      </c>
      <c r="R112" s="9">
        <f>M112-N112-O112-P112-Q112</f>
        <v>4079120</v>
      </c>
      <c r="S112" s="21">
        <f>PuntoReorden</f>
        <v>7</v>
      </c>
    </row>
    <row r="113">
      <c r="A113" s="5">
        <f>A112+1</f>
        <v>108</v>
      </c>
      <c r="B113" s="20">
        <f>B112+IF(WEEKDAY(B112,2)=6,2,1)</f>
        <v>46148</v>
      </c>
      <c r="C113" s="5">
        <f>MONTH(B113)</f>
        <v>5</v>
      </c>
      <c r="D113" s="5">
        <f>IF(C113&lt;&gt;C112,1,0)</f>
        <v>0</v>
      </c>
      <c r="E113" s="5">
        <f>IF(L112=1,CantPedido,0)</f>
        <v>0</v>
      </c>
      <c r="F113" s="5">
        <f>J112+E113</f>
        <v>8</v>
      </c>
      <c r="G113" s="5">
        <f>RANDBETWEEN(3,7)</f>
        <v>4</v>
      </c>
      <c r="H113" s="5">
        <f>MIN(F113,G113)</f>
        <v>4</v>
      </c>
      <c r="I113" s="5">
        <f>G113-H113</f>
        <v>0</v>
      </c>
      <c r="J113" s="5">
        <f>F113-H113</f>
        <v>4</v>
      </c>
      <c r="K113" s="5">
        <f>IF(I113&gt;0,1,0)</f>
        <v>0</v>
      </c>
      <c r="L113" s="5">
        <f>IF(J113&lt;PuntoReorden,1,0)</f>
        <v>1</v>
      </c>
      <c r="M113" s="9">
        <f>PrecioVenta*H113</f>
        <v>2720000</v>
      </c>
      <c r="N113" s="9">
        <f>CostoUnitario*E113</f>
        <v>0</v>
      </c>
      <c r="O113" s="9">
        <f>IF(E113&gt;0,CostoPedido,0)</f>
        <v>0</v>
      </c>
      <c r="P113" s="9">
        <f>CostoAlm*(F113+J113)/2</f>
        <v>480</v>
      </c>
      <c r="Q113" s="9">
        <f>CostoFijo*D113</f>
        <v>0</v>
      </c>
      <c r="R113" s="9">
        <f>M113-N113-O113-P113-Q113</f>
        <v>2719520</v>
      </c>
      <c r="S113" s="21">
        <f>PuntoReorden</f>
        <v>7</v>
      </c>
    </row>
    <row r="114">
      <c r="A114" s="5">
        <f>A113+1</f>
        <v>109</v>
      </c>
      <c r="B114" s="20">
        <f>B113+IF(WEEKDAY(B113,2)=6,2,1)</f>
        <v>46149</v>
      </c>
      <c r="C114" s="5">
        <f>MONTH(B114)</f>
        <v>5</v>
      </c>
      <c r="D114" s="5">
        <f>IF(C114&lt;&gt;C113,1,0)</f>
        <v>0</v>
      </c>
      <c r="E114" s="5">
        <f>IF(L113=1,CantPedido,0)</f>
        <v>15</v>
      </c>
      <c r="F114" s="5">
        <f>J113+E114</f>
        <v>19</v>
      </c>
      <c r="G114" s="5">
        <f>RANDBETWEEN(3,7)</f>
        <v>3</v>
      </c>
      <c r="H114" s="5">
        <f>MIN(F114,G114)</f>
        <v>3</v>
      </c>
      <c r="I114" s="5">
        <f>G114-H114</f>
        <v>0</v>
      </c>
      <c r="J114" s="5">
        <f>F114-H114</f>
        <v>16</v>
      </c>
      <c r="K114" s="5">
        <f>IF(I114&gt;0,1,0)</f>
        <v>0</v>
      </c>
      <c r="L114" s="5">
        <f>IF(J114&lt;PuntoReorden,1,0)</f>
        <v>0</v>
      </c>
      <c r="M114" s="9">
        <f>PrecioVenta*H114</f>
        <v>2040000</v>
      </c>
      <c r="N114" s="9">
        <f>CostoUnitario*E114</f>
        <v>9000000</v>
      </c>
      <c r="O114" s="9">
        <f>IF(E114&gt;0,CostoPedido,0)</f>
        <v>40000</v>
      </c>
      <c r="P114" s="9">
        <f>CostoAlm*(F114+J114)/2</f>
        <v>1400</v>
      </c>
      <c r="Q114" s="9">
        <f>CostoFijo*D114</f>
        <v>0</v>
      </c>
      <c r="R114" s="9">
        <f>M114-N114-O114-P114-Q114</f>
        <v>-7001400</v>
      </c>
      <c r="S114" s="21">
        <f>PuntoReorden</f>
        <v>7</v>
      </c>
    </row>
    <row r="115">
      <c r="A115" s="5">
        <f>A114+1</f>
        <v>110</v>
      </c>
      <c r="B115" s="20">
        <f>B114+IF(WEEKDAY(B114,2)=6,2,1)</f>
        <v>46150</v>
      </c>
      <c r="C115" s="5">
        <f>MONTH(B115)</f>
        <v>5</v>
      </c>
      <c r="D115" s="5">
        <f>IF(C115&lt;&gt;C114,1,0)</f>
        <v>0</v>
      </c>
      <c r="E115" s="5">
        <f>IF(L114=1,CantPedido,0)</f>
        <v>0</v>
      </c>
      <c r="F115" s="5">
        <f>J114+E115</f>
        <v>16</v>
      </c>
      <c r="G115" s="5">
        <f>RANDBETWEEN(3,7)</f>
        <v>6</v>
      </c>
      <c r="H115" s="5">
        <f>MIN(F115,G115)</f>
        <v>6</v>
      </c>
      <c r="I115" s="5">
        <f>G115-H115</f>
        <v>0</v>
      </c>
      <c r="J115" s="5">
        <f>F115-H115</f>
        <v>10</v>
      </c>
      <c r="K115" s="5">
        <f>IF(I115&gt;0,1,0)</f>
        <v>0</v>
      </c>
      <c r="L115" s="5">
        <f>IF(J115&lt;PuntoReorden,1,0)</f>
        <v>0</v>
      </c>
      <c r="M115" s="9">
        <f>PrecioVenta*H115</f>
        <v>4080000</v>
      </c>
      <c r="N115" s="9">
        <f>CostoUnitario*E115</f>
        <v>0</v>
      </c>
      <c r="O115" s="9">
        <f>IF(E115&gt;0,CostoPedido,0)</f>
        <v>0</v>
      </c>
      <c r="P115" s="9">
        <f>CostoAlm*(F115+J115)/2</f>
        <v>1040</v>
      </c>
      <c r="Q115" s="9">
        <f>CostoFijo*D115</f>
        <v>0</v>
      </c>
      <c r="R115" s="9">
        <f>M115-N115-O115-P115-Q115</f>
        <v>4078960</v>
      </c>
      <c r="S115" s="21">
        <f>PuntoReorden</f>
        <v>7</v>
      </c>
    </row>
    <row r="116">
      <c r="A116" s="5">
        <f>A115+1</f>
        <v>111</v>
      </c>
      <c r="B116" s="20">
        <f>B115+IF(WEEKDAY(B115,2)=6,2,1)</f>
        <v>46151</v>
      </c>
      <c r="C116" s="5">
        <f>MONTH(B116)</f>
        <v>5</v>
      </c>
      <c r="D116" s="5">
        <f>IF(C116&lt;&gt;C115,1,0)</f>
        <v>0</v>
      </c>
      <c r="E116" s="5">
        <f>IF(L115=1,CantPedido,0)</f>
        <v>0</v>
      </c>
      <c r="F116" s="5">
        <f>J115+E116</f>
        <v>10</v>
      </c>
      <c r="G116" s="5">
        <f>RANDBETWEEN(3,7)</f>
        <v>3</v>
      </c>
      <c r="H116" s="5">
        <f>MIN(F116,G116)</f>
        <v>3</v>
      </c>
      <c r="I116" s="5">
        <f>G116-H116</f>
        <v>0</v>
      </c>
      <c r="J116" s="5">
        <f>F116-H116</f>
        <v>7</v>
      </c>
      <c r="K116" s="5">
        <f>IF(I116&gt;0,1,0)</f>
        <v>0</v>
      </c>
      <c r="L116" s="5">
        <f>IF(J116&lt;PuntoReorden,1,0)</f>
        <v>0</v>
      </c>
      <c r="M116" s="9">
        <f>PrecioVenta*H116</f>
        <v>2040000</v>
      </c>
      <c r="N116" s="9">
        <f>CostoUnitario*E116</f>
        <v>0</v>
      </c>
      <c r="O116" s="9">
        <f>IF(E116&gt;0,CostoPedido,0)</f>
        <v>0</v>
      </c>
      <c r="P116" s="9">
        <f>CostoAlm*(F116+J116)/2</f>
        <v>680</v>
      </c>
      <c r="Q116" s="9">
        <f>CostoFijo*D116</f>
        <v>0</v>
      </c>
      <c r="R116" s="9">
        <f>M116-N116-O116-P116-Q116</f>
        <v>2039320</v>
      </c>
      <c r="S116" s="21">
        <f>PuntoReorden</f>
        <v>7</v>
      </c>
    </row>
    <row r="117">
      <c r="A117" s="5">
        <f>A116+1</f>
        <v>112</v>
      </c>
      <c r="B117" s="20">
        <f>B116+IF(WEEKDAY(B116,2)=6,2,1)</f>
        <v>46153</v>
      </c>
      <c r="C117" s="5">
        <f>MONTH(B117)</f>
        <v>5</v>
      </c>
      <c r="D117" s="5">
        <f>IF(C117&lt;&gt;C116,1,0)</f>
        <v>0</v>
      </c>
      <c r="E117" s="5">
        <f>IF(L116=1,CantPedido,0)</f>
        <v>0</v>
      </c>
      <c r="F117" s="5">
        <f>J116+E117</f>
        <v>7</v>
      </c>
      <c r="G117" s="5">
        <f>RANDBETWEEN(3,7)</f>
        <v>4</v>
      </c>
      <c r="H117" s="5">
        <f>MIN(F117,G117)</f>
        <v>4</v>
      </c>
      <c r="I117" s="5">
        <f>G117-H117</f>
        <v>0</v>
      </c>
      <c r="J117" s="5">
        <f>F117-H117</f>
        <v>3</v>
      </c>
      <c r="K117" s="5">
        <f>IF(I117&gt;0,1,0)</f>
        <v>0</v>
      </c>
      <c r="L117" s="5">
        <f>IF(J117&lt;PuntoReorden,1,0)</f>
        <v>1</v>
      </c>
      <c r="M117" s="9">
        <f>PrecioVenta*H117</f>
        <v>2720000</v>
      </c>
      <c r="N117" s="9">
        <f>CostoUnitario*E117</f>
        <v>0</v>
      </c>
      <c r="O117" s="9">
        <f>IF(E117&gt;0,CostoPedido,0)</f>
        <v>0</v>
      </c>
      <c r="P117" s="9">
        <f>CostoAlm*(F117+J117)/2</f>
        <v>400</v>
      </c>
      <c r="Q117" s="9">
        <f>CostoFijo*D117</f>
        <v>0</v>
      </c>
      <c r="R117" s="9">
        <f>M117-N117-O117-P117-Q117</f>
        <v>2719600</v>
      </c>
      <c r="S117" s="21">
        <f>PuntoReorden</f>
        <v>7</v>
      </c>
    </row>
    <row r="118">
      <c r="A118" s="5">
        <f>A117+1</f>
        <v>113</v>
      </c>
      <c r="B118" s="20">
        <f>B117+IF(WEEKDAY(B117,2)=6,2,1)</f>
        <v>46154</v>
      </c>
      <c r="C118" s="5">
        <f>MONTH(B118)</f>
        <v>5</v>
      </c>
      <c r="D118" s="5">
        <f>IF(C118&lt;&gt;C117,1,0)</f>
        <v>0</v>
      </c>
      <c r="E118" s="5">
        <f>IF(L117=1,CantPedido,0)</f>
        <v>15</v>
      </c>
      <c r="F118" s="5">
        <f>J117+E118</f>
        <v>18</v>
      </c>
      <c r="G118" s="5">
        <f>RANDBETWEEN(3,7)</f>
        <v>7</v>
      </c>
      <c r="H118" s="5">
        <f>MIN(F118,G118)</f>
        <v>7</v>
      </c>
      <c r="I118" s="5">
        <f>G118-H118</f>
        <v>0</v>
      </c>
      <c r="J118" s="5">
        <f>F118-H118</f>
        <v>11</v>
      </c>
      <c r="K118" s="5">
        <f>IF(I118&gt;0,1,0)</f>
        <v>0</v>
      </c>
      <c r="L118" s="5">
        <f>IF(J118&lt;PuntoReorden,1,0)</f>
        <v>0</v>
      </c>
      <c r="M118" s="9">
        <f>PrecioVenta*H118</f>
        <v>4760000</v>
      </c>
      <c r="N118" s="9">
        <f>CostoUnitario*E118</f>
        <v>9000000</v>
      </c>
      <c r="O118" s="9">
        <f>IF(E118&gt;0,CostoPedido,0)</f>
        <v>40000</v>
      </c>
      <c r="P118" s="9">
        <f>CostoAlm*(F118+J118)/2</f>
        <v>1160</v>
      </c>
      <c r="Q118" s="9">
        <f>CostoFijo*D118</f>
        <v>0</v>
      </c>
      <c r="R118" s="9">
        <f>M118-N118-O118-P118-Q118</f>
        <v>-4281160</v>
      </c>
      <c r="S118" s="21">
        <f>PuntoReorden</f>
        <v>7</v>
      </c>
    </row>
    <row r="119">
      <c r="A119" s="5">
        <f>A118+1</f>
        <v>114</v>
      </c>
      <c r="B119" s="20">
        <f>B118+IF(WEEKDAY(B118,2)=6,2,1)</f>
        <v>46155</v>
      </c>
      <c r="C119" s="5">
        <f>MONTH(B119)</f>
        <v>5</v>
      </c>
      <c r="D119" s="5">
        <f>IF(C119&lt;&gt;C118,1,0)</f>
        <v>0</v>
      </c>
      <c r="E119" s="5">
        <f>IF(L118=1,CantPedido,0)</f>
        <v>0</v>
      </c>
      <c r="F119" s="5">
        <f>J118+E119</f>
        <v>11</v>
      </c>
      <c r="G119" s="5">
        <f>RANDBETWEEN(3,7)</f>
        <v>4</v>
      </c>
      <c r="H119" s="5">
        <f>MIN(F119,G119)</f>
        <v>4</v>
      </c>
      <c r="I119" s="5">
        <f>G119-H119</f>
        <v>0</v>
      </c>
      <c r="J119" s="5">
        <f>F119-H119</f>
        <v>7</v>
      </c>
      <c r="K119" s="5">
        <f>IF(I119&gt;0,1,0)</f>
        <v>0</v>
      </c>
      <c r="L119" s="5">
        <f>IF(J119&lt;PuntoReorden,1,0)</f>
        <v>0</v>
      </c>
      <c r="M119" s="9">
        <f>PrecioVenta*H119</f>
        <v>2720000</v>
      </c>
      <c r="N119" s="9">
        <f>CostoUnitario*E119</f>
        <v>0</v>
      </c>
      <c r="O119" s="9">
        <f>IF(E119&gt;0,CostoPedido,0)</f>
        <v>0</v>
      </c>
      <c r="P119" s="9">
        <f>CostoAlm*(F119+J119)/2</f>
        <v>720</v>
      </c>
      <c r="Q119" s="9">
        <f>CostoFijo*D119</f>
        <v>0</v>
      </c>
      <c r="R119" s="9">
        <f>M119-N119-O119-P119-Q119</f>
        <v>2719280</v>
      </c>
      <c r="S119" s="21">
        <f>PuntoReorden</f>
        <v>7</v>
      </c>
    </row>
    <row r="120">
      <c r="A120" s="5">
        <f>A119+1</f>
        <v>115</v>
      </c>
      <c r="B120" s="20">
        <f>B119+IF(WEEKDAY(B119,2)=6,2,1)</f>
        <v>46156</v>
      </c>
      <c r="C120" s="5">
        <f>MONTH(B120)</f>
        <v>5</v>
      </c>
      <c r="D120" s="5">
        <f>IF(C120&lt;&gt;C119,1,0)</f>
        <v>0</v>
      </c>
      <c r="E120" s="5">
        <f>IF(L119=1,CantPedido,0)</f>
        <v>0</v>
      </c>
      <c r="F120" s="5">
        <f>J119+E120</f>
        <v>7</v>
      </c>
      <c r="G120" s="5">
        <f>RANDBETWEEN(3,7)</f>
        <v>6</v>
      </c>
      <c r="H120" s="5">
        <f>MIN(F120,G120)</f>
        <v>6</v>
      </c>
      <c r="I120" s="5">
        <f>G120-H120</f>
        <v>0</v>
      </c>
      <c r="J120" s="5">
        <f>F120-H120</f>
        <v>1</v>
      </c>
      <c r="K120" s="5">
        <f>IF(I120&gt;0,1,0)</f>
        <v>0</v>
      </c>
      <c r="L120" s="5">
        <f>IF(J120&lt;PuntoReorden,1,0)</f>
        <v>1</v>
      </c>
      <c r="M120" s="9">
        <f>PrecioVenta*H120</f>
        <v>4080000</v>
      </c>
      <c r="N120" s="9">
        <f>CostoUnitario*E120</f>
        <v>0</v>
      </c>
      <c r="O120" s="9">
        <f>IF(E120&gt;0,CostoPedido,0)</f>
        <v>0</v>
      </c>
      <c r="P120" s="9">
        <f>CostoAlm*(F120+J120)/2</f>
        <v>320</v>
      </c>
      <c r="Q120" s="9">
        <f>CostoFijo*D120</f>
        <v>0</v>
      </c>
      <c r="R120" s="9">
        <f>M120-N120-O120-P120-Q120</f>
        <v>4079680</v>
      </c>
      <c r="S120" s="21">
        <f>PuntoReorden</f>
        <v>7</v>
      </c>
    </row>
    <row r="121">
      <c r="A121" s="5">
        <f>A120+1</f>
        <v>116</v>
      </c>
      <c r="B121" s="20">
        <f>B120+IF(WEEKDAY(B120,2)=6,2,1)</f>
        <v>46157</v>
      </c>
      <c r="C121" s="5">
        <f>MONTH(B121)</f>
        <v>5</v>
      </c>
      <c r="D121" s="5">
        <f>IF(C121&lt;&gt;C120,1,0)</f>
        <v>0</v>
      </c>
      <c r="E121" s="5">
        <f>IF(L120=1,CantPedido,0)</f>
        <v>15</v>
      </c>
      <c r="F121" s="5">
        <f>J120+E121</f>
        <v>16</v>
      </c>
      <c r="G121" s="5">
        <f>RANDBETWEEN(3,7)</f>
        <v>3</v>
      </c>
      <c r="H121" s="5">
        <f>MIN(F121,G121)</f>
        <v>3</v>
      </c>
      <c r="I121" s="5">
        <f>G121-H121</f>
        <v>0</v>
      </c>
      <c r="J121" s="5">
        <f>F121-H121</f>
        <v>13</v>
      </c>
      <c r="K121" s="5">
        <f>IF(I121&gt;0,1,0)</f>
        <v>0</v>
      </c>
      <c r="L121" s="5">
        <f>IF(J121&lt;PuntoReorden,1,0)</f>
        <v>0</v>
      </c>
      <c r="M121" s="9">
        <f>PrecioVenta*H121</f>
        <v>2040000</v>
      </c>
      <c r="N121" s="9">
        <f>CostoUnitario*E121</f>
        <v>9000000</v>
      </c>
      <c r="O121" s="9">
        <f>IF(E121&gt;0,CostoPedido,0)</f>
        <v>40000</v>
      </c>
      <c r="P121" s="9">
        <f>CostoAlm*(F121+J121)/2</f>
        <v>1160</v>
      </c>
      <c r="Q121" s="9">
        <f>CostoFijo*D121</f>
        <v>0</v>
      </c>
      <c r="R121" s="9">
        <f>M121-N121-O121-P121-Q121</f>
        <v>-7001160</v>
      </c>
      <c r="S121" s="21">
        <f>PuntoReorden</f>
        <v>7</v>
      </c>
    </row>
    <row r="122">
      <c r="A122" s="5">
        <f>A121+1</f>
        <v>117</v>
      </c>
      <c r="B122" s="20">
        <f>B121+IF(WEEKDAY(B121,2)=6,2,1)</f>
        <v>46158</v>
      </c>
      <c r="C122" s="5">
        <f>MONTH(B122)</f>
        <v>5</v>
      </c>
      <c r="D122" s="5">
        <f>IF(C122&lt;&gt;C121,1,0)</f>
        <v>0</v>
      </c>
      <c r="E122" s="5">
        <f>IF(L121=1,CantPedido,0)</f>
        <v>0</v>
      </c>
      <c r="F122" s="5">
        <f>J121+E122</f>
        <v>13</v>
      </c>
      <c r="G122" s="5">
        <f>RANDBETWEEN(3,7)</f>
        <v>7</v>
      </c>
      <c r="H122" s="5">
        <f>MIN(F122,G122)</f>
        <v>7</v>
      </c>
      <c r="I122" s="5">
        <f>G122-H122</f>
        <v>0</v>
      </c>
      <c r="J122" s="5">
        <f>F122-H122</f>
        <v>6</v>
      </c>
      <c r="K122" s="5">
        <f>IF(I122&gt;0,1,0)</f>
        <v>0</v>
      </c>
      <c r="L122" s="5">
        <f>IF(J122&lt;PuntoReorden,1,0)</f>
        <v>1</v>
      </c>
      <c r="M122" s="9">
        <f>PrecioVenta*H122</f>
        <v>4760000</v>
      </c>
      <c r="N122" s="9">
        <f>CostoUnitario*E122</f>
        <v>0</v>
      </c>
      <c r="O122" s="9">
        <f>IF(E122&gt;0,CostoPedido,0)</f>
        <v>0</v>
      </c>
      <c r="P122" s="9">
        <f>CostoAlm*(F122+J122)/2</f>
        <v>760</v>
      </c>
      <c r="Q122" s="9">
        <f>CostoFijo*D122</f>
        <v>0</v>
      </c>
      <c r="R122" s="9">
        <f>M122-N122-O122-P122-Q122</f>
        <v>4759240</v>
      </c>
      <c r="S122" s="21">
        <f>PuntoReorden</f>
        <v>7</v>
      </c>
    </row>
    <row r="123">
      <c r="A123" s="5">
        <f>A122+1</f>
        <v>118</v>
      </c>
      <c r="B123" s="20">
        <f>B122+IF(WEEKDAY(B122,2)=6,2,1)</f>
        <v>46160</v>
      </c>
      <c r="C123" s="5">
        <f>MONTH(B123)</f>
        <v>5</v>
      </c>
      <c r="D123" s="5">
        <f>IF(C123&lt;&gt;C122,1,0)</f>
        <v>0</v>
      </c>
      <c r="E123" s="5">
        <f>IF(L122=1,CantPedido,0)</f>
        <v>15</v>
      </c>
      <c r="F123" s="5">
        <f>J122+E123</f>
        <v>21</v>
      </c>
      <c r="G123" s="5">
        <f>RANDBETWEEN(3,7)</f>
        <v>4</v>
      </c>
      <c r="H123" s="5">
        <f>MIN(F123,G123)</f>
        <v>4</v>
      </c>
      <c r="I123" s="5">
        <f>G123-H123</f>
        <v>0</v>
      </c>
      <c r="J123" s="5">
        <f>F123-H123</f>
        <v>17</v>
      </c>
      <c r="K123" s="5">
        <f>IF(I123&gt;0,1,0)</f>
        <v>0</v>
      </c>
      <c r="L123" s="5">
        <f>IF(J123&lt;PuntoReorden,1,0)</f>
        <v>0</v>
      </c>
      <c r="M123" s="9">
        <f>PrecioVenta*H123</f>
        <v>2720000</v>
      </c>
      <c r="N123" s="9">
        <f>CostoUnitario*E123</f>
        <v>9000000</v>
      </c>
      <c r="O123" s="9">
        <f>IF(E123&gt;0,CostoPedido,0)</f>
        <v>40000</v>
      </c>
      <c r="P123" s="9">
        <f>CostoAlm*(F123+J123)/2</f>
        <v>1520</v>
      </c>
      <c r="Q123" s="9">
        <f>CostoFijo*D123</f>
        <v>0</v>
      </c>
      <c r="R123" s="9">
        <f>M123-N123-O123-P123-Q123</f>
        <v>-6321520</v>
      </c>
      <c r="S123" s="21">
        <f>PuntoReorden</f>
        <v>7</v>
      </c>
    </row>
    <row r="124">
      <c r="A124" s="5">
        <f>A123+1</f>
        <v>119</v>
      </c>
      <c r="B124" s="20">
        <f>B123+IF(WEEKDAY(B123,2)=6,2,1)</f>
        <v>46161</v>
      </c>
      <c r="C124" s="5">
        <f>MONTH(B124)</f>
        <v>5</v>
      </c>
      <c r="D124" s="5">
        <f>IF(C124&lt;&gt;C123,1,0)</f>
        <v>0</v>
      </c>
      <c r="E124" s="5">
        <f>IF(L123=1,CantPedido,0)</f>
        <v>0</v>
      </c>
      <c r="F124" s="5">
        <f>J123+E124</f>
        <v>17</v>
      </c>
      <c r="G124" s="5">
        <f>RANDBETWEEN(3,7)</f>
        <v>5</v>
      </c>
      <c r="H124" s="5">
        <f>MIN(F124,G124)</f>
        <v>5</v>
      </c>
      <c r="I124" s="5">
        <f>G124-H124</f>
        <v>0</v>
      </c>
      <c r="J124" s="5">
        <f>F124-H124</f>
        <v>12</v>
      </c>
      <c r="K124" s="5">
        <f>IF(I124&gt;0,1,0)</f>
        <v>0</v>
      </c>
      <c r="L124" s="5">
        <f>IF(J124&lt;PuntoReorden,1,0)</f>
        <v>0</v>
      </c>
      <c r="M124" s="9">
        <f>PrecioVenta*H124</f>
        <v>3400000</v>
      </c>
      <c r="N124" s="9">
        <f>CostoUnitario*E124</f>
        <v>0</v>
      </c>
      <c r="O124" s="9">
        <f>IF(E124&gt;0,CostoPedido,0)</f>
        <v>0</v>
      </c>
      <c r="P124" s="9">
        <f>CostoAlm*(F124+J124)/2</f>
        <v>1160</v>
      </c>
      <c r="Q124" s="9">
        <f>CostoFijo*D124</f>
        <v>0</v>
      </c>
      <c r="R124" s="9">
        <f>M124-N124-O124-P124-Q124</f>
        <v>3398840</v>
      </c>
      <c r="S124" s="21">
        <f>PuntoReorden</f>
        <v>7</v>
      </c>
    </row>
    <row r="125">
      <c r="A125" s="5">
        <f>A124+1</f>
        <v>120</v>
      </c>
      <c r="B125" s="20">
        <f>B124+IF(WEEKDAY(B124,2)=6,2,1)</f>
        <v>46162</v>
      </c>
      <c r="C125" s="5">
        <f>MONTH(B125)</f>
        <v>5</v>
      </c>
      <c r="D125" s="5">
        <f>IF(C125&lt;&gt;C124,1,0)</f>
        <v>0</v>
      </c>
      <c r="E125" s="5">
        <f>IF(L124=1,CantPedido,0)</f>
        <v>0</v>
      </c>
      <c r="F125" s="5">
        <f>J124+E125</f>
        <v>12</v>
      </c>
      <c r="G125" s="5">
        <f>RANDBETWEEN(3,7)</f>
        <v>5</v>
      </c>
      <c r="H125" s="5">
        <f>MIN(F125,G125)</f>
        <v>5</v>
      </c>
      <c r="I125" s="5">
        <f>G125-H125</f>
        <v>0</v>
      </c>
      <c r="J125" s="5">
        <f>F125-H125</f>
        <v>7</v>
      </c>
      <c r="K125" s="5">
        <f>IF(I125&gt;0,1,0)</f>
        <v>0</v>
      </c>
      <c r="L125" s="5">
        <f>IF(J125&lt;PuntoReorden,1,0)</f>
        <v>0</v>
      </c>
      <c r="M125" s="9">
        <f>PrecioVenta*H125</f>
        <v>3400000</v>
      </c>
      <c r="N125" s="9">
        <f>CostoUnitario*E125</f>
        <v>0</v>
      </c>
      <c r="O125" s="9">
        <f>IF(E125&gt;0,CostoPedido,0)</f>
        <v>0</v>
      </c>
      <c r="P125" s="9">
        <f>CostoAlm*(F125+J125)/2</f>
        <v>760</v>
      </c>
      <c r="Q125" s="9">
        <f>CostoFijo*D125</f>
        <v>0</v>
      </c>
      <c r="R125" s="9">
        <f>M125-N125-O125-P125-Q125</f>
        <v>3399240</v>
      </c>
      <c r="S125" s="21">
        <f>PuntoReorden</f>
        <v>7</v>
      </c>
    </row>
    <row r="126">
      <c r="A126" s="5">
        <f>A125+1</f>
        <v>121</v>
      </c>
      <c r="B126" s="20">
        <f>B125+IF(WEEKDAY(B125,2)=6,2,1)</f>
        <v>46163</v>
      </c>
      <c r="C126" s="5">
        <f>MONTH(B126)</f>
        <v>5</v>
      </c>
      <c r="D126" s="5">
        <f>IF(C126&lt;&gt;C125,1,0)</f>
        <v>0</v>
      </c>
      <c r="E126" s="5">
        <f>IF(L125=1,CantPedido,0)</f>
        <v>0</v>
      </c>
      <c r="F126" s="5">
        <f>J125+E126</f>
        <v>7</v>
      </c>
      <c r="G126" s="5">
        <f>RANDBETWEEN(3,7)</f>
        <v>4</v>
      </c>
      <c r="H126" s="5">
        <f>MIN(F126,G126)</f>
        <v>4</v>
      </c>
      <c r="I126" s="5">
        <f>G126-H126</f>
        <v>0</v>
      </c>
      <c r="J126" s="5">
        <f>F126-H126</f>
        <v>3</v>
      </c>
      <c r="K126" s="5">
        <f>IF(I126&gt;0,1,0)</f>
        <v>0</v>
      </c>
      <c r="L126" s="5">
        <f>IF(J126&lt;PuntoReorden,1,0)</f>
        <v>1</v>
      </c>
      <c r="M126" s="9">
        <f>PrecioVenta*H126</f>
        <v>2720000</v>
      </c>
      <c r="N126" s="9">
        <f>CostoUnitario*E126</f>
        <v>0</v>
      </c>
      <c r="O126" s="9">
        <f>IF(E126&gt;0,CostoPedido,0)</f>
        <v>0</v>
      </c>
      <c r="P126" s="9">
        <f>CostoAlm*(F126+J126)/2</f>
        <v>400</v>
      </c>
      <c r="Q126" s="9">
        <f>CostoFijo*D126</f>
        <v>0</v>
      </c>
      <c r="R126" s="9">
        <f>M126-N126-O126-P126-Q126</f>
        <v>2719600</v>
      </c>
      <c r="S126" s="21">
        <f>PuntoReorden</f>
        <v>7</v>
      </c>
    </row>
    <row r="127">
      <c r="A127" s="5">
        <f>A126+1</f>
        <v>122</v>
      </c>
      <c r="B127" s="20">
        <f>B126+IF(WEEKDAY(B126,2)=6,2,1)</f>
        <v>46164</v>
      </c>
      <c r="C127" s="5">
        <f>MONTH(B127)</f>
        <v>5</v>
      </c>
      <c r="D127" s="5">
        <f>IF(C127&lt;&gt;C126,1,0)</f>
        <v>0</v>
      </c>
      <c r="E127" s="5">
        <f>IF(L126=1,CantPedido,0)</f>
        <v>15</v>
      </c>
      <c r="F127" s="5">
        <f>J126+E127</f>
        <v>18</v>
      </c>
      <c r="G127" s="5">
        <f>RANDBETWEEN(3,7)</f>
        <v>4</v>
      </c>
      <c r="H127" s="5">
        <f>MIN(F127,G127)</f>
        <v>4</v>
      </c>
      <c r="I127" s="5">
        <f>G127-H127</f>
        <v>0</v>
      </c>
      <c r="J127" s="5">
        <f>F127-H127</f>
        <v>14</v>
      </c>
      <c r="K127" s="5">
        <f>IF(I127&gt;0,1,0)</f>
        <v>0</v>
      </c>
      <c r="L127" s="5">
        <f>IF(J127&lt;PuntoReorden,1,0)</f>
        <v>0</v>
      </c>
      <c r="M127" s="9">
        <f>PrecioVenta*H127</f>
        <v>2720000</v>
      </c>
      <c r="N127" s="9">
        <f>CostoUnitario*E127</f>
        <v>9000000</v>
      </c>
      <c r="O127" s="9">
        <f>IF(E127&gt;0,CostoPedido,0)</f>
        <v>40000</v>
      </c>
      <c r="P127" s="9">
        <f>CostoAlm*(F127+J127)/2</f>
        <v>1280</v>
      </c>
      <c r="Q127" s="9">
        <f>CostoFijo*D127</f>
        <v>0</v>
      </c>
      <c r="R127" s="9">
        <f>M127-N127-O127-P127-Q127</f>
        <v>-6321280</v>
      </c>
      <c r="S127" s="21">
        <f>PuntoReorden</f>
        <v>7</v>
      </c>
    </row>
    <row r="128">
      <c r="A128" s="5">
        <f>A127+1</f>
        <v>123</v>
      </c>
      <c r="B128" s="20">
        <f>B127+IF(WEEKDAY(B127,2)=6,2,1)</f>
        <v>46165</v>
      </c>
      <c r="C128" s="5">
        <f>MONTH(B128)</f>
        <v>5</v>
      </c>
      <c r="D128" s="5">
        <f>IF(C128&lt;&gt;C127,1,0)</f>
        <v>0</v>
      </c>
      <c r="E128" s="5">
        <f>IF(L127=1,CantPedido,0)</f>
        <v>0</v>
      </c>
      <c r="F128" s="5">
        <f>J127+E128</f>
        <v>14</v>
      </c>
      <c r="G128" s="5">
        <f>RANDBETWEEN(3,7)</f>
        <v>5</v>
      </c>
      <c r="H128" s="5">
        <f>MIN(F128,G128)</f>
        <v>5</v>
      </c>
      <c r="I128" s="5">
        <f>G128-H128</f>
        <v>0</v>
      </c>
      <c r="J128" s="5">
        <f>F128-H128</f>
        <v>9</v>
      </c>
      <c r="K128" s="5">
        <f>IF(I128&gt;0,1,0)</f>
        <v>0</v>
      </c>
      <c r="L128" s="5">
        <f>IF(J128&lt;PuntoReorden,1,0)</f>
        <v>0</v>
      </c>
      <c r="M128" s="9">
        <f>PrecioVenta*H128</f>
        <v>3400000</v>
      </c>
      <c r="N128" s="9">
        <f>CostoUnitario*E128</f>
        <v>0</v>
      </c>
      <c r="O128" s="9">
        <f>IF(E128&gt;0,CostoPedido,0)</f>
        <v>0</v>
      </c>
      <c r="P128" s="9">
        <f>CostoAlm*(F128+J128)/2</f>
        <v>920</v>
      </c>
      <c r="Q128" s="9">
        <f>CostoFijo*D128</f>
        <v>0</v>
      </c>
      <c r="R128" s="9">
        <f>M128-N128-O128-P128-Q128</f>
        <v>3399080</v>
      </c>
      <c r="S128" s="21">
        <f>PuntoReorden</f>
        <v>7</v>
      </c>
    </row>
    <row r="129">
      <c r="A129" s="5">
        <f>A128+1</f>
        <v>124</v>
      </c>
      <c r="B129" s="20">
        <f>B128+IF(WEEKDAY(B128,2)=6,2,1)</f>
        <v>46167</v>
      </c>
      <c r="C129" s="5">
        <f>MONTH(B129)</f>
        <v>5</v>
      </c>
      <c r="D129" s="5">
        <f>IF(C129&lt;&gt;C128,1,0)</f>
        <v>0</v>
      </c>
      <c r="E129" s="5">
        <f>IF(L128=1,CantPedido,0)</f>
        <v>0</v>
      </c>
      <c r="F129" s="5">
        <f>J128+E129</f>
        <v>9</v>
      </c>
      <c r="G129" s="5">
        <f>RANDBETWEEN(3,7)</f>
        <v>7</v>
      </c>
      <c r="H129" s="5">
        <f>MIN(F129,G129)</f>
        <v>7</v>
      </c>
      <c r="I129" s="5">
        <f>G129-H129</f>
        <v>0</v>
      </c>
      <c r="J129" s="5">
        <f>F129-H129</f>
        <v>2</v>
      </c>
      <c r="K129" s="5">
        <f>IF(I129&gt;0,1,0)</f>
        <v>0</v>
      </c>
      <c r="L129" s="5">
        <f>IF(J129&lt;PuntoReorden,1,0)</f>
        <v>1</v>
      </c>
      <c r="M129" s="9">
        <f>PrecioVenta*H129</f>
        <v>4760000</v>
      </c>
      <c r="N129" s="9">
        <f>CostoUnitario*E129</f>
        <v>0</v>
      </c>
      <c r="O129" s="9">
        <f>IF(E129&gt;0,CostoPedido,0)</f>
        <v>0</v>
      </c>
      <c r="P129" s="9">
        <f>CostoAlm*(F129+J129)/2</f>
        <v>440</v>
      </c>
      <c r="Q129" s="9">
        <f>CostoFijo*D129</f>
        <v>0</v>
      </c>
      <c r="R129" s="9">
        <f>M129-N129-O129-P129-Q129</f>
        <v>4759560</v>
      </c>
      <c r="S129" s="21">
        <f>PuntoReorden</f>
        <v>7</v>
      </c>
    </row>
    <row r="130">
      <c r="A130" s="5">
        <f>A129+1</f>
        <v>125</v>
      </c>
      <c r="B130" s="20">
        <f>B129+IF(WEEKDAY(B129,2)=6,2,1)</f>
        <v>46168</v>
      </c>
      <c r="C130" s="5">
        <f>MONTH(B130)</f>
        <v>5</v>
      </c>
      <c r="D130" s="5">
        <f>IF(C130&lt;&gt;C129,1,0)</f>
        <v>0</v>
      </c>
      <c r="E130" s="5">
        <f>IF(L129=1,CantPedido,0)</f>
        <v>15</v>
      </c>
      <c r="F130" s="5">
        <f>J129+E130</f>
        <v>17</v>
      </c>
      <c r="G130" s="5">
        <f>RANDBETWEEN(3,7)</f>
        <v>5</v>
      </c>
      <c r="H130" s="5">
        <f>MIN(F130,G130)</f>
        <v>5</v>
      </c>
      <c r="I130" s="5">
        <f>G130-H130</f>
        <v>0</v>
      </c>
      <c r="J130" s="5">
        <f>F130-H130</f>
        <v>12</v>
      </c>
      <c r="K130" s="5">
        <f>IF(I130&gt;0,1,0)</f>
        <v>0</v>
      </c>
      <c r="L130" s="5">
        <f>IF(J130&lt;PuntoReorden,1,0)</f>
        <v>0</v>
      </c>
      <c r="M130" s="9">
        <f>PrecioVenta*H130</f>
        <v>3400000</v>
      </c>
      <c r="N130" s="9">
        <f>CostoUnitario*E130</f>
        <v>9000000</v>
      </c>
      <c r="O130" s="9">
        <f>IF(E130&gt;0,CostoPedido,0)</f>
        <v>40000</v>
      </c>
      <c r="P130" s="9">
        <f>CostoAlm*(F130+J130)/2</f>
        <v>1160</v>
      </c>
      <c r="Q130" s="9">
        <f>CostoFijo*D130</f>
        <v>0</v>
      </c>
      <c r="R130" s="9">
        <f>M130-N130-O130-P130-Q130</f>
        <v>-5641160</v>
      </c>
      <c r="S130" s="21">
        <f>PuntoReorden</f>
        <v>7</v>
      </c>
    </row>
    <row r="131">
      <c r="A131" s="5">
        <f>A130+1</f>
        <v>126</v>
      </c>
      <c r="B131" s="20">
        <f>B130+IF(WEEKDAY(B130,2)=6,2,1)</f>
        <v>46169</v>
      </c>
      <c r="C131" s="5">
        <f>MONTH(B131)</f>
        <v>5</v>
      </c>
      <c r="D131" s="5">
        <f>IF(C131&lt;&gt;C130,1,0)</f>
        <v>0</v>
      </c>
      <c r="E131" s="5">
        <f>IF(L130=1,CantPedido,0)</f>
        <v>0</v>
      </c>
      <c r="F131" s="5">
        <f>J130+E131</f>
        <v>12</v>
      </c>
      <c r="G131" s="5">
        <f>RANDBETWEEN(3,7)</f>
        <v>4</v>
      </c>
      <c r="H131" s="5">
        <f>MIN(F131,G131)</f>
        <v>4</v>
      </c>
      <c r="I131" s="5">
        <f>G131-H131</f>
        <v>0</v>
      </c>
      <c r="J131" s="5">
        <f>F131-H131</f>
        <v>8</v>
      </c>
      <c r="K131" s="5">
        <f>IF(I131&gt;0,1,0)</f>
        <v>0</v>
      </c>
      <c r="L131" s="5">
        <f>IF(J131&lt;PuntoReorden,1,0)</f>
        <v>0</v>
      </c>
      <c r="M131" s="9">
        <f>PrecioVenta*H131</f>
        <v>2720000</v>
      </c>
      <c r="N131" s="9">
        <f>CostoUnitario*E131</f>
        <v>0</v>
      </c>
      <c r="O131" s="9">
        <f>IF(E131&gt;0,CostoPedido,0)</f>
        <v>0</v>
      </c>
      <c r="P131" s="9">
        <f>CostoAlm*(F131+J131)/2</f>
        <v>800</v>
      </c>
      <c r="Q131" s="9">
        <f>CostoFijo*D131</f>
        <v>0</v>
      </c>
      <c r="R131" s="9">
        <f>M131-N131-O131-P131-Q131</f>
        <v>2719200</v>
      </c>
      <c r="S131" s="21">
        <f>PuntoReorden</f>
        <v>7</v>
      </c>
    </row>
    <row r="132">
      <c r="A132" s="5">
        <f>A131+1</f>
        <v>127</v>
      </c>
      <c r="B132" s="20">
        <f>B131+IF(WEEKDAY(B131,2)=6,2,1)</f>
        <v>46170</v>
      </c>
      <c r="C132" s="5">
        <f>MONTH(B132)</f>
        <v>5</v>
      </c>
      <c r="D132" s="5">
        <f>IF(C132&lt;&gt;C131,1,0)</f>
        <v>0</v>
      </c>
      <c r="E132" s="5">
        <f>IF(L131=1,CantPedido,0)</f>
        <v>0</v>
      </c>
      <c r="F132" s="5">
        <f>J131+E132</f>
        <v>8</v>
      </c>
      <c r="G132" s="5">
        <f>RANDBETWEEN(3,7)</f>
        <v>6</v>
      </c>
      <c r="H132" s="5">
        <f>MIN(F132,G132)</f>
        <v>6</v>
      </c>
      <c r="I132" s="5">
        <f>G132-H132</f>
        <v>0</v>
      </c>
      <c r="J132" s="5">
        <f>F132-H132</f>
        <v>2</v>
      </c>
      <c r="K132" s="5">
        <f>IF(I132&gt;0,1,0)</f>
        <v>0</v>
      </c>
      <c r="L132" s="5">
        <f>IF(J132&lt;PuntoReorden,1,0)</f>
        <v>1</v>
      </c>
      <c r="M132" s="9">
        <f>PrecioVenta*H132</f>
        <v>4080000</v>
      </c>
      <c r="N132" s="9">
        <f>CostoUnitario*E132</f>
        <v>0</v>
      </c>
      <c r="O132" s="9">
        <f>IF(E132&gt;0,CostoPedido,0)</f>
        <v>0</v>
      </c>
      <c r="P132" s="9">
        <f>CostoAlm*(F132+J132)/2</f>
        <v>400</v>
      </c>
      <c r="Q132" s="9">
        <f>CostoFijo*D132</f>
        <v>0</v>
      </c>
      <c r="R132" s="9">
        <f>M132-N132-O132-P132-Q132</f>
        <v>4079600</v>
      </c>
      <c r="S132" s="21">
        <f>PuntoReorden</f>
        <v>7</v>
      </c>
    </row>
    <row r="133">
      <c r="A133" s="5">
        <f>A132+1</f>
        <v>128</v>
      </c>
      <c r="B133" s="20">
        <f>B132+IF(WEEKDAY(B132,2)=6,2,1)</f>
        <v>46171</v>
      </c>
      <c r="C133" s="5">
        <f>MONTH(B133)</f>
        <v>5</v>
      </c>
      <c r="D133" s="5">
        <f>IF(C133&lt;&gt;C132,1,0)</f>
        <v>0</v>
      </c>
      <c r="E133" s="5">
        <f>IF(L132=1,CantPedido,0)</f>
        <v>15</v>
      </c>
      <c r="F133" s="5">
        <f>J132+E133</f>
        <v>17</v>
      </c>
      <c r="G133" s="5">
        <f>RANDBETWEEN(3,7)</f>
        <v>4</v>
      </c>
      <c r="H133" s="5">
        <f>MIN(F133,G133)</f>
        <v>4</v>
      </c>
      <c r="I133" s="5">
        <f>G133-H133</f>
        <v>0</v>
      </c>
      <c r="J133" s="5">
        <f>F133-H133</f>
        <v>13</v>
      </c>
      <c r="K133" s="5">
        <f>IF(I133&gt;0,1,0)</f>
        <v>0</v>
      </c>
      <c r="L133" s="5">
        <f>IF(J133&lt;PuntoReorden,1,0)</f>
        <v>0</v>
      </c>
      <c r="M133" s="9">
        <f>PrecioVenta*H133</f>
        <v>2720000</v>
      </c>
      <c r="N133" s="9">
        <f>CostoUnitario*E133</f>
        <v>9000000</v>
      </c>
      <c r="O133" s="9">
        <f>IF(E133&gt;0,CostoPedido,0)</f>
        <v>40000</v>
      </c>
      <c r="P133" s="9">
        <f>CostoAlm*(F133+J133)/2</f>
        <v>1200</v>
      </c>
      <c r="Q133" s="9">
        <f>CostoFijo*D133</f>
        <v>0</v>
      </c>
      <c r="R133" s="9">
        <f>M133-N133-O133-P133-Q133</f>
        <v>-6321200</v>
      </c>
      <c r="S133" s="21">
        <f>PuntoReorden</f>
        <v>7</v>
      </c>
    </row>
    <row r="134">
      <c r="A134" s="5">
        <f>A133+1</f>
        <v>129</v>
      </c>
      <c r="B134" s="20">
        <f>B133+IF(WEEKDAY(B133,2)=6,2,1)</f>
        <v>46172</v>
      </c>
      <c r="C134" s="5">
        <f>MONTH(B134)</f>
        <v>5</v>
      </c>
      <c r="D134" s="5">
        <f>IF(C134&lt;&gt;C133,1,0)</f>
        <v>0</v>
      </c>
      <c r="E134" s="5">
        <f>IF(L133=1,CantPedido,0)</f>
        <v>0</v>
      </c>
      <c r="F134" s="5">
        <f>J133+E134</f>
        <v>13</v>
      </c>
      <c r="G134" s="5">
        <f>RANDBETWEEN(3,7)</f>
        <v>4</v>
      </c>
      <c r="H134" s="5">
        <f>MIN(F134,G134)</f>
        <v>4</v>
      </c>
      <c r="I134" s="5">
        <f>G134-H134</f>
        <v>0</v>
      </c>
      <c r="J134" s="5">
        <f>F134-H134</f>
        <v>9</v>
      </c>
      <c r="K134" s="5">
        <f>IF(I134&gt;0,1,0)</f>
        <v>0</v>
      </c>
      <c r="L134" s="5">
        <f>IF(J134&lt;PuntoReorden,1,0)</f>
        <v>0</v>
      </c>
      <c r="M134" s="9">
        <f>PrecioVenta*H134</f>
        <v>2720000</v>
      </c>
      <c r="N134" s="9">
        <f>CostoUnitario*E134</f>
        <v>0</v>
      </c>
      <c r="O134" s="9">
        <f>IF(E134&gt;0,CostoPedido,0)</f>
        <v>0</v>
      </c>
      <c r="P134" s="9">
        <f>CostoAlm*(F134+J134)/2</f>
        <v>880</v>
      </c>
      <c r="Q134" s="9">
        <f>CostoFijo*D134</f>
        <v>0</v>
      </c>
      <c r="R134" s="9">
        <f>M134-N134-O134-P134-Q134</f>
        <v>2719120</v>
      </c>
      <c r="S134" s="21">
        <f>PuntoReorden</f>
        <v>7</v>
      </c>
    </row>
    <row r="135">
      <c r="A135" s="5">
        <f>A134+1</f>
        <v>130</v>
      </c>
      <c r="B135" s="20">
        <f>B134+IF(WEEKDAY(B134,2)=6,2,1)</f>
        <v>46174</v>
      </c>
      <c r="C135" s="5">
        <f>MONTH(B135)</f>
        <v>6</v>
      </c>
      <c r="D135" s="5">
        <f>IF(C135&lt;&gt;C134,1,0)</f>
        <v>1</v>
      </c>
      <c r="E135" s="5">
        <f>IF(L134=1,CantPedido,0)</f>
        <v>0</v>
      </c>
      <c r="F135" s="5">
        <f>J134+E135</f>
        <v>9</v>
      </c>
      <c r="G135" s="5">
        <f>RANDBETWEEN(3,7)</f>
        <v>5</v>
      </c>
      <c r="H135" s="5">
        <f>MIN(F135,G135)</f>
        <v>5</v>
      </c>
      <c r="I135" s="5">
        <f>G135-H135</f>
        <v>0</v>
      </c>
      <c r="J135" s="5">
        <f>F135-H135</f>
        <v>4</v>
      </c>
      <c r="K135" s="5">
        <f>IF(I135&gt;0,1,0)</f>
        <v>0</v>
      </c>
      <c r="L135" s="5">
        <f>IF(J135&lt;PuntoReorden,1,0)</f>
        <v>1</v>
      </c>
      <c r="M135" s="9">
        <f>PrecioVenta*H135</f>
        <v>3400000</v>
      </c>
      <c r="N135" s="9">
        <f>CostoUnitario*E135</f>
        <v>0</v>
      </c>
      <c r="O135" s="9">
        <f>IF(E135&gt;0,CostoPedido,0)</f>
        <v>0</v>
      </c>
      <c r="P135" s="9">
        <f>CostoAlm*(F135+J135)/2</f>
        <v>520</v>
      </c>
      <c r="Q135" s="9">
        <f>CostoFijo*D135</f>
        <v>1000000</v>
      </c>
      <c r="R135" s="9">
        <f>M135-N135-O135-P135-Q135</f>
        <v>2399480</v>
      </c>
      <c r="S135" s="21">
        <f>PuntoReorden</f>
        <v>7</v>
      </c>
    </row>
    <row r="136">
      <c r="A136" s="5">
        <f>A135+1</f>
        <v>131</v>
      </c>
      <c r="B136" s="20">
        <f>B135+IF(WEEKDAY(B135,2)=6,2,1)</f>
        <v>46175</v>
      </c>
      <c r="C136" s="5">
        <f>MONTH(B136)</f>
        <v>6</v>
      </c>
      <c r="D136" s="5">
        <f>IF(C136&lt;&gt;C135,1,0)</f>
        <v>0</v>
      </c>
      <c r="E136" s="5">
        <f>IF(L135=1,CantPedido,0)</f>
        <v>15</v>
      </c>
      <c r="F136" s="5">
        <f>J135+E136</f>
        <v>19</v>
      </c>
      <c r="G136" s="5">
        <f>RANDBETWEEN(3,7)</f>
        <v>7</v>
      </c>
      <c r="H136" s="5">
        <f>MIN(F136,G136)</f>
        <v>7</v>
      </c>
      <c r="I136" s="5">
        <f>G136-H136</f>
        <v>0</v>
      </c>
      <c r="J136" s="5">
        <f>F136-H136</f>
        <v>12</v>
      </c>
      <c r="K136" s="5">
        <f>IF(I136&gt;0,1,0)</f>
        <v>0</v>
      </c>
      <c r="L136" s="5">
        <f>IF(J136&lt;PuntoReorden,1,0)</f>
        <v>0</v>
      </c>
      <c r="M136" s="9">
        <f>PrecioVenta*H136</f>
        <v>4760000</v>
      </c>
      <c r="N136" s="9">
        <f>CostoUnitario*E136</f>
        <v>9000000</v>
      </c>
      <c r="O136" s="9">
        <f>IF(E136&gt;0,CostoPedido,0)</f>
        <v>40000</v>
      </c>
      <c r="P136" s="9">
        <f>CostoAlm*(F136+J136)/2</f>
        <v>1240</v>
      </c>
      <c r="Q136" s="9">
        <f>CostoFijo*D136</f>
        <v>0</v>
      </c>
      <c r="R136" s="9">
        <f>M136-N136-O136-P136-Q136</f>
        <v>-4281240</v>
      </c>
      <c r="S136" s="21">
        <f>PuntoReorden</f>
        <v>7</v>
      </c>
    </row>
    <row r="137">
      <c r="A137" s="5">
        <f>A136+1</f>
        <v>132</v>
      </c>
      <c r="B137" s="20">
        <f>B136+IF(WEEKDAY(B136,2)=6,2,1)</f>
        <v>46176</v>
      </c>
      <c r="C137" s="5">
        <f>MONTH(B137)</f>
        <v>6</v>
      </c>
      <c r="D137" s="5">
        <f>IF(C137&lt;&gt;C136,1,0)</f>
        <v>0</v>
      </c>
      <c r="E137" s="5">
        <f>IF(L136=1,CantPedido,0)</f>
        <v>0</v>
      </c>
      <c r="F137" s="5">
        <f>J136+E137</f>
        <v>12</v>
      </c>
      <c r="G137" s="5">
        <f>RANDBETWEEN(3,7)</f>
        <v>7</v>
      </c>
      <c r="H137" s="5">
        <f>MIN(F137,G137)</f>
        <v>7</v>
      </c>
      <c r="I137" s="5">
        <f>G137-H137</f>
        <v>0</v>
      </c>
      <c r="J137" s="5">
        <f>F137-H137</f>
        <v>5</v>
      </c>
      <c r="K137" s="5">
        <f>IF(I137&gt;0,1,0)</f>
        <v>0</v>
      </c>
      <c r="L137" s="5">
        <f>IF(J137&lt;PuntoReorden,1,0)</f>
        <v>1</v>
      </c>
      <c r="M137" s="9">
        <f>PrecioVenta*H137</f>
        <v>4760000</v>
      </c>
      <c r="N137" s="9">
        <f>CostoUnitario*E137</f>
        <v>0</v>
      </c>
      <c r="O137" s="9">
        <f>IF(E137&gt;0,CostoPedido,0)</f>
        <v>0</v>
      </c>
      <c r="P137" s="9">
        <f>CostoAlm*(F137+J137)/2</f>
        <v>680</v>
      </c>
      <c r="Q137" s="9">
        <f>CostoFijo*D137</f>
        <v>0</v>
      </c>
      <c r="R137" s="9">
        <f>M137-N137-O137-P137-Q137</f>
        <v>4759320</v>
      </c>
      <c r="S137" s="21">
        <f>PuntoReorden</f>
        <v>7</v>
      </c>
    </row>
    <row r="138">
      <c r="A138" s="5">
        <f>A137+1</f>
        <v>133</v>
      </c>
      <c r="B138" s="20">
        <f>B137+IF(WEEKDAY(B137,2)=6,2,1)</f>
        <v>46177</v>
      </c>
      <c r="C138" s="5">
        <f>MONTH(B138)</f>
        <v>6</v>
      </c>
      <c r="D138" s="5">
        <f>IF(C138&lt;&gt;C137,1,0)</f>
        <v>0</v>
      </c>
      <c r="E138" s="5">
        <f>IF(L137=1,CantPedido,0)</f>
        <v>15</v>
      </c>
      <c r="F138" s="5">
        <f>J137+E138</f>
        <v>20</v>
      </c>
      <c r="G138" s="5">
        <f>RANDBETWEEN(3,7)</f>
        <v>6</v>
      </c>
      <c r="H138" s="5">
        <f>MIN(F138,G138)</f>
        <v>6</v>
      </c>
      <c r="I138" s="5">
        <f>G138-H138</f>
        <v>0</v>
      </c>
      <c r="J138" s="5">
        <f>F138-H138</f>
        <v>14</v>
      </c>
      <c r="K138" s="5">
        <f>IF(I138&gt;0,1,0)</f>
        <v>0</v>
      </c>
      <c r="L138" s="5">
        <f>IF(J138&lt;PuntoReorden,1,0)</f>
        <v>0</v>
      </c>
      <c r="M138" s="9">
        <f>PrecioVenta*H138</f>
        <v>4080000</v>
      </c>
      <c r="N138" s="9">
        <f>CostoUnitario*E138</f>
        <v>9000000</v>
      </c>
      <c r="O138" s="9">
        <f>IF(E138&gt;0,CostoPedido,0)</f>
        <v>40000</v>
      </c>
      <c r="P138" s="9">
        <f>CostoAlm*(F138+J138)/2</f>
        <v>1360</v>
      </c>
      <c r="Q138" s="9">
        <f>CostoFijo*D138</f>
        <v>0</v>
      </c>
      <c r="R138" s="9">
        <f>M138-N138-O138-P138-Q138</f>
        <v>-4961360</v>
      </c>
      <c r="S138" s="21">
        <f>PuntoReorden</f>
        <v>7</v>
      </c>
    </row>
    <row r="139">
      <c r="A139" s="5">
        <f>A138+1</f>
        <v>134</v>
      </c>
      <c r="B139" s="20">
        <f>B138+IF(WEEKDAY(B138,2)=6,2,1)</f>
        <v>46178</v>
      </c>
      <c r="C139" s="5">
        <f>MONTH(B139)</f>
        <v>6</v>
      </c>
      <c r="D139" s="5">
        <f>IF(C139&lt;&gt;C138,1,0)</f>
        <v>0</v>
      </c>
      <c r="E139" s="5">
        <f>IF(L138=1,CantPedido,0)</f>
        <v>0</v>
      </c>
      <c r="F139" s="5">
        <f>J138+E139</f>
        <v>14</v>
      </c>
      <c r="G139" s="5">
        <f>RANDBETWEEN(3,7)</f>
        <v>6</v>
      </c>
      <c r="H139" s="5">
        <f>MIN(F139,G139)</f>
        <v>6</v>
      </c>
      <c r="I139" s="5">
        <f>G139-H139</f>
        <v>0</v>
      </c>
      <c r="J139" s="5">
        <f>F139-H139</f>
        <v>8</v>
      </c>
      <c r="K139" s="5">
        <f>IF(I139&gt;0,1,0)</f>
        <v>0</v>
      </c>
      <c r="L139" s="5">
        <f>IF(J139&lt;PuntoReorden,1,0)</f>
        <v>0</v>
      </c>
      <c r="M139" s="9">
        <f>PrecioVenta*H139</f>
        <v>4080000</v>
      </c>
      <c r="N139" s="9">
        <f>CostoUnitario*E139</f>
        <v>0</v>
      </c>
      <c r="O139" s="9">
        <f>IF(E139&gt;0,CostoPedido,0)</f>
        <v>0</v>
      </c>
      <c r="P139" s="9">
        <f>CostoAlm*(F139+J139)/2</f>
        <v>880</v>
      </c>
      <c r="Q139" s="9">
        <f>CostoFijo*D139</f>
        <v>0</v>
      </c>
      <c r="R139" s="9">
        <f>M139-N139-O139-P139-Q139</f>
        <v>4079120</v>
      </c>
      <c r="S139" s="21">
        <f>PuntoReorden</f>
        <v>7</v>
      </c>
    </row>
    <row r="140">
      <c r="A140" s="5">
        <f>A139+1</f>
        <v>135</v>
      </c>
      <c r="B140" s="20">
        <f>B139+IF(WEEKDAY(B139,2)=6,2,1)</f>
        <v>46179</v>
      </c>
      <c r="C140" s="5">
        <f>MONTH(B140)</f>
        <v>6</v>
      </c>
      <c r="D140" s="5">
        <f>IF(C140&lt;&gt;C139,1,0)</f>
        <v>0</v>
      </c>
      <c r="E140" s="5">
        <f>IF(L139=1,CantPedido,0)</f>
        <v>0</v>
      </c>
      <c r="F140" s="5">
        <f>J139+E140</f>
        <v>8</v>
      </c>
      <c r="G140" s="5">
        <f>RANDBETWEEN(3,7)</f>
        <v>3</v>
      </c>
      <c r="H140" s="5">
        <f>MIN(F140,G140)</f>
        <v>3</v>
      </c>
      <c r="I140" s="5">
        <f>G140-H140</f>
        <v>0</v>
      </c>
      <c r="J140" s="5">
        <f>F140-H140</f>
        <v>5</v>
      </c>
      <c r="K140" s="5">
        <f>IF(I140&gt;0,1,0)</f>
        <v>0</v>
      </c>
      <c r="L140" s="5">
        <f>IF(J140&lt;PuntoReorden,1,0)</f>
        <v>1</v>
      </c>
      <c r="M140" s="9">
        <f>PrecioVenta*H140</f>
        <v>2040000</v>
      </c>
      <c r="N140" s="9">
        <f>CostoUnitario*E140</f>
        <v>0</v>
      </c>
      <c r="O140" s="9">
        <f>IF(E140&gt;0,CostoPedido,0)</f>
        <v>0</v>
      </c>
      <c r="P140" s="9">
        <f>CostoAlm*(F140+J140)/2</f>
        <v>520</v>
      </c>
      <c r="Q140" s="9">
        <f>CostoFijo*D140</f>
        <v>0</v>
      </c>
      <c r="R140" s="9">
        <f>M140-N140-O140-P140-Q140</f>
        <v>2039480</v>
      </c>
      <c r="S140" s="21">
        <f>PuntoReorden</f>
        <v>7</v>
      </c>
    </row>
    <row r="141">
      <c r="A141" s="5">
        <f>A140+1</f>
        <v>136</v>
      </c>
      <c r="B141" s="20">
        <f>B140+IF(WEEKDAY(B140,2)=6,2,1)</f>
        <v>46181</v>
      </c>
      <c r="C141" s="5">
        <f>MONTH(B141)</f>
        <v>6</v>
      </c>
      <c r="D141" s="5">
        <f>IF(C141&lt;&gt;C140,1,0)</f>
        <v>0</v>
      </c>
      <c r="E141" s="5">
        <f>IF(L140=1,CantPedido,0)</f>
        <v>15</v>
      </c>
      <c r="F141" s="5">
        <f>J140+E141</f>
        <v>20</v>
      </c>
      <c r="G141" s="5">
        <f>RANDBETWEEN(3,7)</f>
        <v>4</v>
      </c>
      <c r="H141" s="5">
        <f>MIN(F141,G141)</f>
        <v>4</v>
      </c>
      <c r="I141" s="5">
        <f>G141-H141</f>
        <v>0</v>
      </c>
      <c r="J141" s="5">
        <f>F141-H141</f>
        <v>16</v>
      </c>
      <c r="K141" s="5">
        <f>IF(I141&gt;0,1,0)</f>
        <v>0</v>
      </c>
      <c r="L141" s="5">
        <f>IF(J141&lt;PuntoReorden,1,0)</f>
        <v>0</v>
      </c>
      <c r="M141" s="9">
        <f>PrecioVenta*H141</f>
        <v>2720000</v>
      </c>
      <c r="N141" s="9">
        <f>CostoUnitario*E141</f>
        <v>9000000</v>
      </c>
      <c r="O141" s="9">
        <f>IF(E141&gt;0,CostoPedido,0)</f>
        <v>40000</v>
      </c>
      <c r="P141" s="9">
        <f>CostoAlm*(F141+J141)/2</f>
        <v>1440</v>
      </c>
      <c r="Q141" s="9">
        <f>CostoFijo*D141</f>
        <v>0</v>
      </c>
      <c r="R141" s="9">
        <f>M141-N141-O141-P141-Q141</f>
        <v>-6321440</v>
      </c>
      <c r="S141" s="21">
        <f>PuntoReorden</f>
        <v>7</v>
      </c>
    </row>
    <row r="142">
      <c r="A142" s="5">
        <f>A141+1</f>
        <v>137</v>
      </c>
      <c r="B142" s="20">
        <f>B141+IF(WEEKDAY(B141,2)=6,2,1)</f>
        <v>46182</v>
      </c>
      <c r="C142" s="5">
        <f>MONTH(B142)</f>
        <v>6</v>
      </c>
      <c r="D142" s="5">
        <f>IF(C142&lt;&gt;C141,1,0)</f>
        <v>0</v>
      </c>
      <c r="E142" s="5">
        <f>IF(L141=1,CantPedido,0)</f>
        <v>0</v>
      </c>
      <c r="F142" s="5">
        <f>J141+E142</f>
        <v>16</v>
      </c>
      <c r="G142" s="5">
        <f>RANDBETWEEN(3,7)</f>
        <v>5</v>
      </c>
      <c r="H142" s="5">
        <f>MIN(F142,G142)</f>
        <v>5</v>
      </c>
      <c r="I142" s="5">
        <f>G142-H142</f>
        <v>0</v>
      </c>
      <c r="J142" s="5">
        <f>F142-H142</f>
        <v>11</v>
      </c>
      <c r="K142" s="5">
        <f>IF(I142&gt;0,1,0)</f>
        <v>0</v>
      </c>
      <c r="L142" s="5">
        <f>IF(J142&lt;PuntoReorden,1,0)</f>
        <v>0</v>
      </c>
      <c r="M142" s="9">
        <f>PrecioVenta*H142</f>
        <v>3400000</v>
      </c>
      <c r="N142" s="9">
        <f>CostoUnitario*E142</f>
        <v>0</v>
      </c>
      <c r="O142" s="9">
        <f>IF(E142&gt;0,CostoPedido,0)</f>
        <v>0</v>
      </c>
      <c r="P142" s="9">
        <f>CostoAlm*(F142+J142)/2</f>
        <v>1080</v>
      </c>
      <c r="Q142" s="9">
        <f>CostoFijo*D142</f>
        <v>0</v>
      </c>
      <c r="R142" s="9">
        <f>M142-N142-O142-P142-Q142</f>
        <v>3398920</v>
      </c>
      <c r="S142" s="21">
        <f>PuntoReorden</f>
        <v>7</v>
      </c>
    </row>
    <row r="143">
      <c r="A143" s="5">
        <f>A142+1</f>
        <v>138</v>
      </c>
      <c r="B143" s="20">
        <f>B142+IF(WEEKDAY(B142,2)=6,2,1)</f>
        <v>46183</v>
      </c>
      <c r="C143" s="5">
        <f>MONTH(B143)</f>
        <v>6</v>
      </c>
      <c r="D143" s="5">
        <f>IF(C143&lt;&gt;C142,1,0)</f>
        <v>0</v>
      </c>
      <c r="E143" s="5">
        <f>IF(L142=1,CantPedido,0)</f>
        <v>0</v>
      </c>
      <c r="F143" s="5">
        <f>J142+E143</f>
        <v>11</v>
      </c>
      <c r="G143" s="5">
        <f>RANDBETWEEN(3,7)</f>
        <v>7</v>
      </c>
      <c r="H143" s="5">
        <f>MIN(F143,G143)</f>
        <v>7</v>
      </c>
      <c r="I143" s="5">
        <f>G143-H143</f>
        <v>0</v>
      </c>
      <c r="J143" s="5">
        <f>F143-H143</f>
        <v>4</v>
      </c>
      <c r="K143" s="5">
        <f>IF(I143&gt;0,1,0)</f>
        <v>0</v>
      </c>
      <c r="L143" s="5">
        <f>IF(J143&lt;PuntoReorden,1,0)</f>
        <v>1</v>
      </c>
      <c r="M143" s="9">
        <f>PrecioVenta*H143</f>
        <v>4760000</v>
      </c>
      <c r="N143" s="9">
        <f>CostoUnitario*E143</f>
        <v>0</v>
      </c>
      <c r="O143" s="9">
        <f>IF(E143&gt;0,CostoPedido,0)</f>
        <v>0</v>
      </c>
      <c r="P143" s="9">
        <f>CostoAlm*(F143+J143)/2</f>
        <v>600</v>
      </c>
      <c r="Q143" s="9">
        <f>CostoFijo*D143</f>
        <v>0</v>
      </c>
      <c r="R143" s="9">
        <f>M143-N143-O143-P143-Q143</f>
        <v>4759400</v>
      </c>
      <c r="S143" s="21">
        <f>PuntoReorden</f>
        <v>7</v>
      </c>
    </row>
    <row r="144">
      <c r="A144" s="5">
        <f>A143+1</f>
        <v>139</v>
      </c>
      <c r="B144" s="20">
        <f>B143+IF(WEEKDAY(B143,2)=6,2,1)</f>
        <v>46184</v>
      </c>
      <c r="C144" s="5">
        <f>MONTH(B144)</f>
        <v>6</v>
      </c>
      <c r="D144" s="5">
        <f>IF(C144&lt;&gt;C143,1,0)</f>
        <v>0</v>
      </c>
      <c r="E144" s="5">
        <f>IF(L143=1,CantPedido,0)</f>
        <v>15</v>
      </c>
      <c r="F144" s="5">
        <f>J143+E144</f>
        <v>19</v>
      </c>
      <c r="G144" s="5">
        <f>RANDBETWEEN(3,7)</f>
        <v>3</v>
      </c>
      <c r="H144" s="5">
        <f>MIN(F144,G144)</f>
        <v>3</v>
      </c>
      <c r="I144" s="5">
        <f>G144-H144</f>
        <v>0</v>
      </c>
      <c r="J144" s="5">
        <f>F144-H144</f>
        <v>16</v>
      </c>
      <c r="K144" s="5">
        <f>IF(I144&gt;0,1,0)</f>
        <v>0</v>
      </c>
      <c r="L144" s="5">
        <f>IF(J144&lt;PuntoReorden,1,0)</f>
        <v>0</v>
      </c>
      <c r="M144" s="9">
        <f>PrecioVenta*H144</f>
        <v>2040000</v>
      </c>
      <c r="N144" s="9">
        <f>CostoUnitario*E144</f>
        <v>9000000</v>
      </c>
      <c r="O144" s="9">
        <f>IF(E144&gt;0,CostoPedido,0)</f>
        <v>40000</v>
      </c>
      <c r="P144" s="9">
        <f>CostoAlm*(F144+J144)/2</f>
        <v>1400</v>
      </c>
      <c r="Q144" s="9">
        <f>CostoFijo*D144</f>
        <v>0</v>
      </c>
      <c r="R144" s="9">
        <f>M144-N144-O144-P144-Q144</f>
        <v>-7001400</v>
      </c>
      <c r="S144" s="21">
        <f>PuntoReorden</f>
        <v>7</v>
      </c>
    </row>
    <row r="145">
      <c r="A145" s="5">
        <f>A144+1</f>
        <v>140</v>
      </c>
      <c r="B145" s="20">
        <f>B144+IF(WEEKDAY(B144,2)=6,2,1)</f>
        <v>46185</v>
      </c>
      <c r="C145" s="5">
        <f>MONTH(B145)</f>
        <v>6</v>
      </c>
      <c r="D145" s="5">
        <f>IF(C145&lt;&gt;C144,1,0)</f>
        <v>0</v>
      </c>
      <c r="E145" s="5">
        <f>IF(L144=1,CantPedido,0)</f>
        <v>0</v>
      </c>
      <c r="F145" s="5">
        <f>J144+E145</f>
        <v>16</v>
      </c>
      <c r="G145" s="5">
        <f>RANDBETWEEN(3,7)</f>
        <v>5</v>
      </c>
      <c r="H145" s="5">
        <f>MIN(F145,G145)</f>
        <v>5</v>
      </c>
      <c r="I145" s="5">
        <f>G145-H145</f>
        <v>0</v>
      </c>
      <c r="J145" s="5">
        <f>F145-H145</f>
        <v>11</v>
      </c>
      <c r="K145" s="5">
        <f>IF(I145&gt;0,1,0)</f>
        <v>0</v>
      </c>
      <c r="L145" s="5">
        <f>IF(J145&lt;PuntoReorden,1,0)</f>
        <v>0</v>
      </c>
      <c r="M145" s="9">
        <f>PrecioVenta*H145</f>
        <v>3400000</v>
      </c>
      <c r="N145" s="9">
        <f>CostoUnitario*E145</f>
        <v>0</v>
      </c>
      <c r="O145" s="9">
        <f>IF(E145&gt;0,CostoPedido,0)</f>
        <v>0</v>
      </c>
      <c r="P145" s="9">
        <f>CostoAlm*(F145+J145)/2</f>
        <v>1080</v>
      </c>
      <c r="Q145" s="9">
        <f>CostoFijo*D145</f>
        <v>0</v>
      </c>
      <c r="R145" s="9">
        <f>M145-N145-O145-P145-Q145</f>
        <v>3398920</v>
      </c>
      <c r="S145" s="21">
        <f>PuntoReorden</f>
        <v>7</v>
      </c>
    </row>
    <row r="146">
      <c r="A146" s="5">
        <f>A145+1</f>
        <v>141</v>
      </c>
      <c r="B146" s="20">
        <f>B145+IF(WEEKDAY(B145,2)=6,2,1)</f>
        <v>46186</v>
      </c>
      <c r="C146" s="5">
        <f>MONTH(B146)</f>
        <v>6</v>
      </c>
      <c r="D146" s="5">
        <f>IF(C146&lt;&gt;C145,1,0)</f>
        <v>0</v>
      </c>
      <c r="E146" s="5">
        <f>IF(L145=1,CantPedido,0)</f>
        <v>0</v>
      </c>
      <c r="F146" s="5">
        <f>J145+E146</f>
        <v>11</v>
      </c>
      <c r="G146" s="5">
        <f>RANDBETWEEN(3,7)</f>
        <v>6</v>
      </c>
      <c r="H146" s="5">
        <f>MIN(F146,G146)</f>
        <v>6</v>
      </c>
      <c r="I146" s="5">
        <f>G146-H146</f>
        <v>0</v>
      </c>
      <c r="J146" s="5">
        <f>F146-H146</f>
        <v>5</v>
      </c>
      <c r="K146" s="5">
        <f>IF(I146&gt;0,1,0)</f>
        <v>0</v>
      </c>
      <c r="L146" s="5">
        <f>IF(J146&lt;PuntoReorden,1,0)</f>
        <v>1</v>
      </c>
      <c r="M146" s="9">
        <f>PrecioVenta*H146</f>
        <v>4080000</v>
      </c>
      <c r="N146" s="9">
        <f>CostoUnitario*E146</f>
        <v>0</v>
      </c>
      <c r="O146" s="9">
        <f>IF(E146&gt;0,CostoPedido,0)</f>
        <v>0</v>
      </c>
      <c r="P146" s="9">
        <f>CostoAlm*(F146+J146)/2</f>
        <v>640</v>
      </c>
      <c r="Q146" s="9">
        <f>CostoFijo*D146</f>
        <v>0</v>
      </c>
      <c r="R146" s="9">
        <f>M146-N146-O146-P146-Q146</f>
        <v>4079360</v>
      </c>
      <c r="S146" s="21">
        <f>PuntoReorden</f>
        <v>7</v>
      </c>
    </row>
    <row r="147">
      <c r="A147" s="5">
        <f>A146+1</f>
        <v>142</v>
      </c>
      <c r="B147" s="20">
        <f>B146+IF(WEEKDAY(B146,2)=6,2,1)</f>
        <v>46188</v>
      </c>
      <c r="C147" s="5">
        <f>MONTH(B147)</f>
        <v>6</v>
      </c>
      <c r="D147" s="5">
        <f>IF(C147&lt;&gt;C146,1,0)</f>
        <v>0</v>
      </c>
      <c r="E147" s="5">
        <f>IF(L146=1,CantPedido,0)</f>
        <v>15</v>
      </c>
      <c r="F147" s="5">
        <f>J146+E147</f>
        <v>20</v>
      </c>
      <c r="G147" s="5">
        <f>RANDBETWEEN(3,7)</f>
        <v>3</v>
      </c>
      <c r="H147" s="5">
        <f>MIN(F147,G147)</f>
        <v>3</v>
      </c>
      <c r="I147" s="5">
        <f>G147-H147</f>
        <v>0</v>
      </c>
      <c r="J147" s="5">
        <f>F147-H147</f>
        <v>17</v>
      </c>
      <c r="K147" s="5">
        <f>IF(I147&gt;0,1,0)</f>
        <v>0</v>
      </c>
      <c r="L147" s="5">
        <f>IF(J147&lt;PuntoReorden,1,0)</f>
        <v>0</v>
      </c>
      <c r="M147" s="9">
        <f>PrecioVenta*H147</f>
        <v>2040000</v>
      </c>
      <c r="N147" s="9">
        <f>CostoUnitario*E147</f>
        <v>9000000</v>
      </c>
      <c r="O147" s="9">
        <f>IF(E147&gt;0,CostoPedido,0)</f>
        <v>40000</v>
      </c>
      <c r="P147" s="9">
        <f>CostoAlm*(F147+J147)/2</f>
        <v>1480</v>
      </c>
      <c r="Q147" s="9">
        <f>CostoFijo*D147</f>
        <v>0</v>
      </c>
      <c r="R147" s="9">
        <f>M147-N147-O147-P147-Q147</f>
        <v>-7001480</v>
      </c>
      <c r="S147" s="21">
        <f>PuntoReorden</f>
        <v>7</v>
      </c>
    </row>
    <row r="148">
      <c r="A148" s="5">
        <f>A147+1</f>
        <v>143</v>
      </c>
      <c r="B148" s="20">
        <f>B147+IF(WEEKDAY(B147,2)=6,2,1)</f>
        <v>46189</v>
      </c>
      <c r="C148" s="5">
        <f>MONTH(B148)</f>
        <v>6</v>
      </c>
      <c r="D148" s="5">
        <f>IF(C148&lt;&gt;C147,1,0)</f>
        <v>0</v>
      </c>
      <c r="E148" s="5">
        <f>IF(L147=1,CantPedido,0)</f>
        <v>0</v>
      </c>
      <c r="F148" s="5">
        <f>J147+E148</f>
        <v>17</v>
      </c>
      <c r="G148" s="5">
        <f>RANDBETWEEN(3,7)</f>
        <v>3</v>
      </c>
      <c r="H148" s="5">
        <f>MIN(F148,G148)</f>
        <v>3</v>
      </c>
      <c r="I148" s="5">
        <f>G148-H148</f>
        <v>0</v>
      </c>
      <c r="J148" s="5">
        <f>F148-H148</f>
        <v>14</v>
      </c>
      <c r="K148" s="5">
        <f>IF(I148&gt;0,1,0)</f>
        <v>0</v>
      </c>
      <c r="L148" s="5">
        <f>IF(J148&lt;PuntoReorden,1,0)</f>
        <v>0</v>
      </c>
      <c r="M148" s="9">
        <f>PrecioVenta*H148</f>
        <v>2040000</v>
      </c>
      <c r="N148" s="9">
        <f>CostoUnitario*E148</f>
        <v>0</v>
      </c>
      <c r="O148" s="9">
        <f>IF(E148&gt;0,CostoPedido,0)</f>
        <v>0</v>
      </c>
      <c r="P148" s="9">
        <f>CostoAlm*(F148+J148)/2</f>
        <v>1240</v>
      </c>
      <c r="Q148" s="9">
        <f>CostoFijo*D148</f>
        <v>0</v>
      </c>
      <c r="R148" s="9">
        <f>M148-N148-O148-P148-Q148</f>
        <v>2038760</v>
      </c>
      <c r="S148" s="21">
        <f>PuntoReorden</f>
        <v>7</v>
      </c>
    </row>
    <row r="149">
      <c r="A149" s="5">
        <f>A148+1</f>
        <v>144</v>
      </c>
      <c r="B149" s="20">
        <f>B148+IF(WEEKDAY(B148,2)=6,2,1)</f>
        <v>46190</v>
      </c>
      <c r="C149" s="5">
        <f>MONTH(B149)</f>
        <v>6</v>
      </c>
      <c r="D149" s="5">
        <f>IF(C149&lt;&gt;C148,1,0)</f>
        <v>0</v>
      </c>
      <c r="E149" s="5">
        <f>IF(L148=1,CantPedido,0)</f>
        <v>0</v>
      </c>
      <c r="F149" s="5">
        <f>J148+E149</f>
        <v>14</v>
      </c>
      <c r="G149" s="5">
        <f>RANDBETWEEN(3,7)</f>
        <v>4</v>
      </c>
      <c r="H149" s="5">
        <f>MIN(F149,G149)</f>
        <v>4</v>
      </c>
      <c r="I149" s="5">
        <f>G149-H149</f>
        <v>0</v>
      </c>
      <c r="J149" s="5">
        <f>F149-H149</f>
        <v>10</v>
      </c>
      <c r="K149" s="5">
        <f>IF(I149&gt;0,1,0)</f>
        <v>0</v>
      </c>
      <c r="L149" s="5">
        <f>IF(J149&lt;PuntoReorden,1,0)</f>
        <v>0</v>
      </c>
      <c r="M149" s="9">
        <f>PrecioVenta*H149</f>
        <v>2720000</v>
      </c>
      <c r="N149" s="9">
        <f>CostoUnitario*E149</f>
        <v>0</v>
      </c>
      <c r="O149" s="9">
        <f>IF(E149&gt;0,CostoPedido,0)</f>
        <v>0</v>
      </c>
      <c r="P149" s="9">
        <f>CostoAlm*(F149+J149)/2</f>
        <v>960</v>
      </c>
      <c r="Q149" s="9">
        <f>CostoFijo*D149</f>
        <v>0</v>
      </c>
      <c r="R149" s="9">
        <f>M149-N149-O149-P149-Q149</f>
        <v>2719040</v>
      </c>
      <c r="S149" s="21">
        <f>PuntoReorden</f>
        <v>7</v>
      </c>
    </row>
    <row r="150">
      <c r="A150" s="5">
        <f>A149+1</f>
        <v>145</v>
      </c>
      <c r="B150" s="20">
        <f>B149+IF(WEEKDAY(B149,2)=6,2,1)</f>
        <v>46191</v>
      </c>
      <c r="C150" s="5">
        <f>MONTH(B150)</f>
        <v>6</v>
      </c>
      <c r="D150" s="5">
        <f>IF(C150&lt;&gt;C149,1,0)</f>
        <v>0</v>
      </c>
      <c r="E150" s="5">
        <f>IF(L149=1,CantPedido,0)</f>
        <v>0</v>
      </c>
      <c r="F150" s="5">
        <f>J149+E150</f>
        <v>10</v>
      </c>
      <c r="G150" s="5">
        <f>RANDBETWEEN(3,7)</f>
        <v>7</v>
      </c>
      <c r="H150" s="5">
        <f>MIN(F150,G150)</f>
        <v>7</v>
      </c>
      <c r="I150" s="5">
        <f>G150-H150</f>
        <v>0</v>
      </c>
      <c r="J150" s="5">
        <f>F150-H150</f>
        <v>3</v>
      </c>
      <c r="K150" s="5">
        <f>IF(I150&gt;0,1,0)</f>
        <v>0</v>
      </c>
      <c r="L150" s="5">
        <f>IF(J150&lt;PuntoReorden,1,0)</f>
        <v>1</v>
      </c>
      <c r="M150" s="9">
        <f>PrecioVenta*H150</f>
        <v>4760000</v>
      </c>
      <c r="N150" s="9">
        <f>CostoUnitario*E150</f>
        <v>0</v>
      </c>
      <c r="O150" s="9">
        <f>IF(E150&gt;0,CostoPedido,0)</f>
        <v>0</v>
      </c>
      <c r="P150" s="9">
        <f>CostoAlm*(F150+J150)/2</f>
        <v>520</v>
      </c>
      <c r="Q150" s="9">
        <f>CostoFijo*D150</f>
        <v>0</v>
      </c>
      <c r="R150" s="9">
        <f>M150-N150-O150-P150-Q150</f>
        <v>4759480</v>
      </c>
      <c r="S150" s="21">
        <f>PuntoReorden</f>
        <v>7</v>
      </c>
    </row>
    <row r="151">
      <c r="A151" s="5">
        <f>A150+1</f>
        <v>146</v>
      </c>
      <c r="B151" s="20">
        <f>B150+IF(WEEKDAY(B150,2)=6,2,1)</f>
        <v>46192</v>
      </c>
      <c r="C151" s="5">
        <f>MONTH(B151)</f>
        <v>6</v>
      </c>
      <c r="D151" s="5">
        <f>IF(C151&lt;&gt;C150,1,0)</f>
        <v>0</v>
      </c>
      <c r="E151" s="5">
        <f>IF(L150=1,CantPedido,0)</f>
        <v>15</v>
      </c>
      <c r="F151" s="5">
        <f>J150+E151</f>
        <v>18</v>
      </c>
      <c r="G151" s="5">
        <f>RANDBETWEEN(3,7)</f>
        <v>7</v>
      </c>
      <c r="H151" s="5">
        <f>MIN(F151,G151)</f>
        <v>7</v>
      </c>
      <c r="I151" s="5">
        <f>G151-H151</f>
        <v>0</v>
      </c>
      <c r="J151" s="5">
        <f>F151-H151</f>
        <v>11</v>
      </c>
      <c r="K151" s="5">
        <f>IF(I151&gt;0,1,0)</f>
        <v>0</v>
      </c>
      <c r="L151" s="5">
        <f>IF(J151&lt;PuntoReorden,1,0)</f>
        <v>0</v>
      </c>
      <c r="M151" s="9">
        <f>PrecioVenta*H151</f>
        <v>4760000</v>
      </c>
      <c r="N151" s="9">
        <f>CostoUnitario*E151</f>
        <v>9000000</v>
      </c>
      <c r="O151" s="9">
        <f>IF(E151&gt;0,CostoPedido,0)</f>
        <v>40000</v>
      </c>
      <c r="P151" s="9">
        <f>CostoAlm*(F151+J151)/2</f>
        <v>1160</v>
      </c>
      <c r="Q151" s="9">
        <f>CostoFijo*D151</f>
        <v>0</v>
      </c>
      <c r="R151" s="9">
        <f>M151-N151-O151-P151-Q151</f>
        <v>-4281160</v>
      </c>
      <c r="S151" s="21">
        <f>PuntoReorden</f>
        <v>7</v>
      </c>
    </row>
    <row r="152">
      <c r="A152" s="5">
        <f>A151+1</f>
        <v>147</v>
      </c>
      <c r="B152" s="20">
        <f>B151+IF(WEEKDAY(B151,2)=6,2,1)</f>
        <v>46193</v>
      </c>
      <c r="C152" s="5">
        <f>MONTH(B152)</f>
        <v>6</v>
      </c>
      <c r="D152" s="5">
        <f>IF(C152&lt;&gt;C151,1,0)</f>
        <v>0</v>
      </c>
      <c r="E152" s="5">
        <f>IF(L151=1,CantPedido,0)</f>
        <v>0</v>
      </c>
      <c r="F152" s="5">
        <f>J151+E152</f>
        <v>11</v>
      </c>
      <c r="G152" s="5">
        <f>RANDBETWEEN(3,7)</f>
        <v>7</v>
      </c>
      <c r="H152" s="5">
        <f>MIN(F152,G152)</f>
        <v>7</v>
      </c>
      <c r="I152" s="5">
        <f>G152-H152</f>
        <v>0</v>
      </c>
      <c r="J152" s="5">
        <f>F152-H152</f>
        <v>4</v>
      </c>
      <c r="K152" s="5">
        <f>IF(I152&gt;0,1,0)</f>
        <v>0</v>
      </c>
      <c r="L152" s="5">
        <f>IF(J152&lt;PuntoReorden,1,0)</f>
        <v>1</v>
      </c>
      <c r="M152" s="9">
        <f>PrecioVenta*H152</f>
        <v>4760000</v>
      </c>
      <c r="N152" s="9">
        <f>CostoUnitario*E152</f>
        <v>0</v>
      </c>
      <c r="O152" s="9">
        <f>IF(E152&gt;0,CostoPedido,0)</f>
        <v>0</v>
      </c>
      <c r="P152" s="9">
        <f>CostoAlm*(F152+J152)/2</f>
        <v>600</v>
      </c>
      <c r="Q152" s="9">
        <f>CostoFijo*D152</f>
        <v>0</v>
      </c>
      <c r="R152" s="9">
        <f>M152-N152-O152-P152-Q152</f>
        <v>4759400</v>
      </c>
      <c r="S152" s="21">
        <f>PuntoReorden</f>
        <v>7</v>
      </c>
    </row>
    <row r="153">
      <c r="A153" s="5">
        <f>A152+1</f>
        <v>148</v>
      </c>
      <c r="B153" s="20">
        <f>B152+IF(WEEKDAY(B152,2)=6,2,1)</f>
        <v>46195</v>
      </c>
      <c r="C153" s="5">
        <f>MONTH(B153)</f>
        <v>6</v>
      </c>
      <c r="D153" s="5">
        <f>IF(C153&lt;&gt;C152,1,0)</f>
        <v>0</v>
      </c>
      <c r="E153" s="5">
        <f>IF(L152=1,CantPedido,0)</f>
        <v>15</v>
      </c>
      <c r="F153" s="5">
        <f>J152+E153</f>
        <v>19</v>
      </c>
      <c r="G153" s="5">
        <f>RANDBETWEEN(3,7)</f>
        <v>4</v>
      </c>
      <c r="H153" s="5">
        <f>MIN(F153,G153)</f>
        <v>4</v>
      </c>
      <c r="I153" s="5">
        <f>G153-H153</f>
        <v>0</v>
      </c>
      <c r="J153" s="5">
        <f>F153-H153</f>
        <v>15</v>
      </c>
      <c r="K153" s="5">
        <f>IF(I153&gt;0,1,0)</f>
        <v>0</v>
      </c>
      <c r="L153" s="5">
        <f>IF(J153&lt;PuntoReorden,1,0)</f>
        <v>0</v>
      </c>
      <c r="M153" s="9">
        <f>PrecioVenta*H153</f>
        <v>2720000</v>
      </c>
      <c r="N153" s="9">
        <f>CostoUnitario*E153</f>
        <v>9000000</v>
      </c>
      <c r="O153" s="9">
        <f>IF(E153&gt;0,CostoPedido,0)</f>
        <v>40000</v>
      </c>
      <c r="P153" s="9">
        <f>CostoAlm*(F153+J153)/2</f>
        <v>1360</v>
      </c>
      <c r="Q153" s="9">
        <f>CostoFijo*D153</f>
        <v>0</v>
      </c>
      <c r="R153" s="9">
        <f>M153-N153-O153-P153-Q153</f>
        <v>-6321360</v>
      </c>
      <c r="S153" s="21">
        <f>PuntoReorden</f>
        <v>7</v>
      </c>
    </row>
    <row r="154">
      <c r="A154" s="5">
        <f>A153+1</f>
        <v>149</v>
      </c>
      <c r="B154" s="20">
        <f>B153+IF(WEEKDAY(B153,2)=6,2,1)</f>
        <v>46196</v>
      </c>
      <c r="C154" s="5">
        <f>MONTH(B154)</f>
        <v>6</v>
      </c>
      <c r="D154" s="5">
        <f>IF(C154&lt;&gt;C153,1,0)</f>
        <v>0</v>
      </c>
      <c r="E154" s="5">
        <f>IF(L153=1,CantPedido,0)</f>
        <v>0</v>
      </c>
      <c r="F154" s="5">
        <f>J153+E154</f>
        <v>15</v>
      </c>
      <c r="G154" s="5">
        <f>RANDBETWEEN(3,7)</f>
        <v>7</v>
      </c>
      <c r="H154" s="5">
        <f>MIN(F154,G154)</f>
        <v>7</v>
      </c>
      <c r="I154" s="5">
        <f>G154-H154</f>
        <v>0</v>
      </c>
      <c r="J154" s="5">
        <f>F154-H154</f>
        <v>8</v>
      </c>
      <c r="K154" s="5">
        <f>IF(I154&gt;0,1,0)</f>
        <v>0</v>
      </c>
      <c r="L154" s="5">
        <f>IF(J154&lt;PuntoReorden,1,0)</f>
        <v>0</v>
      </c>
      <c r="M154" s="9">
        <f>PrecioVenta*H154</f>
        <v>4760000</v>
      </c>
      <c r="N154" s="9">
        <f>CostoUnitario*E154</f>
        <v>0</v>
      </c>
      <c r="O154" s="9">
        <f>IF(E154&gt;0,CostoPedido,0)</f>
        <v>0</v>
      </c>
      <c r="P154" s="9">
        <f>CostoAlm*(F154+J154)/2</f>
        <v>920</v>
      </c>
      <c r="Q154" s="9">
        <f>CostoFijo*D154</f>
        <v>0</v>
      </c>
      <c r="R154" s="9">
        <f>M154-N154-O154-P154-Q154</f>
        <v>4759080</v>
      </c>
      <c r="S154" s="21">
        <f>PuntoReorden</f>
        <v>7</v>
      </c>
    </row>
    <row r="155">
      <c r="A155" s="5">
        <f>A154+1</f>
        <v>150</v>
      </c>
      <c r="B155" s="20">
        <f>B154+IF(WEEKDAY(B154,2)=6,2,1)</f>
        <v>46197</v>
      </c>
      <c r="C155" s="5">
        <f>MONTH(B155)</f>
        <v>6</v>
      </c>
      <c r="D155" s="5">
        <f>IF(C155&lt;&gt;C154,1,0)</f>
        <v>0</v>
      </c>
      <c r="E155" s="5">
        <f>IF(L154=1,CantPedido,0)</f>
        <v>0</v>
      </c>
      <c r="F155" s="5">
        <f>J154+E155</f>
        <v>8</v>
      </c>
      <c r="G155" s="5">
        <f>RANDBETWEEN(3,7)</f>
        <v>7</v>
      </c>
      <c r="H155" s="5">
        <f>MIN(F155,G155)</f>
        <v>7</v>
      </c>
      <c r="I155" s="5">
        <f>G155-H155</f>
        <v>0</v>
      </c>
      <c r="J155" s="5">
        <f>F155-H155</f>
        <v>1</v>
      </c>
      <c r="K155" s="5">
        <f>IF(I155&gt;0,1,0)</f>
        <v>0</v>
      </c>
      <c r="L155" s="5">
        <f>IF(J155&lt;PuntoReorden,1,0)</f>
        <v>1</v>
      </c>
      <c r="M155" s="9">
        <f>PrecioVenta*H155</f>
        <v>4760000</v>
      </c>
      <c r="N155" s="9">
        <f>CostoUnitario*E155</f>
        <v>0</v>
      </c>
      <c r="O155" s="9">
        <f>IF(E155&gt;0,CostoPedido,0)</f>
        <v>0</v>
      </c>
      <c r="P155" s="9">
        <f>CostoAlm*(F155+J155)/2</f>
        <v>360</v>
      </c>
      <c r="Q155" s="9">
        <f>CostoFijo*D155</f>
        <v>0</v>
      </c>
      <c r="R155" s="9">
        <f>M155-N155-O155-P155-Q155</f>
        <v>4759640</v>
      </c>
      <c r="S155" s="21">
        <f>PuntoReorden</f>
        <v>7</v>
      </c>
    </row>
    <row r="156">
      <c r="A156" s="5">
        <f>A155+1</f>
        <v>151</v>
      </c>
      <c r="B156" s="20">
        <f>B155+IF(WEEKDAY(B155,2)=6,2,1)</f>
        <v>46198</v>
      </c>
      <c r="C156" s="5">
        <f>MONTH(B156)</f>
        <v>6</v>
      </c>
      <c r="D156" s="5">
        <f>IF(C156&lt;&gt;C155,1,0)</f>
        <v>0</v>
      </c>
      <c r="E156" s="5">
        <f>IF(L155=1,CantPedido,0)</f>
        <v>15</v>
      </c>
      <c r="F156" s="5">
        <f>J155+E156</f>
        <v>16</v>
      </c>
      <c r="G156" s="5">
        <f>RANDBETWEEN(3,7)</f>
        <v>4</v>
      </c>
      <c r="H156" s="5">
        <f>MIN(F156,G156)</f>
        <v>4</v>
      </c>
      <c r="I156" s="5">
        <f>G156-H156</f>
        <v>0</v>
      </c>
      <c r="J156" s="5">
        <f>F156-H156</f>
        <v>12</v>
      </c>
      <c r="K156" s="5">
        <f>IF(I156&gt;0,1,0)</f>
        <v>0</v>
      </c>
      <c r="L156" s="5">
        <f>IF(J156&lt;PuntoReorden,1,0)</f>
        <v>0</v>
      </c>
      <c r="M156" s="9">
        <f>PrecioVenta*H156</f>
        <v>2720000</v>
      </c>
      <c r="N156" s="9">
        <f>CostoUnitario*E156</f>
        <v>9000000</v>
      </c>
      <c r="O156" s="9">
        <f>IF(E156&gt;0,CostoPedido,0)</f>
        <v>40000</v>
      </c>
      <c r="P156" s="9">
        <f>CostoAlm*(F156+J156)/2</f>
        <v>1120</v>
      </c>
      <c r="Q156" s="9">
        <f>CostoFijo*D156</f>
        <v>0</v>
      </c>
      <c r="R156" s="9">
        <f>M156-N156-O156-P156-Q156</f>
        <v>-6321120</v>
      </c>
      <c r="S156" s="21">
        <f>PuntoReorden</f>
        <v>7</v>
      </c>
    </row>
    <row r="157">
      <c r="A157" s="5">
        <f>A156+1</f>
        <v>152</v>
      </c>
      <c r="B157" s="20">
        <f>B156+IF(WEEKDAY(B156,2)=6,2,1)</f>
        <v>46199</v>
      </c>
      <c r="C157" s="5">
        <f>MONTH(B157)</f>
        <v>6</v>
      </c>
      <c r="D157" s="5">
        <f>IF(C157&lt;&gt;C156,1,0)</f>
        <v>0</v>
      </c>
      <c r="E157" s="5">
        <f>IF(L156=1,CantPedido,0)</f>
        <v>0</v>
      </c>
      <c r="F157" s="5">
        <f>J156+E157</f>
        <v>12</v>
      </c>
      <c r="G157" s="5">
        <f>RANDBETWEEN(3,7)</f>
        <v>5</v>
      </c>
      <c r="H157" s="5">
        <f>MIN(F157,G157)</f>
        <v>5</v>
      </c>
      <c r="I157" s="5">
        <f>G157-H157</f>
        <v>0</v>
      </c>
      <c r="J157" s="5">
        <f>F157-H157</f>
        <v>7</v>
      </c>
      <c r="K157" s="5">
        <f>IF(I157&gt;0,1,0)</f>
        <v>0</v>
      </c>
      <c r="L157" s="5">
        <f>IF(J157&lt;PuntoReorden,1,0)</f>
        <v>0</v>
      </c>
      <c r="M157" s="9">
        <f>PrecioVenta*H157</f>
        <v>3400000</v>
      </c>
      <c r="N157" s="9">
        <f>CostoUnitario*E157</f>
        <v>0</v>
      </c>
      <c r="O157" s="9">
        <f>IF(E157&gt;0,CostoPedido,0)</f>
        <v>0</v>
      </c>
      <c r="P157" s="9">
        <f>CostoAlm*(F157+J157)/2</f>
        <v>760</v>
      </c>
      <c r="Q157" s="9">
        <f>CostoFijo*D157</f>
        <v>0</v>
      </c>
      <c r="R157" s="9">
        <f>M157-N157-O157-P157-Q157</f>
        <v>3399240</v>
      </c>
      <c r="S157" s="21">
        <f>PuntoReorden</f>
        <v>7</v>
      </c>
    </row>
    <row r="158">
      <c r="A158" s="5">
        <f>A157+1</f>
        <v>153</v>
      </c>
      <c r="B158" s="20">
        <f>B157+IF(WEEKDAY(B157,2)=6,2,1)</f>
        <v>46200</v>
      </c>
      <c r="C158" s="5">
        <f>MONTH(B158)</f>
        <v>6</v>
      </c>
      <c r="D158" s="5">
        <f>IF(C158&lt;&gt;C157,1,0)</f>
        <v>0</v>
      </c>
      <c r="E158" s="5">
        <f>IF(L157=1,CantPedido,0)</f>
        <v>0</v>
      </c>
      <c r="F158" s="5">
        <f>J157+E158</f>
        <v>7</v>
      </c>
      <c r="G158" s="5">
        <f>RANDBETWEEN(3,7)</f>
        <v>7</v>
      </c>
      <c r="H158" s="5">
        <f>MIN(F158,G158)</f>
        <v>7</v>
      </c>
      <c r="I158" s="5">
        <f>G158-H158</f>
        <v>0</v>
      </c>
      <c r="J158" s="5">
        <f>F158-H158</f>
        <v>0</v>
      </c>
      <c r="K158" s="5">
        <f>IF(I158&gt;0,1,0)</f>
        <v>0</v>
      </c>
      <c r="L158" s="5">
        <f>IF(J158&lt;PuntoReorden,1,0)</f>
        <v>1</v>
      </c>
      <c r="M158" s="9">
        <f>PrecioVenta*H158</f>
        <v>4760000</v>
      </c>
      <c r="N158" s="9">
        <f>CostoUnitario*E158</f>
        <v>0</v>
      </c>
      <c r="O158" s="9">
        <f>IF(E158&gt;0,CostoPedido,0)</f>
        <v>0</v>
      </c>
      <c r="P158" s="9">
        <f>CostoAlm*(F158+J158)/2</f>
        <v>280</v>
      </c>
      <c r="Q158" s="9">
        <f>CostoFijo*D158</f>
        <v>0</v>
      </c>
      <c r="R158" s="9">
        <f>M158-N158-O158-P158-Q158</f>
        <v>4759720</v>
      </c>
      <c r="S158" s="21">
        <f>PuntoReorden</f>
        <v>7</v>
      </c>
    </row>
    <row r="159">
      <c r="A159" s="5">
        <f>A158+1</f>
        <v>154</v>
      </c>
      <c r="B159" s="20">
        <f>B158+IF(WEEKDAY(B158,2)=6,2,1)</f>
        <v>46202</v>
      </c>
      <c r="C159" s="5">
        <f>MONTH(B159)</f>
        <v>6</v>
      </c>
      <c r="D159" s="5">
        <f>IF(C159&lt;&gt;C158,1,0)</f>
        <v>0</v>
      </c>
      <c r="E159" s="5">
        <f>IF(L158=1,CantPedido,0)</f>
        <v>15</v>
      </c>
      <c r="F159" s="5">
        <f>J158+E159</f>
        <v>15</v>
      </c>
      <c r="G159" s="5">
        <f>RANDBETWEEN(3,7)</f>
        <v>7</v>
      </c>
      <c r="H159" s="5">
        <f>MIN(F159,G159)</f>
        <v>7</v>
      </c>
      <c r="I159" s="5">
        <f>G159-H159</f>
        <v>0</v>
      </c>
      <c r="J159" s="5">
        <f>F159-H159</f>
        <v>8</v>
      </c>
      <c r="K159" s="5">
        <f>IF(I159&gt;0,1,0)</f>
        <v>0</v>
      </c>
      <c r="L159" s="5">
        <f>IF(J159&lt;PuntoReorden,1,0)</f>
        <v>0</v>
      </c>
      <c r="M159" s="9">
        <f>PrecioVenta*H159</f>
        <v>4760000</v>
      </c>
      <c r="N159" s="9">
        <f>CostoUnitario*E159</f>
        <v>9000000</v>
      </c>
      <c r="O159" s="9">
        <f>IF(E159&gt;0,CostoPedido,0)</f>
        <v>40000</v>
      </c>
      <c r="P159" s="9">
        <f>CostoAlm*(F159+J159)/2</f>
        <v>920</v>
      </c>
      <c r="Q159" s="9">
        <f>CostoFijo*D159</f>
        <v>0</v>
      </c>
      <c r="R159" s="9">
        <f>M159-N159-O159-P159-Q159</f>
        <v>-4280920</v>
      </c>
      <c r="S159" s="21">
        <f>PuntoReorden</f>
        <v>7</v>
      </c>
    </row>
    <row r="160">
      <c r="A160" s="5">
        <f>A159+1</f>
        <v>155</v>
      </c>
      <c r="B160" s="20">
        <f>B159+IF(WEEKDAY(B159,2)=6,2,1)</f>
        <v>46203</v>
      </c>
      <c r="C160" s="5">
        <f>MONTH(B160)</f>
        <v>6</v>
      </c>
      <c r="D160" s="5">
        <f>IF(C160&lt;&gt;C159,1,0)</f>
        <v>0</v>
      </c>
      <c r="E160" s="5">
        <f>IF(L159=1,CantPedido,0)</f>
        <v>0</v>
      </c>
      <c r="F160" s="5">
        <f>J159+E160</f>
        <v>8</v>
      </c>
      <c r="G160" s="5">
        <f>RANDBETWEEN(3,7)</f>
        <v>4</v>
      </c>
      <c r="H160" s="5">
        <f>MIN(F160,G160)</f>
        <v>4</v>
      </c>
      <c r="I160" s="5">
        <f>G160-H160</f>
        <v>0</v>
      </c>
      <c r="J160" s="5">
        <f>F160-H160</f>
        <v>4</v>
      </c>
      <c r="K160" s="5">
        <f>IF(I160&gt;0,1,0)</f>
        <v>0</v>
      </c>
      <c r="L160" s="5">
        <f>IF(J160&lt;PuntoReorden,1,0)</f>
        <v>1</v>
      </c>
      <c r="M160" s="9">
        <f>PrecioVenta*H160</f>
        <v>2720000</v>
      </c>
      <c r="N160" s="9">
        <f>CostoUnitario*E160</f>
        <v>0</v>
      </c>
      <c r="O160" s="9">
        <f>IF(E160&gt;0,CostoPedido,0)</f>
        <v>0</v>
      </c>
      <c r="P160" s="9">
        <f>CostoAlm*(F160+J160)/2</f>
        <v>480</v>
      </c>
      <c r="Q160" s="9">
        <f>CostoFijo*D160</f>
        <v>0</v>
      </c>
      <c r="R160" s="9">
        <f>M160-N160-O160-P160-Q160</f>
        <v>2719520</v>
      </c>
      <c r="S160" s="21">
        <f>PuntoReorden</f>
        <v>7</v>
      </c>
    </row>
    <row r="161">
      <c r="A161" s="5">
        <f>A160+1</f>
        <v>156</v>
      </c>
      <c r="B161" s="20">
        <f>B160+IF(WEEKDAY(B160,2)=6,2,1)</f>
        <v>46204</v>
      </c>
      <c r="C161" s="5">
        <f>MONTH(B161)</f>
        <v>7</v>
      </c>
      <c r="D161" s="5">
        <f>IF(C161&lt;&gt;C160,1,0)</f>
        <v>1</v>
      </c>
      <c r="E161" s="5">
        <f>IF(L160=1,CantPedido,0)</f>
        <v>15</v>
      </c>
      <c r="F161" s="5">
        <f>J160+E161</f>
        <v>19</v>
      </c>
      <c r="G161" s="5">
        <f>RANDBETWEEN(3,7)</f>
        <v>3</v>
      </c>
      <c r="H161" s="5">
        <f>MIN(F161,G161)</f>
        <v>3</v>
      </c>
      <c r="I161" s="5">
        <f>G161-H161</f>
        <v>0</v>
      </c>
      <c r="J161" s="5">
        <f>F161-H161</f>
        <v>16</v>
      </c>
      <c r="K161" s="5">
        <f>IF(I161&gt;0,1,0)</f>
        <v>0</v>
      </c>
      <c r="L161" s="5">
        <f>IF(J161&lt;PuntoReorden,1,0)</f>
        <v>0</v>
      </c>
      <c r="M161" s="9">
        <f>PrecioVenta*H161</f>
        <v>2040000</v>
      </c>
      <c r="N161" s="9">
        <f>CostoUnitario*E161</f>
        <v>9000000</v>
      </c>
      <c r="O161" s="9">
        <f>IF(E161&gt;0,CostoPedido,0)</f>
        <v>40000</v>
      </c>
      <c r="P161" s="9">
        <f>CostoAlm*(F161+J161)/2</f>
        <v>1400</v>
      </c>
      <c r="Q161" s="9">
        <f>CostoFijo*D161</f>
        <v>1000000</v>
      </c>
      <c r="R161" s="9">
        <f>M161-N161-O161-P161-Q161</f>
        <v>-8001400</v>
      </c>
      <c r="S161" s="21">
        <f>PuntoReorden</f>
        <v>7</v>
      </c>
    </row>
    <row r="162">
      <c r="A162" s="5">
        <f>A161+1</f>
        <v>157</v>
      </c>
      <c r="B162" s="20">
        <f>B161+IF(WEEKDAY(B161,2)=6,2,1)</f>
        <v>46205</v>
      </c>
      <c r="C162" s="5">
        <f>MONTH(B162)</f>
        <v>7</v>
      </c>
      <c r="D162" s="5">
        <f>IF(C162&lt;&gt;C161,1,0)</f>
        <v>0</v>
      </c>
      <c r="E162" s="5">
        <f>IF(L161=1,CantPedido,0)</f>
        <v>0</v>
      </c>
      <c r="F162" s="5">
        <f>J161+E162</f>
        <v>16</v>
      </c>
      <c r="G162" s="5">
        <f>RANDBETWEEN(3,7)</f>
        <v>7</v>
      </c>
      <c r="H162" s="5">
        <f>MIN(F162,G162)</f>
        <v>7</v>
      </c>
      <c r="I162" s="5">
        <f>G162-H162</f>
        <v>0</v>
      </c>
      <c r="J162" s="5">
        <f>F162-H162</f>
        <v>9</v>
      </c>
      <c r="K162" s="5">
        <f>IF(I162&gt;0,1,0)</f>
        <v>0</v>
      </c>
      <c r="L162" s="5">
        <f>IF(J162&lt;PuntoReorden,1,0)</f>
        <v>0</v>
      </c>
      <c r="M162" s="9">
        <f>PrecioVenta*H162</f>
        <v>4760000</v>
      </c>
      <c r="N162" s="9">
        <f>CostoUnitario*E162</f>
        <v>0</v>
      </c>
      <c r="O162" s="9">
        <f>IF(E162&gt;0,CostoPedido,0)</f>
        <v>0</v>
      </c>
      <c r="P162" s="9">
        <f>CostoAlm*(F162+J162)/2</f>
        <v>1000</v>
      </c>
      <c r="Q162" s="9">
        <f>CostoFijo*D162</f>
        <v>0</v>
      </c>
      <c r="R162" s="9">
        <f>M162-N162-O162-P162-Q162</f>
        <v>4759000</v>
      </c>
      <c r="S162" s="21">
        <f>PuntoReorden</f>
        <v>7</v>
      </c>
    </row>
    <row r="163">
      <c r="A163" s="5">
        <f>A162+1</f>
        <v>158</v>
      </c>
      <c r="B163" s="20">
        <f>B162+IF(WEEKDAY(B162,2)=6,2,1)</f>
        <v>46206</v>
      </c>
      <c r="C163" s="5">
        <f>MONTH(B163)</f>
        <v>7</v>
      </c>
      <c r="D163" s="5">
        <f>IF(C163&lt;&gt;C162,1,0)</f>
        <v>0</v>
      </c>
      <c r="E163" s="5">
        <f>IF(L162=1,CantPedido,0)</f>
        <v>0</v>
      </c>
      <c r="F163" s="5">
        <f>J162+E163</f>
        <v>9</v>
      </c>
      <c r="G163" s="5">
        <f>RANDBETWEEN(3,7)</f>
        <v>7</v>
      </c>
      <c r="H163" s="5">
        <f>MIN(F163,G163)</f>
        <v>7</v>
      </c>
      <c r="I163" s="5">
        <f>G163-H163</f>
        <v>0</v>
      </c>
      <c r="J163" s="5">
        <f>F163-H163</f>
        <v>2</v>
      </c>
      <c r="K163" s="5">
        <f>IF(I163&gt;0,1,0)</f>
        <v>0</v>
      </c>
      <c r="L163" s="5">
        <f>IF(J163&lt;PuntoReorden,1,0)</f>
        <v>1</v>
      </c>
      <c r="M163" s="9">
        <f>PrecioVenta*H163</f>
        <v>4760000</v>
      </c>
      <c r="N163" s="9">
        <f>CostoUnitario*E163</f>
        <v>0</v>
      </c>
      <c r="O163" s="9">
        <f>IF(E163&gt;0,CostoPedido,0)</f>
        <v>0</v>
      </c>
      <c r="P163" s="9">
        <f>CostoAlm*(F163+J163)/2</f>
        <v>440</v>
      </c>
      <c r="Q163" s="9">
        <f>CostoFijo*D163</f>
        <v>0</v>
      </c>
      <c r="R163" s="9">
        <f>M163-N163-O163-P163-Q163</f>
        <v>4759560</v>
      </c>
      <c r="S163" s="21">
        <f>PuntoReorden</f>
        <v>7</v>
      </c>
    </row>
    <row r="164">
      <c r="A164" s="5">
        <f>A163+1</f>
        <v>159</v>
      </c>
      <c r="B164" s="20">
        <f>B163+IF(WEEKDAY(B163,2)=6,2,1)</f>
        <v>46207</v>
      </c>
      <c r="C164" s="5">
        <f>MONTH(B164)</f>
        <v>7</v>
      </c>
      <c r="D164" s="5">
        <f>IF(C164&lt;&gt;C163,1,0)</f>
        <v>0</v>
      </c>
      <c r="E164" s="5">
        <f>IF(L163=1,CantPedido,0)</f>
        <v>15</v>
      </c>
      <c r="F164" s="5">
        <f>J163+E164</f>
        <v>17</v>
      </c>
      <c r="G164" s="5">
        <f>RANDBETWEEN(3,7)</f>
        <v>4</v>
      </c>
      <c r="H164" s="5">
        <f>MIN(F164,G164)</f>
        <v>4</v>
      </c>
      <c r="I164" s="5">
        <f>G164-H164</f>
        <v>0</v>
      </c>
      <c r="J164" s="5">
        <f>F164-H164</f>
        <v>13</v>
      </c>
      <c r="K164" s="5">
        <f>IF(I164&gt;0,1,0)</f>
        <v>0</v>
      </c>
      <c r="L164" s="5">
        <f>IF(J164&lt;PuntoReorden,1,0)</f>
        <v>0</v>
      </c>
      <c r="M164" s="9">
        <f>PrecioVenta*H164</f>
        <v>2720000</v>
      </c>
      <c r="N164" s="9">
        <f>CostoUnitario*E164</f>
        <v>9000000</v>
      </c>
      <c r="O164" s="9">
        <f>IF(E164&gt;0,CostoPedido,0)</f>
        <v>40000</v>
      </c>
      <c r="P164" s="9">
        <f>CostoAlm*(F164+J164)/2</f>
        <v>1200</v>
      </c>
      <c r="Q164" s="9">
        <f>CostoFijo*D164</f>
        <v>0</v>
      </c>
      <c r="R164" s="9">
        <f>M164-N164-O164-P164-Q164</f>
        <v>-6321200</v>
      </c>
      <c r="S164" s="21">
        <f>PuntoReorden</f>
        <v>7</v>
      </c>
    </row>
    <row r="165">
      <c r="A165" s="5">
        <f>A164+1</f>
        <v>160</v>
      </c>
      <c r="B165" s="20">
        <f>B164+IF(WEEKDAY(B164,2)=6,2,1)</f>
        <v>46209</v>
      </c>
      <c r="C165" s="5">
        <f>MONTH(B165)</f>
        <v>7</v>
      </c>
      <c r="D165" s="5">
        <f>IF(C165&lt;&gt;C164,1,0)</f>
        <v>0</v>
      </c>
      <c r="E165" s="5">
        <f>IF(L164=1,CantPedido,0)</f>
        <v>0</v>
      </c>
      <c r="F165" s="5">
        <f>J164+E165</f>
        <v>13</v>
      </c>
      <c r="G165" s="5">
        <f>RANDBETWEEN(3,7)</f>
        <v>6</v>
      </c>
      <c r="H165" s="5">
        <f>MIN(F165,G165)</f>
        <v>6</v>
      </c>
      <c r="I165" s="5">
        <f>G165-H165</f>
        <v>0</v>
      </c>
      <c r="J165" s="5">
        <f>F165-H165</f>
        <v>7</v>
      </c>
      <c r="K165" s="5">
        <f>IF(I165&gt;0,1,0)</f>
        <v>0</v>
      </c>
      <c r="L165" s="5">
        <f>IF(J165&lt;PuntoReorden,1,0)</f>
        <v>0</v>
      </c>
      <c r="M165" s="9">
        <f>PrecioVenta*H165</f>
        <v>4080000</v>
      </c>
      <c r="N165" s="9">
        <f>CostoUnitario*E165</f>
        <v>0</v>
      </c>
      <c r="O165" s="9">
        <f>IF(E165&gt;0,CostoPedido,0)</f>
        <v>0</v>
      </c>
      <c r="P165" s="9">
        <f>CostoAlm*(F165+J165)/2</f>
        <v>800</v>
      </c>
      <c r="Q165" s="9">
        <f>CostoFijo*D165</f>
        <v>0</v>
      </c>
      <c r="R165" s="9">
        <f>M165-N165-O165-P165-Q165</f>
        <v>4079200</v>
      </c>
      <c r="S165" s="21">
        <f>PuntoReorden</f>
        <v>7</v>
      </c>
    </row>
    <row r="166">
      <c r="A166" s="5">
        <f>A165+1</f>
        <v>161</v>
      </c>
      <c r="B166" s="20">
        <f>B165+IF(WEEKDAY(B165,2)=6,2,1)</f>
        <v>46210</v>
      </c>
      <c r="C166" s="5">
        <f>MONTH(B166)</f>
        <v>7</v>
      </c>
      <c r="D166" s="5">
        <f>IF(C166&lt;&gt;C165,1,0)</f>
        <v>0</v>
      </c>
      <c r="E166" s="5">
        <f>IF(L165=1,CantPedido,0)</f>
        <v>0</v>
      </c>
      <c r="F166" s="5">
        <f>J165+E166</f>
        <v>7</v>
      </c>
      <c r="G166" s="5">
        <f>RANDBETWEEN(3,7)</f>
        <v>6</v>
      </c>
      <c r="H166" s="5">
        <f>MIN(F166,G166)</f>
        <v>6</v>
      </c>
      <c r="I166" s="5">
        <f>G166-H166</f>
        <v>0</v>
      </c>
      <c r="J166" s="5">
        <f>F166-H166</f>
        <v>1</v>
      </c>
      <c r="K166" s="5">
        <f>IF(I166&gt;0,1,0)</f>
        <v>0</v>
      </c>
      <c r="L166" s="5">
        <f>IF(J166&lt;PuntoReorden,1,0)</f>
        <v>1</v>
      </c>
      <c r="M166" s="9">
        <f>PrecioVenta*H166</f>
        <v>4080000</v>
      </c>
      <c r="N166" s="9">
        <f>CostoUnitario*E166</f>
        <v>0</v>
      </c>
      <c r="O166" s="9">
        <f>IF(E166&gt;0,CostoPedido,0)</f>
        <v>0</v>
      </c>
      <c r="P166" s="9">
        <f>CostoAlm*(F166+J166)/2</f>
        <v>320</v>
      </c>
      <c r="Q166" s="9">
        <f>CostoFijo*D166</f>
        <v>0</v>
      </c>
      <c r="R166" s="9">
        <f>M166-N166-O166-P166-Q166</f>
        <v>4079680</v>
      </c>
      <c r="S166" s="21">
        <f>PuntoReorden</f>
        <v>7</v>
      </c>
    </row>
    <row r="167">
      <c r="A167" s="5">
        <f>A166+1</f>
        <v>162</v>
      </c>
      <c r="B167" s="20">
        <f>B166+IF(WEEKDAY(B166,2)=6,2,1)</f>
        <v>46211</v>
      </c>
      <c r="C167" s="5">
        <f>MONTH(B167)</f>
        <v>7</v>
      </c>
      <c r="D167" s="5">
        <f>IF(C167&lt;&gt;C166,1,0)</f>
        <v>0</v>
      </c>
      <c r="E167" s="5">
        <f>IF(L166=1,CantPedido,0)</f>
        <v>15</v>
      </c>
      <c r="F167" s="5">
        <f>J166+E167</f>
        <v>16</v>
      </c>
      <c r="G167" s="5">
        <f>RANDBETWEEN(3,7)</f>
        <v>5</v>
      </c>
      <c r="H167" s="5">
        <f>MIN(F167,G167)</f>
        <v>5</v>
      </c>
      <c r="I167" s="5">
        <f>G167-H167</f>
        <v>0</v>
      </c>
      <c r="J167" s="5">
        <f>F167-H167</f>
        <v>11</v>
      </c>
      <c r="K167" s="5">
        <f>IF(I167&gt;0,1,0)</f>
        <v>0</v>
      </c>
      <c r="L167" s="5">
        <f>IF(J167&lt;PuntoReorden,1,0)</f>
        <v>0</v>
      </c>
      <c r="M167" s="9">
        <f>PrecioVenta*H167</f>
        <v>3400000</v>
      </c>
      <c r="N167" s="9">
        <f>CostoUnitario*E167</f>
        <v>9000000</v>
      </c>
      <c r="O167" s="9">
        <f>IF(E167&gt;0,CostoPedido,0)</f>
        <v>40000</v>
      </c>
      <c r="P167" s="9">
        <f>CostoAlm*(F167+J167)/2</f>
        <v>1080</v>
      </c>
      <c r="Q167" s="9">
        <f>CostoFijo*D167</f>
        <v>0</v>
      </c>
      <c r="R167" s="9">
        <f>M167-N167-O167-P167-Q167</f>
        <v>-5641080</v>
      </c>
      <c r="S167" s="21">
        <f>PuntoReorden</f>
        <v>7</v>
      </c>
    </row>
    <row r="168">
      <c r="A168" s="5">
        <f>A167+1</f>
        <v>163</v>
      </c>
      <c r="B168" s="20">
        <f>B167+IF(WEEKDAY(B167,2)=6,2,1)</f>
        <v>46212</v>
      </c>
      <c r="C168" s="5">
        <f>MONTH(B168)</f>
        <v>7</v>
      </c>
      <c r="D168" s="5">
        <f>IF(C168&lt;&gt;C167,1,0)</f>
        <v>0</v>
      </c>
      <c r="E168" s="5">
        <f>IF(L167=1,CantPedido,0)</f>
        <v>0</v>
      </c>
      <c r="F168" s="5">
        <f>J167+E168</f>
        <v>11</v>
      </c>
      <c r="G168" s="5">
        <f>RANDBETWEEN(3,7)</f>
        <v>4</v>
      </c>
      <c r="H168" s="5">
        <f>MIN(F168,G168)</f>
        <v>4</v>
      </c>
      <c r="I168" s="5">
        <f>G168-H168</f>
        <v>0</v>
      </c>
      <c r="J168" s="5">
        <f>F168-H168</f>
        <v>7</v>
      </c>
      <c r="K168" s="5">
        <f>IF(I168&gt;0,1,0)</f>
        <v>0</v>
      </c>
      <c r="L168" s="5">
        <f>IF(J168&lt;PuntoReorden,1,0)</f>
        <v>0</v>
      </c>
      <c r="M168" s="9">
        <f>PrecioVenta*H168</f>
        <v>2720000</v>
      </c>
      <c r="N168" s="9">
        <f>CostoUnitario*E168</f>
        <v>0</v>
      </c>
      <c r="O168" s="9">
        <f>IF(E168&gt;0,CostoPedido,0)</f>
        <v>0</v>
      </c>
      <c r="P168" s="9">
        <f>CostoAlm*(F168+J168)/2</f>
        <v>720</v>
      </c>
      <c r="Q168" s="9">
        <f>CostoFijo*D168</f>
        <v>0</v>
      </c>
      <c r="R168" s="9">
        <f>M168-N168-O168-P168-Q168</f>
        <v>2719280</v>
      </c>
      <c r="S168" s="21">
        <f>PuntoReorden</f>
        <v>7</v>
      </c>
    </row>
    <row r="169">
      <c r="A169" s="5">
        <f>A168+1</f>
        <v>164</v>
      </c>
      <c r="B169" s="20">
        <f>B168+IF(WEEKDAY(B168,2)=6,2,1)</f>
        <v>46213</v>
      </c>
      <c r="C169" s="5">
        <f>MONTH(B169)</f>
        <v>7</v>
      </c>
      <c r="D169" s="5">
        <f>IF(C169&lt;&gt;C168,1,0)</f>
        <v>0</v>
      </c>
      <c r="E169" s="5">
        <f>IF(L168=1,CantPedido,0)</f>
        <v>0</v>
      </c>
      <c r="F169" s="5">
        <f>J168+E169</f>
        <v>7</v>
      </c>
      <c r="G169" s="5">
        <f>RANDBETWEEN(3,7)</f>
        <v>6</v>
      </c>
      <c r="H169" s="5">
        <f>MIN(F169,G169)</f>
        <v>6</v>
      </c>
      <c r="I169" s="5">
        <f>G169-H169</f>
        <v>0</v>
      </c>
      <c r="J169" s="5">
        <f>F169-H169</f>
        <v>1</v>
      </c>
      <c r="K169" s="5">
        <f>IF(I169&gt;0,1,0)</f>
        <v>0</v>
      </c>
      <c r="L169" s="5">
        <f>IF(J169&lt;PuntoReorden,1,0)</f>
        <v>1</v>
      </c>
      <c r="M169" s="9">
        <f>PrecioVenta*H169</f>
        <v>4080000</v>
      </c>
      <c r="N169" s="9">
        <f>CostoUnitario*E169</f>
        <v>0</v>
      </c>
      <c r="O169" s="9">
        <f>IF(E169&gt;0,CostoPedido,0)</f>
        <v>0</v>
      </c>
      <c r="P169" s="9">
        <f>CostoAlm*(F169+J169)/2</f>
        <v>320</v>
      </c>
      <c r="Q169" s="9">
        <f>CostoFijo*D169</f>
        <v>0</v>
      </c>
      <c r="R169" s="9">
        <f>M169-N169-O169-P169-Q169</f>
        <v>4079680</v>
      </c>
      <c r="S169" s="21">
        <f>PuntoReorden</f>
        <v>7</v>
      </c>
    </row>
    <row r="170">
      <c r="A170" s="5">
        <f>A169+1</f>
        <v>165</v>
      </c>
      <c r="B170" s="20">
        <f>B169+IF(WEEKDAY(B169,2)=6,2,1)</f>
        <v>46214</v>
      </c>
      <c r="C170" s="5">
        <f>MONTH(B170)</f>
        <v>7</v>
      </c>
      <c r="D170" s="5">
        <f>IF(C170&lt;&gt;C169,1,0)</f>
        <v>0</v>
      </c>
      <c r="E170" s="5">
        <f>IF(L169=1,CantPedido,0)</f>
        <v>15</v>
      </c>
      <c r="F170" s="5">
        <f>J169+E170</f>
        <v>16</v>
      </c>
      <c r="G170" s="5">
        <f>RANDBETWEEN(3,7)</f>
        <v>5</v>
      </c>
      <c r="H170" s="5">
        <f>MIN(F170,G170)</f>
        <v>5</v>
      </c>
      <c r="I170" s="5">
        <f>G170-H170</f>
        <v>0</v>
      </c>
      <c r="J170" s="5">
        <f>F170-H170</f>
        <v>11</v>
      </c>
      <c r="K170" s="5">
        <f>IF(I170&gt;0,1,0)</f>
        <v>0</v>
      </c>
      <c r="L170" s="5">
        <f>IF(J170&lt;PuntoReorden,1,0)</f>
        <v>0</v>
      </c>
      <c r="M170" s="9">
        <f>PrecioVenta*H170</f>
        <v>3400000</v>
      </c>
      <c r="N170" s="9">
        <f>CostoUnitario*E170</f>
        <v>9000000</v>
      </c>
      <c r="O170" s="9">
        <f>IF(E170&gt;0,CostoPedido,0)</f>
        <v>40000</v>
      </c>
      <c r="P170" s="9">
        <f>CostoAlm*(F170+J170)/2</f>
        <v>1080</v>
      </c>
      <c r="Q170" s="9">
        <f>CostoFijo*D170</f>
        <v>0</v>
      </c>
      <c r="R170" s="9">
        <f>M170-N170-O170-P170-Q170</f>
        <v>-5641080</v>
      </c>
      <c r="S170" s="21">
        <f>PuntoReorden</f>
        <v>7</v>
      </c>
    </row>
    <row r="171">
      <c r="A171" s="5">
        <f>A170+1</f>
        <v>166</v>
      </c>
      <c r="B171" s="20">
        <f>B170+IF(WEEKDAY(B170,2)=6,2,1)</f>
        <v>46216</v>
      </c>
      <c r="C171" s="5">
        <f>MONTH(B171)</f>
        <v>7</v>
      </c>
      <c r="D171" s="5">
        <f>IF(C171&lt;&gt;C170,1,0)</f>
        <v>0</v>
      </c>
      <c r="E171" s="5">
        <f>IF(L170=1,CantPedido,0)</f>
        <v>0</v>
      </c>
      <c r="F171" s="5">
        <f>J170+E171</f>
        <v>11</v>
      </c>
      <c r="G171" s="5">
        <f>RANDBETWEEN(3,7)</f>
        <v>4</v>
      </c>
      <c r="H171" s="5">
        <f>MIN(F171,G171)</f>
        <v>4</v>
      </c>
      <c r="I171" s="5">
        <f>G171-H171</f>
        <v>0</v>
      </c>
      <c r="J171" s="5">
        <f>F171-H171</f>
        <v>7</v>
      </c>
      <c r="K171" s="5">
        <f>IF(I171&gt;0,1,0)</f>
        <v>0</v>
      </c>
      <c r="L171" s="5">
        <f>IF(J171&lt;PuntoReorden,1,0)</f>
        <v>0</v>
      </c>
      <c r="M171" s="9">
        <f>PrecioVenta*H171</f>
        <v>2720000</v>
      </c>
      <c r="N171" s="9">
        <f>CostoUnitario*E171</f>
        <v>0</v>
      </c>
      <c r="O171" s="9">
        <f>IF(E171&gt;0,CostoPedido,0)</f>
        <v>0</v>
      </c>
      <c r="P171" s="9">
        <f>CostoAlm*(F171+J171)/2</f>
        <v>720</v>
      </c>
      <c r="Q171" s="9">
        <f>CostoFijo*D171</f>
        <v>0</v>
      </c>
      <c r="R171" s="9">
        <f>M171-N171-O171-P171-Q171</f>
        <v>2719280</v>
      </c>
      <c r="S171" s="21">
        <f>PuntoReorden</f>
        <v>7</v>
      </c>
    </row>
    <row r="172">
      <c r="A172" s="5">
        <f>A171+1</f>
        <v>167</v>
      </c>
      <c r="B172" s="20">
        <f>B171+IF(WEEKDAY(B171,2)=6,2,1)</f>
        <v>46217</v>
      </c>
      <c r="C172" s="5">
        <f>MONTH(B172)</f>
        <v>7</v>
      </c>
      <c r="D172" s="5">
        <f>IF(C172&lt;&gt;C171,1,0)</f>
        <v>0</v>
      </c>
      <c r="E172" s="5">
        <f>IF(L171=1,CantPedido,0)</f>
        <v>0</v>
      </c>
      <c r="F172" s="5">
        <f>J171+E172</f>
        <v>7</v>
      </c>
      <c r="G172" s="5">
        <f>RANDBETWEEN(3,7)</f>
        <v>4</v>
      </c>
      <c r="H172" s="5">
        <f>MIN(F172,G172)</f>
        <v>4</v>
      </c>
      <c r="I172" s="5">
        <f>G172-H172</f>
        <v>0</v>
      </c>
      <c r="J172" s="5">
        <f>F172-H172</f>
        <v>3</v>
      </c>
      <c r="K172" s="5">
        <f>IF(I172&gt;0,1,0)</f>
        <v>0</v>
      </c>
      <c r="L172" s="5">
        <f>IF(J172&lt;PuntoReorden,1,0)</f>
        <v>1</v>
      </c>
      <c r="M172" s="9">
        <f>PrecioVenta*H172</f>
        <v>2720000</v>
      </c>
      <c r="N172" s="9">
        <f>CostoUnitario*E172</f>
        <v>0</v>
      </c>
      <c r="O172" s="9">
        <f>IF(E172&gt;0,CostoPedido,0)</f>
        <v>0</v>
      </c>
      <c r="P172" s="9">
        <f>CostoAlm*(F172+J172)/2</f>
        <v>400</v>
      </c>
      <c r="Q172" s="9">
        <f>CostoFijo*D172</f>
        <v>0</v>
      </c>
      <c r="R172" s="9">
        <f>M172-N172-O172-P172-Q172</f>
        <v>2719600</v>
      </c>
      <c r="S172" s="21">
        <f>PuntoReorden</f>
        <v>7</v>
      </c>
    </row>
    <row r="173">
      <c r="A173" s="5">
        <f>A172+1</f>
        <v>168</v>
      </c>
      <c r="B173" s="20">
        <f>B172+IF(WEEKDAY(B172,2)=6,2,1)</f>
        <v>46218</v>
      </c>
      <c r="C173" s="5">
        <f>MONTH(B173)</f>
        <v>7</v>
      </c>
      <c r="D173" s="5">
        <f>IF(C173&lt;&gt;C172,1,0)</f>
        <v>0</v>
      </c>
      <c r="E173" s="5">
        <f>IF(L172=1,CantPedido,0)</f>
        <v>15</v>
      </c>
      <c r="F173" s="5">
        <f>J172+E173</f>
        <v>18</v>
      </c>
      <c r="G173" s="5">
        <f>RANDBETWEEN(3,7)</f>
        <v>3</v>
      </c>
      <c r="H173" s="5">
        <f>MIN(F173,G173)</f>
        <v>3</v>
      </c>
      <c r="I173" s="5">
        <f>G173-H173</f>
        <v>0</v>
      </c>
      <c r="J173" s="5">
        <f>F173-H173</f>
        <v>15</v>
      </c>
      <c r="K173" s="5">
        <f>IF(I173&gt;0,1,0)</f>
        <v>0</v>
      </c>
      <c r="L173" s="5">
        <f>IF(J173&lt;PuntoReorden,1,0)</f>
        <v>0</v>
      </c>
      <c r="M173" s="9">
        <f>PrecioVenta*H173</f>
        <v>2040000</v>
      </c>
      <c r="N173" s="9">
        <f>CostoUnitario*E173</f>
        <v>9000000</v>
      </c>
      <c r="O173" s="9">
        <f>IF(E173&gt;0,CostoPedido,0)</f>
        <v>40000</v>
      </c>
      <c r="P173" s="9">
        <f>CostoAlm*(F173+J173)/2</f>
        <v>1320</v>
      </c>
      <c r="Q173" s="9">
        <f>CostoFijo*D173</f>
        <v>0</v>
      </c>
      <c r="R173" s="9">
        <f>M173-N173-O173-P173-Q173</f>
        <v>-7001320</v>
      </c>
      <c r="S173" s="21">
        <f>PuntoReorden</f>
        <v>7</v>
      </c>
    </row>
    <row r="174">
      <c r="A174" s="5">
        <f>A173+1</f>
        <v>169</v>
      </c>
      <c r="B174" s="20">
        <f>B173+IF(WEEKDAY(B173,2)=6,2,1)</f>
        <v>46219</v>
      </c>
      <c r="C174" s="5">
        <f>MONTH(B174)</f>
        <v>7</v>
      </c>
      <c r="D174" s="5">
        <f>IF(C174&lt;&gt;C173,1,0)</f>
        <v>0</v>
      </c>
      <c r="E174" s="5">
        <f>IF(L173=1,CantPedido,0)</f>
        <v>0</v>
      </c>
      <c r="F174" s="5">
        <f>J173+E174</f>
        <v>15</v>
      </c>
      <c r="G174" s="5">
        <f>RANDBETWEEN(3,7)</f>
        <v>4</v>
      </c>
      <c r="H174" s="5">
        <f>MIN(F174,G174)</f>
        <v>4</v>
      </c>
      <c r="I174" s="5">
        <f>G174-H174</f>
        <v>0</v>
      </c>
      <c r="J174" s="5">
        <f>F174-H174</f>
        <v>11</v>
      </c>
      <c r="K174" s="5">
        <f>IF(I174&gt;0,1,0)</f>
        <v>0</v>
      </c>
      <c r="L174" s="5">
        <f>IF(J174&lt;PuntoReorden,1,0)</f>
        <v>0</v>
      </c>
      <c r="M174" s="9">
        <f>PrecioVenta*H174</f>
        <v>2720000</v>
      </c>
      <c r="N174" s="9">
        <f>CostoUnitario*E174</f>
        <v>0</v>
      </c>
      <c r="O174" s="9">
        <f>IF(E174&gt;0,CostoPedido,0)</f>
        <v>0</v>
      </c>
      <c r="P174" s="9">
        <f>CostoAlm*(F174+J174)/2</f>
        <v>1040</v>
      </c>
      <c r="Q174" s="9">
        <f>CostoFijo*D174</f>
        <v>0</v>
      </c>
      <c r="R174" s="9">
        <f>M174-N174-O174-P174-Q174</f>
        <v>2718960</v>
      </c>
      <c r="S174" s="21">
        <f>PuntoReorden</f>
        <v>7</v>
      </c>
    </row>
    <row r="175">
      <c r="A175" s="5">
        <f>A174+1</f>
        <v>170</v>
      </c>
      <c r="B175" s="20">
        <f>B174+IF(WEEKDAY(B174,2)=6,2,1)</f>
        <v>46220</v>
      </c>
      <c r="C175" s="5">
        <f>MONTH(B175)</f>
        <v>7</v>
      </c>
      <c r="D175" s="5">
        <f>IF(C175&lt;&gt;C174,1,0)</f>
        <v>0</v>
      </c>
      <c r="E175" s="5">
        <f>IF(L174=1,CantPedido,0)</f>
        <v>0</v>
      </c>
      <c r="F175" s="5">
        <f>J174+E175</f>
        <v>11</v>
      </c>
      <c r="G175" s="5">
        <f>RANDBETWEEN(3,7)</f>
        <v>6</v>
      </c>
      <c r="H175" s="5">
        <f>MIN(F175,G175)</f>
        <v>6</v>
      </c>
      <c r="I175" s="5">
        <f>G175-H175</f>
        <v>0</v>
      </c>
      <c r="J175" s="5">
        <f>F175-H175</f>
        <v>5</v>
      </c>
      <c r="K175" s="5">
        <f>IF(I175&gt;0,1,0)</f>
        <v>0</v>
      </c>
      <c r="L175" s="5">
        <f>IF(J175&lt;PuntoReorden,1,0)</f>
        <v>1</v>
      </c>
      <c r="M175" s="9">
        <f>PrecioVenta*H175</f>
        <v>4080000</v>
      </c>
      <c r="N175" s="9">
        <f>CostoUnitario*E175</f>
        <v>0</v>
      </c>
      <c r="O175" s="9">
        <f>IF(E175&gt;0,CostoPedido,0)</f>
        <v>0</v>
      </c>
      <c r="P175" s="9">
        <f>CostoAlm*(F175+J175)/2</f>
        <v>640</v>
      </c>
      <c r="Q175" s="9">
        <f>CostoFijo*D175</f>
        <v>0</v>
      </c>
      <c r="R175" s="9">
        <f>M175-N175-O175-P175-Q175</f>
        <v>4079360</v>
      </c>
      <c r="S175" s="21">
        <f>PuntoReorden</f>
        <v>7</v>
      </c>
    </row>
    <row r="176">
      <c r="A176" s="5">
        <f>A175+1</f>
        <v>171</v>
      </c>
      <c r="B176" s="20">
        <f>B175+IF(WEEKDAY(B175,2)=6,2,1)</f>
        <v>46221</v>
      </c>
      <c r="C176" s="5">
        <f>MONTH(B176)</f>
        <v>7</v>
      </c>
      <c r="D176" s="5">
        <f>IF(C176&lt;&gt;C175,1,0)</f>
        <v>0</v>
      </c>
      <c r="E176" s="5">
        <f>IF(L175=1,CantPedido,0)</f>
        <v>15</v>
      </c>
      <c r="F176" s="5">
        <f>J175+E176</f>
        <v>20</v>
      </c>
      <c r="G176" s="5">
        <f>RANDBETWEEN(3,7)</f>
        <v>4</v>
      </c>
      <c r="H176" s="5">
        <f>MIN(F176,G176)</f>
        <v>4</v>
      </c>
      <c r="I176" s="5">
        <f>G176-H176</f>
        <v>0</v>
      </c>
      <c r="J176" s="5">
        <f>F176-H176</f>
        <v>16</v>
      </c>
      <c r="K176" s="5">
        <f>IF(I176&gt;0,1,0)</f>
        <v>0</v>
      </c>
      <c r="L176" s="5">
        <f>IF(J176&lt;PuntoReorden,1,0)</f>
        <v>0</v>
      </c>
      <c r="M176" s="9">
        <f>PrecioVenta*H176</f>
        <v>2720000</v>
      </c>
      <c r="N176" s="9">
        <f>CostoUnitario*E176</f>
        <v>9000000</v>
      </c>
      <c r="O176" s="9">
        <f>IF(E176&gt;0,CostoPedido,0)</f>
        <v>40000</v>
      </c>
      <c r="P176" s="9">
        <f>CostoAlm*(F176+J176)/2</f>
        <v>1440</v>
      </c>
      <c r="Q176" s="9">
        <f>CostoFijo*D176</f>
        <v>0</v>
      </c>
      <c r="R176" s="9">
        <f>M176-N176-O176-P176-Q176</f>
        <v>-6321440</v>
      </c>
      <c r="S176" s="21">
        <f>PuntoReorden</f>
        <v>7</v>
      </c>
    </row>
    <row r="177">
      <c r="A177" s="5">
        <f>A176+1</f>
        <v>172</v>
      </c>
      <c r="B177" s="20">
        <f>B176+IF(WEEKDAY(B176,2)=6,2,1)</f>
        <v>46223</v>
      </c>
      <c r="C177" s="5">
        <f>MONTH(B177)</f>
        <v>7</v>
      </c>
      <c r="D177" s="5">
        <f>IF(C177&lt;&gt;C176,1,0)</f>
        <v>0</v>
      </c>
      <c r="E177" s="5">
        <f>IF(L176=1,CantPedido,0)</f>
        <v>0</v>
      </c>
      <c r="F177" s="5">
        <f>J176+E177</f>
        <v>16</v>
      </c>
      <c r="G177" s="5">
        <f>RANDBETWEEN(3,7)</f>
        <v>4</v>
      </c>
      <c r="H177" s="5">
        <f>MIN(F177,G177)</f>
        <v>4</v>
      </c>
      <c r="I177" s="5">
        <f>G177-H177</f>
        <v>0</v>
      </c>
      <c r="J177" s="5">
        <f>F177-H177</f>
        <v>12</v>
      </c>
      <c r="K177" s="5">
        <f>IF(I177&gt;0,1,0)</f>
        <v>0</v>
      </c>
      <c r="L177" s="5">
        <f>IF(J177&lt;PuntoReorden,1,0)</f>
        <v>0</v>
      </c>
      <c r="M177" s="9">
        <f>PrecioVenta*H177</f>
        <v>2720000</v>
      </c>
      <c r="N177" s="9">
        <f>CostoUnitario*E177</f>
        <v>0</v>
      </c>
      <c r="O177" s="9">
        <f>IF(E177&gt;0,CostoPedido,0)</f>
        <v>0</v>
      </c>
      <c r="P177" s="9">
        <f>CostoAlm*(F177+J177)/2</f>
        <v>1120</v>
      </c>
      <c r="Q177" s="9">
        <f>CostoFijo*D177</f>
        <v>0</v>
      </c>
      <c r="R177" s="9">
        <f>M177-N177-O177-P177-Q177</f>
        <v>2718880</v>
      </c>
      <c r="S177" s="21">
        <f>PuntoReorden</f>
        <v>7</v>
      </c>
    </row>
    <row r="178">
      <c r="A178" s="5">
        <f>A177+1</f>
        <v>173</v>
      </c>
      <c r="B178" s="20">
        <f>B177+IF(WEEKDAY(B177,2)=6,2,1)</f>
        <v>46224</v>
      </c>
      <c r="C178" s="5">
        <f>MONTH(B178)</f>
        <v>7</v>
      </c>
      <c r="D178" s="5">
        <f>IF(C178&lt;&gt;C177,1,0)</f>
        <v>0</v>
      </c>
      <c r="E178" s="5">
        <f>IF(L177=1,CantPedido,0)</f>
        <v>0</v>
      </c>
      <c r="F178" s="5">
        <f>J177+E178</f>
        <v>12</v>
      </c>
      <c r="G178" s="5">
        <f>RANDBETWEEN(3,7)</f>
        <v>6</v>
      </c>
      <c r="H178" s="5">
        <f>MIN(F178,G178)</f>
        <v>6</v>
      </c>
      <c r="I178" s="5">
        <f>G178-H178</f>
        <v>0</v>
      </c>
      <c r="J178" s="5">
        <f>F178-H178</f>
        <v>6</v>
      </c>
      <c r="K178" s="5">
        <f>IF(I178&gt;0,1,0)</f>
        <v>0</v>
      </c>
      <c r="L178" s="5">
        <f>IF(J178&lt;PuntoReorden,1,0)</f>
        <v>1</v>
      </c>
      <c r="M178" s="9">
        <f>PrecioVenta*H178</f>
        <v>4080000</v>
      </c>
      <c r="N178" s="9">
        <f>CostoUnitario*E178</f>
        <v>0</v>
      </c>
      <c r="O178" s="9">
        <f>IF(E178&gt;0,CostoPedido,0)</f>
        <v>0</v>
      </c>
      <c r="P178" s="9">
        <f>CostoAlm*(F178+J178)/2</f>
        <v>720</v>
      </c>
      <c r="Q178" s="9">
        <f>CostoFijo*D178</f>
        <v>0</v>
      </c>
      <c r="R178" s="9">
        <f>M178-N178-O178-P178-Q178</f>
        <v>4079280</v>
      </c>
      <c r="S178" s="21">
        <f>PuntoReorden</f>
        <v>7</v>
      </c>
    </row>
    <row r="179">
      <c r="A179" s="5">
        <f>A178+1</f>
        <v>174</v>
      </c>
      <c r="B179" s="20">
        <f>B178+IF(WEEKDAY(B178,2)=6,2,1)</f>
        <v>46225</v>
      </c>
      <c r="C179" s="5">
        <f>MONTH(B179)</f>
        <v>7</v>
      </c>
      <c r="D179" s="5">
        <f>IF(C179&lt;&gt;C178,1,0)</f>
        <v>0</v>
      </c>
      <c r="E179" s="5">
        <f>IF(L178=1,CantPedido,0)</f>
        <v>15</v>
      </c>
      <c r="F179" s="5">
        <f>J178+E179</f>
        <v>21</v>
      </c>
      <c r="G179" s="5">
        <f>RANDBETWEEN(3,7)</f>
        <v>7</v>
      </c>
      <c r="H179" s="5">
        <f>MIN(F179,G179)</f>
        <v>7</v>
      </c>
      <c r="I179" s="5">
        <f>G179-H179</f>
        <v>0</v>
      </c>
      <c r="J179" s="5">
        <f>F179-H179</f>
        <v>14</v>
      </c>
      <c r="K179" s="5">
        <f>IF(I179&gt;0,1,0)</f>
        <v>0</v>
      </c>
      <c r="L179" s="5">
        <f>IF(J179&lt;PuntoReorden,1,0)</f>
        <v>0</v>
      </c>
      <c r="M179" s="9">
        <f>PrecioVenta*H179</f>
        <v>4760000</v>
      </c>
      <c r="N179" s="9">
        <f>CostoUnitario*E179</f>
        <v>9000000</v>
      </c>
      <c r="O179" s="9">
        <f>IF(E179&gt;0,CostoPedido,0)</f>
        <v>40000</v>
      </c>
      <c r="P179" s="9">
        <f>CostoAlm*(F179+J179)/2</f>
        <v>1400</v>
      </c>
      <c r="Q179" s="9">
        <f>CostoFijo*D179</f>
        <v>0</v>
      </c>
      <c r="R179" s="9">
        <f>M179-N179-O179-P179-Q179</f>
        <v>-4281400</v>
      </c>
      <c r="S179" s="21">
        <f>PuntoReorden</f>
        <v>7</v>
      </c>
    </row>
    <row r="180">
      <c r="A180" s="5">
        <f>A179+1</f>
        <v>175</v>
      </c>
      <c r="B180" s="20">
        <f>B179+IF(WEEKDAY(B179,2)=6,2,1)</f>
        <v>46226</v>
      </c>
      <c r="C180" s="5">
        <f>MONTH(B180)</f>
        <v>7</v>
      </c>
      <c r="D180" s="5">
        <f>IF(C180&lt;&gt;C179,1,0)</f>
        <v>0</v>
      </c>
      <c r="E180" s="5">
        <f>IF(L179=1,CantPedido,0)</f>
        <v>0</v>
      </c>
      <c r="F180" s="5">
        <f>J179+E180</f>
        <v>14</v>
      </c>
      <c r="G180" s="5">
        <f>RANDBETWEEN(3,7)</f>
        <v>7</v>
      </c>
      <c r="H180" s="5">
        <f>MIN(F180,G180)</f>
        <v>7</v>
      </c>
      <c r="I180" s="5">
        <f>G180-H180</f>
        <v>0</v>
      </c>
      <c r="J180" s="5">
        <f>F180-H180</f>
        <v>7</v>
      </c>
      <c r="K180" s="5">
        <f>IF(I180&gt;0,1,0)</f>
        <v>0</v>
      </c>
      <c r="L180" s="5">
        <f>IF(J180&lt;PuntoReorden,1,0)</f>
        <v>0</v>
      </c>
      <c r="M180" s="9">
        <f>PrecioVenta*H180</f>
        <v>4760000</v>
      </c>
      <c r="N180" s="9">
        <f>CostoUnitario*E180</f>
        <v>0</v>
      </c>
      <c r="O180" s="9">
        <f>IF(E180&gt;0,CostoPedido,0)</f>
        <v>0</v>
      </c>
      <c r="P180" s="9">
        <f>CostoAlm*(F180+J180)/2</f>
        <v>840</v>
      </c>
      <c r="Q180" s="9">
        <f>CostoFijo*D180</f>
        <v>0</v>
      </c>
      <c r="R180" s="9">
        <f>M180-N180-O180-P180-Q180</f>
        <v>4759160</v>
      </c>
      <c r="S180" s="21">
        <f>PuntoReorden</f>
        <v>7</v>
      </c>
    </row>
    <row r="181">
      <c r="A181" s="5">
        <f>A180+1</f>
        <v>176</v>
      </c>
      <c r="B181" s="20">
        <f>B180+IF(WEEKDAY(B180,2)=6,2,1)</f>
        <v>46227</v>
      </c>
      <c r="C181" s="5">
        <f>MONTH(B181)</f>
        <v>7</v>
      </c>
      <c r="D181" s="5">
        <f>IF(C181&lt;&gt;C180,1,0)</f>
        <v>0</v>
      </c>
      <c r="E181" s="5">
        <f>IF(L180=1,CantPedido,0)</f>
        <v>0</v>
      </c>
      <c r="F181" s="5">
        <f>J180+E181</f>
        <v>7</v>
      </c>
      <c r="G181" s="5">
        <f>RANDBETWEEN(3,7)</f>
        <v>6</v>
      </c>
      <c r="H181" s="5">
        <f>MIN(F181,G181)</f>
        <v>6</v>
      </c>
      <c r="I181" s="5">
        <f>G181-H181</f>
        <v>0</v>
      </c>
      <c r="J181" s="5">
        <f>F181-H181</f>
        <v>1</v>
      </c>
      <c r="K181" s="5">
        <f>IF(I181&gt;0,1,0)</f>
        <v>0</v>
      </c>
      <c r="L181" s="5">
        <f>IF(J181&lt;PuntoReorden,1,0)</f>
        <v>1</v>
      </c>
      <c r="M181" s="9">
        <f>PrecioVenta*H181</f>
        <v>4080000</v>
      </c>
      <c r="N181" s="9">
        <f>CostoUnitario*E181</f>
        <v>0</v>
      </c>
      <c r="O181" s="9">
        <f>IF(E181&gt;0,CostoPedido,0)</f>
        <v>0</v>
      </c>
      <c r="P181" s="9">
        <f>CostoAlm*(F181+J181)/2</f>
        <v>320</v>
      </c>
      <c r="Q181" s="9">
        <f>CostoFijo*D181</f>
        <v>0</v>
      </c>
      <c r="R181" s="9">
        <f>M181-N181-O181-P181-Q181</f>
        <v>4079680</v>
      </c>
      <c r="S181" s="21">
        <f>PuntoReorden</f>
        <v>7</v>
      </c>
    </row>
    <row r="182">
      <c r="A182" s="5">
        <f>A181+1</f>
        <v>177</v>
      </c>
      <c r="B182" s="20">
        <f>B181+IF(WEEKDAY(B181,2)=6,2,1)</f>
        <v>46228</v>
      </c>
      <c r="C182" s="5">
        <f>MONTH(B182)</f>
        <v>7</v>
      </c>
      <c r="D182" s="5">
        <f>IF(C182&lt;&gt;C181,1,0)</f>
        <v>0</v>
      </c>
      <c r="E182" s="5">
        <f>IF(L181=1,CantPedido,0)</f>
        <v>15</v>
      </c>
      <c r="F182" s="5">
        <f>J181+E182</f>
        <v>16</v>
      </c>
      <c r="G182" s="5">
        <f>RANDBETWEEN(3,7)</f>
        <v>5</v>
      </c>
      <c r="H182" s="5">
        <f>MIN(F182,G182)</f>
        <v>5</v>
      </c>
      <c r="I182" s="5">
        <f>G182-H182</f>
        <v>0</v>
      </c>
      <c r="J182" s="5">
        <f>F182-H182</f>
        <v>11</v>
      </c>
      <c r="K182" s="5">
        <f>IF(I182&gt;0,1,0)</f>
        <v>0</v>
      </c>
      <c r="L182" s="5">
        <f>IF(J182&lt;PuntoReorden,1,0)</f>
        <v>0</v>
      </c>
      <c r="M182" s="9">
        <f>PrecioVenta*H182</f>
        <v>3400000</v>
      </c>
      <c r="N182" s="9">
        <f>CostoUnitario*E182</f>
        <v>9000000</v>
      </c>
      <c r="O182" s="9">
        <f>IF(E182&gt;0,CostoPedido,0)</f>
        <v>40000</v>
      </c>
      <c r="P182" s="9">
        <f>CostoAlm*(F182+J182)/2</f>
        <v>1080</v>
      </c>
      <c r="Q182" s="9">
        <f>CostoFijo*D182</f>
        <v>0</v>
      </c>
      <c r="R182" s="9">
        <f>M182-N182-O182-P182-Q182</f>
        <v>-5641080</v>
      </c>
      <c r="S182" s="21">
        <f>PuntoReorden</f>
        <v>7</v>
      </c>
    </row>
    <row r="183">
      <c r="A183" s="5">
        <f>A182+1</f>
        <v>178</v>
      </c>
      <c r="B183" s="20">
        <f>B182+IF(WEEKDAY(B182,2)=6,2,1)</f>
        <v>46230</v>
      </c>
      <c r="C183" s="5">
        <f>MONTH(B183)</f>
        <v>7</v>
      </c>
      <c r="D183" s="5">
        <f>IF(C183&lt;&gt;C182,1,0)</f>
        <v>0</v>
      </c>
      <c r="E183" s="5">
        <f>IF(L182=1,CantPedido,0)</f>
        <v>0</v>
      </c>
      <c r="F183" s="5">
        <f>J182+E183</f>
        <v>11</v>
      </c>
      <c r="G183" s="5">
        <f>RANDBETWEEN(3,7)</f>
        <v>7</v>
      </c>
      <c r="H183" s="5">
        <f>MIN(F183,G183)</f>
        <v>7</v>
      </c>
      <c r="I183" s="5">
        <f>G183-H183</f>
        <v>0</v>
      </c>
      <c r="J183" s="5">
        <f>F183-H183</f>
        <v>4</v>
      </c>
      <c r="K183" s="5">
        <f>IF(I183&gt;0,1,0)</f>
        <v>0</v>
      </c>
      <c r="L183" s="5">
        <f>IF(J183&lt;PuntoReorden,1,0)</f>
        <v>1</v>
      </c>
      <c r="M183" s="9">
        <f>PrecioVenta*H183</f>
        <v>4760000</v>
      </c>
      <c r="N183" s="9">
        <f>CostoUnitario*E183</f>
        <v>0</v>
      </c>
      <c r="O183" s="9">
        <f>IF(E183&gt;0,CostoPedido,0)</f>
        <v>0</v>
      </c>
      <c r="P183" s="9">
        <f>CostoAlm*(F183+J183)/2</f>
        <v>600</v>
      </c>
      <c r="Q183" s="9">
        <f>CostoFijo*D183</f>
        <v>0</v>
      </c>
      <c r="R183" s="9">
        <f>M183-N183-O183-P183-Q183</f>
        <v>4759400</v>
      </c>
      <c r="S183" s="21">
        <f>PuntoReorden</f>
        <v>7</v>
      </c>
    </row>
    <row r="184">
      <c r="A184" s="5">
        <f>A183+1</f>
        <v>179</v>
      </c>
      <c r="B184" s="20">
        <f>B183+IF(WEEKDAY(B183,2)=6,2,1)</f>
        <v>46231</v>
      </c>
      <c r="C184" s="5">
        <f>MONTH(B184)</f>
        <v>7</v>
      </c>
      <c r="D184" s="5">
        <f>IF(C184&lt;&gt;C183,1,0)</f>
        <v>0</v>
      </c>
      <c r="E184" s="5">
        <f>IF(L183=1,CantPedido,0)</f>
        <v>15</v>
      </c>
      <c r="F184" s="5">
        <f>J183+E184</f>
        <v>19</v>
      </c>
      <c r="G184" s="5">
        <f>RANDBETWEEN(3,7)</f>
        <v>6</v>
      </c>
      <c r="H184" s="5">
        <f>MIN(F184,G184)</f>
        <v>6</v>
      </c>
      <c r="I184" s="5">
        <f>G184-H184</f>
        <v>0</v>
      </c>
      <c r="J184" s="5">
        <f>F184-H184</f>
        <v>13</v>
      </c>
      <c r="K184" s="5">
        <f>IF(I184&gt;0,1,0)</f>
        <v>0</v>
      </c>
      <c r="L184" s="5">
        <f>IF(J184&lt;PuntoReorden,1,0)</f>
        <v>0</v>
      </c>
      <c r="M184" s="9">
        <f>PrecioVenta*H184</f>
        <v>4080000</v>
      </c>
      <c r="N184" s="9">
        <f>CostoUnitario*E184</f>
        <v>9000000</v>
      </c>
      <c r="O184" s="9">
        <f>IF(E184&gt;0,CostoPedido,0)</f>
        <v>40000</v>
      </c>
      <c r="P184" s="9">
        <f>CostoAlm*(F184+J184)/2</f>
        <v>1280</v>
      </c>
      <c r="Q184" s="9">
        <f>CostoFijo*D184</f>
        <v>0</v>
      </c>
      <c r="R184" s="9">
        <f>M184-N184-O184-P184-Q184</f>
        <v>-4961280</v>
      </c>
      <c r="S184" s="21">
        <f>PuntoReorden</f>
        <v>7</v>
      </c>
    </row>
    <row r="185">
      <c r="A185" s="5">
        <f>A184+1</f>
        <v>180</v>
      </c>
      <c r="B185" s="20">
        <f>B184+IF(WEEKDAY(B184,2)=6,2,1)</f>
        <v>46232</v>
      </c>
      <c r="C185" s="5">
        <f>MONTH(B185)</f>
        <v>7</v>
      </c>
      <c r="D185" s="5">
        <f>IF(C185&lt;&gt;C184,1,0)</f>
        <v>0</v>
      </c>
      <c r="E185" s="5">
        <f>IF(L184=1,CantPedido,0)</f>
        <v>0</v>
      </c>
      <c r="F185" s="5">
        <f>J184+E185</f>
        <v>13</v>
      </c>
      <c r="G185" s="5">
        <f>RANDBETWEEN(3,7)</f>
        <v>5</v>
      </c>
      <c r="H185" s="5">
        <f>MIN(F185,G185)</f>
        <v>5</v>
      </c>
      <c r="I185" s="5">
        <f>G185-H185</f>
        <v>0</v>
      </c>
      <c r="J185" s="5">
        <f>F185-H185</f>
        <v>8</v>
      </c>
      <c r="K185" s="5">
        <f>IF(I185&gt;0,1,0)</f>
        <v>0</v>
      </c>
      <c r="L185" s="5">
        <f>IF(J185&lt;PuntoReorden,1,0)</f>
        <v>0</v>
      </c>
      <c r="M185" s="9">
        <f>PrecioVenta*H185</f>
        <v>3400000</v>
      </c>
      <c r="N185" s="9">
        <f>CostoUnitario*E185</f>
        <v>0</v>
      </c>
      <c r="O185" s="9">
        <f>IF(E185&gt;0,CostoPedido,0)</f>
        <v>0</v>
      </c>
      <c r="P185" s="9">
        <f>CostoAlm*(F185+J185)/2</f>
        <v>840</v>
      </c>
      <c r="Q185" s="9">
        <f>CostoFijo*D185</f>
        <v>0</v>
      </c>
      <c r="R185" s="9">
        <f>M185-N185-O185-P185-Q185</f>
        <v>3399160</v>
      </c>
      <c r="S185" s="21">
        <f>PuntoReorden</f>
        <v>7</v>
      </c>
    </row>
    <row r="186">
      <c r="A186" s="5">
        <f>A185+1</f>
        <v>181</v>
      </c>
      <c r="B186" s="20">
        <f>B185+IF(WEEKDAY(B185,2)=6,2,1)</f>
        <v>46233</v>
      </c>
      <c r="C186" s="5">
        <f>MONTH(B186)</f>
        <v>7</v>
      </c>
      <c r="D186" s="5">
        <f>IF(C186&lt;&gt;C185,1,0)</f>
        <v>0</v>
      </c>
      <c r="E186" s="5">
        <f>IF(L185=1,CantPedido,0)</f>
        <v>0</v>
      </c>
      <c r="F186" s="5">
        <f>J185+E186</f>
        <v>8</v>
      </c>
      <c r="G186" s="5">
        <f>RANDBETWEEN(3,7)</f>
        <v>3</v>
      </c>
      <c r="H186" s="5">
        <f>MIN(F186,G186)</f>
        <v>3</v>
      </c>
      <c r="I186" s="5">
        <f>G186-H186</f>
        <v>0</v>
      </c>
      <c r="J186" s="5">
        <f>F186-H186</f>
        <v>5</v>
      </c>
      <c r="K186" s="5">
        <f>IF(I186&gt;0,1,0)</f>
        <v>0</v>
      </c>
      <c r="L186" s="5">
        <f>IF(J186&lt;PuntoReorden,1,0)</f>
        <v>1</v>
      </c>
      <c r="M186" s="9">
        <f>PrecioVenta*H186</f>
        <v>2040000</v>
      </c>
      <c r="N186" s="9">
        <f>CostoUnitario*E186</f>
        <v>0</v>
      </c>
      <c r="O186" s="9">
        <f>IF(E186&gt;0,CostoPedido,0)</f>
        <v>0</v>
      </c>
      <c r="P186" s="9">
        <f>CostoAlm*(F186+J186)/2</f>
        <v>520</v>
      </c>
      <c r="Q186" s="9">
        <f>CostoFijo*D186</f>
        <v>0</v>
      </c>
      <c r="R186" s="9">
        <f>M186-N186-O186-P186-Q186</f>
        <v>2039480</v>
      </c>
      <c r="S186" s="21">
        <f>PuntoReorden</f>
        <v>7</v>
      </c>
    </row>
    <row r="187">
      <c r="A187" s="5">
        <f>A186+1</f>
        <v>182</v>
      </c>
      <c r="B187" s="20">
        <f>B186+IF(WEEKDAY(B186,2)=6,2,1)</f>
        <v>46234</v>
      </c>
      <c r="C187" s="5">
        <f>MONTH(B187)</f>
        <v>7</v>
      </c>
      <c r="D187" s="5">
        <f>IF(C187&lt;&gt;C186,1,0)</f>
        <v>0</v>
      </c>
      <c r="E187" s="5">
        <f>IF(L186=1,CantPedido,0)</f>
        <v>15</v>
      </c>
      <c r="F187" s="5">
        <f>J186+E187</f>
        <v>20</v>
      </c>
      <c r="G187" s="5">
        <f>RANDBETWEEN(3,7)</f>
        <v>5</v>
      </c>
      <c r="H187" s="5">
        <f>MIN(F187,G187)</f>
        <v>5</v>
      </c>
      <c r="I187" s="5">
        <f>G187-H187</f>
        <v>0</v>
      </c>
      <c r="J187" s="5">
        <f>F187-H187</f>
        <v>15</v>
      </c>
      <c r="K187" s="5">
        <f>IF(I187&gt;0,1,0)</f>
        <v>0</v>
      </c>
      <c r="L187" s="5">
        <f>IF(J187&lt;PuntoReorden,1,0)</f>
        <v>0</v>
      </c>
      <c r="M187" s="9">
        <f>PrecioVenta*H187</f>
        <v>3400000</v>
      </c>
      <c r="N187" s="9">
        <f>CostoUnitario*E187</f>
        <v>9000000</v>
      </c>
      <c r="O187" s="9">
        <f>IF(E187&gt;0,CostoPedido,0)</f>
        <v>40000</v>
      </c>
      <c r="P187" s="9">
        <f>CostoAlm*(F187+J187)/2</f>
        <v>1400</v>
      </c>
      <c r="Q187" s="9">
        <f>CostoFijo*D187</f>
        <v>0</v>
      </c>
      <c r="R187" s="9">
        <f>M187-N187-O187-P187-Q187</f>
        <v>-5641400</v>
      </c>
      <c r="S187" s="21">
        <f>PuntoReorden</f>
        <v>7</v>
      </c>
    </row>
    <row r="188">
      <c r="A188" s="5">
        <f>A187+1</f>
        <v>183</v>
      </c>
      <c r="B188" s="20">
        <f>B187+IF(WEEKDAY(B187,2)=6,2,1)</f>
        <v>46235</v>
      </c>
      <c r="C188" s="5">
        <f>MONTH(B188)</f>
        <v>8</v>
      </c>
      <c r="D188" s="5">
        <f>IF(C188&lt;&gt;C187,1,0)</f>
        <v>1</v>
      </c>
      <c r="E188" s="5">
        <f>IF(L187=1,CantPedido,0)</f>
        <v>0</v>
      </c>
      <c r="F188" s="5">
        <f>J187+E188</f>
        <v>15</v>
      </c>
      <c r="G188" s="5">
        <f>RANDBETWEEN(3,7)</f>
        <v>4</v>
      </c>
      <c r="H188" s="5">
        <f>MIN(F188,G188)</f>
        <v>4</v>
      </c>
      <c r="I188" s="5">
        <f>G188-H188</f>
        <v>0</v>
      </c>
      <c r="J188" s="5">
        <f>F188-H188</f>
        <v>11</v>
      </c>
      <c r="K188" s="5">
        <f>IF(I188&gt;0,1,0)</f>
        <v>0</v>
      </c>
      <c r="L188" s="5">
        <f>IF(J188&lt;PuntoReorden,1,0)</f>
        <v>0</v>
      </c>
      <c r="M188" s="9">
        <f>PrecioVenta*H188</f>
        <v>2720000</v>
      </c>
      <c r="N188" s="9">
        <f>CostoUnitario*E188</f>
        <v>0</v>
      </c>
      <c r="O188" s="9">
        <f>IF(E188&gt;0,CostoPedido,0)</f>
        <v>0</v>
      </c>
      <c r="P188" s="9">
        <f>CostoAlm*(F188+J188)/2</f>
        <v>1040</v>
      </c>
      <c r="Q188" s="9">
        <f>CostoFijo*D188</f>
        <v>1000000</v>
      </c>
      <c r="R188" s="9">
        <f>M188-N188-O188-P188-Q188</f>
        <v>1718960</v>
      </c>
      <c r="S188" s="21">
        <f>PuntoReorden</f>
        <v>7</v>
      </c>
    </row>
    <row r="189">
      <c r="A189" s="5">
        <f>A188+1</f>
        <v>184</v>
      </c>
      <c r="B189" s="20">
        <f>B188+IF(WEEKDAY(B188,2)=6,2,1)</f>
        <v>46237</v>
      </c>
      <c r="C189" s="5">
        <f>MONTH(B189)</f>
        <v>8</v>
      </c>
      <c r="D189" s="5">
        <f>IF(C189&lt;&gt;C188,1,0)</f>
        <v>0</v>
      </c>
      <c r="E189" s="5">
        <f>IF(L188=1,CantPedido,0)</f>
        <v>0</v>
      </c>
      <c r="F189" s="5">
        <f>J188+E189</f>
        <v>11</v>
      </c>
      <c r="G189" s="5">
        <f>RANDBETWEEN(3,7)</f>
        <v>5</v>
      </c>
      <c r="H189" s="5">
        <f>MIN(F189,G189)</f>
        <v>5</v>
      </c>
      <c r="I189" s="5">
        <f>G189-H189</f>
        <v>0</v>
      </c>
      <c r="J189" s="5">
        <f>F189-H189</f>
        <v>6</v>
      </c>
      <c r="K189" s="5">
        <f>IF(I189&gt;0,1,0)</f>
        <v>0</v>
      </c>
      <c r="L189" s="5">
        <f>IF(J189&lt;PuntoReorden,1,0)</f>
        <v>1</v>
      </c>
      <c r="M189" s="9">
        <f>PrecioVenta*H189</f>
        <v>3400000</v>
      </c>
      <c r="N189" s="9">
        <f>CostoUnitario*E189</f>
        <v>0</v>
      </c>
      <c r="O189" s="9">
        <f>IF(E189&gt;0,CostoPedido,0)</f>
        <v>0</v>
      </c>
      <c r="P189" s="9">
        <f>CostoAlm*(F189+J189)/2</f>
        <v>680</v>
      </c>
      <c r="Q189" s="9">
        <f>CostoFijo*D189</f>
        <v>0</v>
      </c>
      <c r="R189" s="9">
        <f>M189-N189-O189-P189-Q189</f>
        <v>3399320</v>
      </c>
      <c r="S189" s="21">
        <f>PuntoReorden</f>
        <v>7</v>
      </c>
    </row>
    <row r="190">
      <c r="A190" s="5">
        <f>A189+1</f>
        <v>185</v>
      </c>
      <c r="B190" s="20">
        <f>B189+IF(WEEKDAY(B189,2)=6,2,1)</f>
        <v>46238</v>
      </c>
      <c r="C190" s="5">
        <f>MONTH(B190)</f>
        <v>8</v>
      </c>
      <c r="D190" s="5">
        <f>IF(C190&lt;&gt;C189,1,0)</f>
        <v>0</v>
      </c>
      <c r="E190" s="5">
        <f>IF(L189=1,CantPedido,0)</f>
        <v>15</v>
      </c>
      <c r="F190" s="5">
        <f>J189+E190</f>
        <v>21</v>
      </c>
      <c r="G190" s="5">
        <f>RANDBETWEEN(3,7)</f>
        <v>3</v>
      </c>
      <c r="H190" s="5">
        <f>MIN(F190,G190)</f>
        <v>3</v>
      </c>
      <c r="I190" s="5">
        <f>G190-H190</f>
        <v>0</v>
      </c>
      <c r="J190" s="5">
        <f>F190-H190</f>
        <v>18</v>
      </c>
      <c r="K190" s="5">
        <f>IF(I190&gt;0,1,0)</f>
        <v>0</v>
      </c>
      <c r="L190" s="5">
        <f>IF(J190&lt;PuntoReorden,1,0)</f>
        <v>0</v>
      </c>
      <c r="M190" s="9">
        <f>PrecioVenta*H190</f>
        <v>2040000</v>
      </c>
      <c r="N190" s="9">
        <f>CostoUnitario*E190</f>
        <v>9000000</v>
      </c>
      <c r="O190" s="9">
        <f>IF(E190&gt;0,CostoPedido,0)</f>
        <v>40000</v>
      </c>
      <c r="P190" s="9">
        <f>CostoAlm*(F190+J190)/2</f>
        <v>1560</v>
      </c>
      <c r="Q190" s="9">
        <f>CostoFijo*D190</f>
        <v>0</v>
      </c>
      <c r="R190" s="9">
        <f>M190-N190-O190-P190-Q190</f>
        <v>-7001560</v>
      </c>
      <c r="S190" s="21">
        <f>PuntoReorden</f>
        <v>7</v>
      </c>
    </row>
    <row r="191">
      <c r="A191" s="5">
        <f>A190+1</f>
        <v>186</v>
      </c>
      <c r="B191" s="20">
        <f>B190+IF(WEEKDAY(B190,2)=6,2,1)</f>
        <v>46239</v>
      </c>
      <c r="C191" s="5">
        <f>MONTH(B191)</f>
        <v>8</v>
      </c>
      <c r="D191" s="5">
        <f>IF(C191&lt;&gt;C190,1,0)</f>
        <v>0</v>
      </c>
      <c r="E191" s="5">
        <f>IF(L190=1,CantPedido,0)</f>
        <v>0</v>
      </c>
      <c r="F191" s="5">
        <f>J190+E191</f>
        <v>18</v>
      </c>
      <c r="G191" s="5">
        <f>RANDBETWEEN(3,7)</f>
        <v>6</v>
      </c>
      <c r="H191" s="5">
        <f>MIN(F191,G191)</f>
        <v>6</v>
      </c>
      <c r="I191" s="5">
        <f>G191-H191</f>
        <v>0</v>
      </c>
      <c r="J191" s="5">
        <f>F191-H191</f>
        <v>12</v>
      </c>
      <c r="K191" s="5">
        <f>IF(I191&gt;0,1,0)</f>
        <v>0</v>
      </c>
      <c r="L191" s="5">
        <f>IF(J191&lt;PuntoReorden,1,0)</f>
        <v>0</v>
      </c>
      <c r="M191" s="9">
        <f>PrecioVenta*H191</f>
        <v>4080000</v>
      </c>
      <c r="N191" s="9">
        <f>CostoUnitario*E191</f>
        <v>0</v>
      </c>
      <c r="O191" s="9">
        <f>IF(E191&gt;0,CostoPedido,0)</f>
        <v>0</v>
      </c>
      <c r="P191" s="9">
        <f>CostoAlm*(F191+J191)/2</f>
        <v>1200</v>
      </c>
      <c r="Q191" s="9">
        <f>CostoFijo*D191</f>
        <v>0</v>
      </c>
      <c r="R191" s="9">
        <f>M191-N191-O191-P191-Q191</f>
        <v>4078800</v>
      </c>
      <c r="S191" s="21">
        <f>PuntoReorden</f>
        <v>7</v>
      </c>
    </row>
    <row r="192">
      <c r="A192" s="5">
        <f>A191+1</f>
        <v>187</v>
      </c>
      <c r="B192" s="20">
        <f>B191+IF(WEEKDAY(B191,2)=6,2,1)</f>
        <v>46240</v>
      </c>
      <c r="C192" s="5">
        <f>MONTH(B192)</f>
        <v>8</v>
      </c>
      <c r="D192" s="5">
        <f>IF(C192&lt;&gt;C191,1,0)</f>
        <v>0</v>
      </c>
      <c r="E192" s="5">
        <f>IF(L191=1,CantPedido,0)</f>
        <v>0</v>
      </c>
      <c r="F192" s="5">
        <f>J191+E192</f>
        <v>12</v>
      </c>
      <c r="G192" s="5">
        <f>RANDBETWEEN(3,7)</f>
        <v>6</v>
      </c>
      <c r="H192" s="5">
        <f>MIN(F192,G192)</f>
        <v>6</v>
      </c>
      <c r="I192" s="5">
        <f>G192-H192</f>
        <v>0</v>
      </c>
      <c r="J192" s="5">
        <f>F192-H192</f>
        <v>6</v>
      </c>
      <c r="K192" s="5">
        <f>IF(I192&gt;0,1,0)</f>
        <v>0</v>
      </c>
      <c r="L192" s="5">
        <f>IF(J192&lt;PuntoReorden,1,0)</f>
        <v>1</v>
      </c>
      <c r="M192" s="9">
        <f>PrecioVenta*H192</f>
        <v>4080000</v>
      </c>
      <c r="N192" s="9">
        <f>CostoUnitario*E192</f>
        <v>0</v>
      </c>
      <c r="O192" s="9">
        <f>IF(E192&gt;0,CostoPedido,0)</f>
        <v>0</v>
      </c>
      <c r="P192" s="9">
        <f>CostoAlm*(F192+J192)/2</f>
        <v>720</v>
      </c>
      <c r="Q192" s="9">
        <f>CostoFijo*D192</f>
        <v>0</v>
      </c>
      <c r="R192" s="9">
        <f>M192-N192-O192-P192-Q192</f>
        <v>4079280</v>
      </c>
      <c r="S192" s="21">
        <f>PuntoReorden</f>
        <v>7</v>
      </c>
    </row>
    <row r="193">
      <c r="A193" s="5">
        <f>A192+1</f>
        <v>188</v>
      </c>
      <c r="B193" s="20">
        <f>B192+IF(WEEKDAY(B192,2)=6,2,1)</f>
        <v>46241</v>
      </c>
      <c r="C193" s="5">
        <f>MONTH(B193)</f>
        <v>8</v>
      </c>
      <c r="D193" s="5">
        <f>IF(C193&lt;&gt;C192,1,0)</f>
        <v>0</v>
      </c>
      <c r="E193" s="5">
        <f>IF(L192=1,CantPedido,0)</f>
        <v>15</v>
      </c>
      <c r="F193" s="5">
        <f>J192+E193</f>
        <v>21</v>
      </c>
      <c r="G193" s="5">
        <f>RANDBETWEEN(3,7)</f>
        <v>5</v>
      </c>
      <c r="H193" s="5">
        <f>MIN(F193,G193)</f>
        <v>5</v>
      </c>
      <c r="I193" s="5">
        <f>G193-H193</f>
        <v>0</v>
      </c>
      <c r="J193" s="5">
        <f>F193-H193</f>
        <v>16</v>
      </c>
      <c r="K193" s="5">
        <f>IF(I193&gt;0,1,0)</f>
        <v>0</v>
      </c>
      <c r="L193" s="5">
        <f>IF(J193&lt;PuntoReorden,1,0)</f>
        <v>0</v>
      </c>
      <c r="M193" s="9">
        <f>PrecioVenta*H193</f>
        <v>3400000</v>
      </c>
      <c r="N193" s="9">
        <f>CostoUnitario*E193</f>
        <v>9000000</v>
      </c>
      <c r="O193" s="9">
        <f>IF(E193&gt;0,CostoPedido,0)</f>
        <v>40000</v>
      </c>
      <c r="P193" s="9">
        <f>CostoAlm*(F193+J193)/2</f>
        <v>1480</v>
      </c>
      <c r="Q193" s="9">
        <f>CostoFijo*D193</f>
        <v>0</v>
      </c>
      <c r="R193" s="9">
        <f>M193-N193-O193-P193-Q193</f>
        <v>-5641480</v>
      </c>
      <c r="S193" s="21">
        <f>PuntoReorden</f>
        <v>7</v>
      </c>
    </row>
    <row r="194">
      <c r="A194" s="5">
        <f>A193+1</f>
        <v>189</v>
      </c>
      <c r="B194" s="20">
        <f>B193+IF(WEEKDAY(B193,2)=6,2,1)</f>
        <v>46242</v>
      </c>
      <c r="C194" s="5">
        <f>MONTH(B194)</f>
        <v>8</v>
      </c>
      <c r="D194" s="5">
        <f>IF(C194&lt;&gt;C193,1,0)</f>
        <v>0</v>
      </c>
      <c r="E194" s="5">
        <f>IF(L193=1,CantPedido,0)</f>
        <v>0</v>
      </c>
      <c r="F194" s="5">
        <f>J193+E194</f>
        <v>16</v>
      </c>
      <c r="G194" s="5">
        <f>RANDBETWEEN(3,7)</f>
        <v>5</v>
      </c>
      <c r="H194" s="5">
        <f>MIN(F194,G194)</f>
        <v>5</v>
      </c>
      <c r="I194" s="5">
        <f>G194-H194</f>
        <v>0</v>
      </c>
      <c r="J194" s="5">
        <f>F194-H194</f>
        <v>11</v>
      </c>
      <c r="K194" s="5">
        <f>IF(I194&gt;0,1,0)</f>
        <v>0</v>
      </c>
      <c r="L194" s="5">
        <f>IF(J194&lt;PuntoReorden,1,0)</f>
        <v>0</v>
      </c>
      <c r="M194" s="9">
        <f>PrecioVenta*H194</f>
        <v>3400000</v>
      </c>
      <c r="N194" s="9">
        <f>CostoUnitario*E194</f>
        <v>0</v>
      </c>
      <c r="O194" s="9">
        <f>IF(E194&gt;0,CostoPedido,0)</f>
        <v>0</v>
      </c>
      <c r="P194" s="9">
        <f>CostoAlm*(F194+J194)/2</f>
        <v>1080</v>
      </c>
      <c r="Q194" s="9">
        <f>CostoFijo*D194</f>
        <v>0</v>
      </c>
      <c r="R194" s="9">
        <f>M194-N194-O194-P194-Q194</f>
        <v>3398920</v>
      </c>
      <c r="S194" s="21">
        <f>PuntoReorden</f>
        <v>7</v>
      </c>
    </row>
    <row r="195">
      <c r="A195" s="5">
        <f>A194+1</f>
        <v>190</v>
      </c>
      <c r="B195" s="20">
        <f>B194+IF(WEEKDAY(B194,2)=6,2,1)</f>
        <v>46244</v>
      </c>
      <c r="C195" s="5">
        <f>MONTH(B195)</f>
        <v>8</v>
      </c>
      <c r="D195" s="5">
        <f>IF(C195&lt;&gt;C194,1,0)</f>
        <v>0</v>
      </c>
      <c r="E195" s="5">
        <f>IF(L194=1,CantPedido,0)</f>
        <v>0</v>
      </c>
      <c r="F195" s="5">
        <f>J194+E195</f>
        <v>11</v>
      </c>
      <c r="G195" s="5">
        <f>RANDBETWEEN(3,7)</f>
        <v>6</v>
      </c>
      <c r="H195" s="5">
        <f>MIN(F195,G195)</f>
        <v>6</v>
      </c>
      <c r="I195" s="5">
        <f>G195-H195</f>
        <v>0</v>
      </c>
      <c r="J195" s="5">
        <f>F195-H195</f>
        <v>5</v>
      </c>
      <c r="K195" s="5">
        <f>IF(I195&gt;0,1,0)</f>
        <v>0</v>
      </c>
      <c r="L195" s="5">
        <f>IF(J195&lt;PuntoReorden,1,0)</f>
        <v>1</v>
      </c>
      <c r="M195" s="9">
        <f>PrecioVenta*H195</f>
        <v>4080000</v>
      </c>
      <c r="N195" s="9">
        <f>CostoUnitario*E195</f>
        <v>0</v>
      </c>
      <c r="O195" s="9">
        <f>IF(E195&gt;0,CostoPedido,0)</f>
        <v>0</v>
      </c>
      <c r="P195" s="9">
        <f>CostoAlm*(F195+J195)/2</f>
        <v>640</v>
      </c>
      <c r="Q195" s="9">
        <f>CostoFijo*D195</f>
        <v>0</v>
      </c>
      <c r="R195" s="9">
        <f>M195-N195-O195-P195-Q195</f>
        <v>4079360</v>
      </c>
      <c r="S195" s="21">
        <f>PuntoReorden</f>
        <v>7</v>
      </c>
    </row>
    <row r="196">
      <c r="A196" s="5">
        <f>A195+1</f>
        <v>191</v>
      </c>
      <c r="B196" s="20">
        <f>B195+IF(WEEKDAY(B195,2)=6,2,1)</f>
        <v>46245</v>
      </c>
      <c r="C196" s="5">
        <f>MONTH(B196)</f>
        <v>8</v>
      </c>
      <c r="D196" s="5">
        <f>IF(C196&lt;&gt;C195,1,0)</f>
        <v>0</v>
      </c>
      <c r="E196" s="5">
        <f>IF(L195=1,CantPedido,0)</f>
        <v>15</v>
      </c>
      <c r="F196" s="5">
        <f>J195+E196</f>
        <v>20</v>
      </c>
      <c r="G196" s="5">
        <f>RANDBETWEEN(3,7)</f>
        <v>6</v>
      </c>
      <c r="H196" s="5">
        <f>MIN(F196,G196)</f>
        <v>6</v>
      </c>
      <c r="I196" s="5">
        <f>G196-H196</f>
        <v>0</v>
      </c>
      <c r="J196" s="5">
        <f>F196-H196</f>
        <v>14</v>
      </c>
      <c r="K196" s="5">
        <f>IF(I196&gt;0,1,0)</f>
        <v>0</v>
      </c>
      <c r="L196" s="5">
        <f>IF(J196&lt;PuntoReorden,1,0)</f>
        <v>0</v>
      </c>
      <c r="M196" s="9">
        <f>PrecioVenta*H196</f>
        <v>4080000</v>
      </c>
      <c r="N196" s="9">
        <f>CostoUnitario*E196</f>
        <v>9000000</v>
      </c>
      <c r="O196" s="9">
        <f>IF(E196&gt;0,CostoPedido,0)</f>
        <v>40000</v>
      </c>
      <c r="P196" s="9">
        <f>CostoAlm*(F196+J196)/2</f>
        <v>1360</v>
      </c>
      <c r="Q196" s="9">
        <f>CostoFijo*D196</f>
        <v>0</v>
      </c>
      <c r="R196" s="9">
        <f>M196-N196-O196-P196-Q196</f>
        <v>-4961360</v>
      </c>
      <c r="S196" s="21">
        <f>PuntoReorden</f>
        <v>7</v>
      </c>
    </row>
    <row r="197">
      <c r="A197" s="5">
        <f>A196+1</f>
        <v>192</v>
      </c>
      <c r="B197" s="20">
        <f>B196+IF(WEEKDAY(B196,2)=6,2,1)</f>
        <v>46246</v>
      </c>
      <c r="C197" s="5">
        <f>MONTH(B197)</f>
        <v>8</v>
      </c>
      <c r="D197" s="5">
        <f>IF(C197&lt;&gt;C196,1,0)</f>
        <v>0</v>
      </c>
      <c r="E197" s="5">
        <f>IF(L196=1,CantPedido,0)</f>
        <v>0</v>
      </c>
      <c r="F197" s="5">
        <f>J196+E197</f>
        <v>14</v>
      </c>
      <c r="G197" s="5">
        <f>RANDBETWEEN(3,7)</f>
        <v>7</v>
      </c>
      <c r="H197" s="5">
        <f>MIN(F197,G197)</f>
        <v>7</v>
      </c>
      <c r="I197" s="5">
        <f>G197-H197</f>
        <v>0</v>
      </c>
      <c r="J197" s="5">
        <f>F197-H197</f>
        <v>7</v>
      </c>
      <c r="K197" s="5">
        <f>IF(I197&gt;0,1,0)</f>
        <v>0</v>
      </c>
      <c r="L197" s="5">
        <f>IF(J197&lt;PuntoReorden,1,0)</f>
        <v>0</v>
      </c>
      <c r="M197" s="9">
        <f>PrecioVenta*H197</f>
        <v>4760000</v>
      </c>
      <c r="N197" s="9">
        <f>CostoUnitario*E197</f>
        <v>0</v>
      </c>
      <c r="O197" s="9">
        <f>IF(E197&gt;0,CostoPedido,0)</f>
        <v>0</v>
      </c>
      <c r="P197" s="9">
        <f>CostoAlm*(F197+J197)/2</f>
        <v>840</v>
      </c>
      <c r="Q197" s="9">
        <f>CostoFijo*D197</f>
        <v>0</v>
      </c>
      <c r="R197" s="9">
        <f>M197-N197-O197-P197-Q197</f>
        <v>4759160</v>
      </c>
      <c r="S197" s="21">
        <f>PuntoReorden</f>
        <v>7</v>
      </c>
    </row>
    <row r="198">
      <c r="A198" s="5">
        <f>A197+1</f>
        <v>193</v>
      </c>
      <c r="B198" s="20">
        <f>B197+IF(WEEKDAY(B197,2)=6,2,1)</f>
        <v>46247</v>
      </c>
      <c r="C198" s="5">
        <f>MONTH(B198)</f>
        <v>8</v>
      </c>
      <c r="D198" s="5">
        <f>IF(C198&lt;&gt;C197,1,0)</f>
        <v>0</v>
      </c>
      <c r="E198" s="5">
        <f>IF(L197=1,CantPedido,0)</f>
        <v>0</v>
      </c>
      <c r="F198" s="5">
        <f>J197+E198</f>
        <v>7</v>
      </c>
      <c r="G198" s="5">
        <f>RANDBETWEEN(3,7)</f>
        <v>3</v>
      </c>
      <c r="H198" s="5">
        <f>MIN(F198,G198)</f>
        <v>3</v>
      </c>
      <c r="I198" s="5">
        <f>G198-H198</f>
        <v>0</v>
      </c>
      <c r="J198" s="5">
        <f>F198-H198</f>
        <v>4</v>
      </c>
      <c r="K198" s="5">
        <f>IF(I198&gt;0,1,0)</f>
        <v>0</v>
      </c>
      <c r="L198" s="5">
        <f>IF(J198&lt;PuntoReorden,1,0)</f>
        <v>1</v>
      </c>
      <c r="M198" s="9">
        <f>PrecioVenta*H198</f>
        <v>2040000</v>
      </c>
      <c r="N198" s="9">
        <f>CostoUnitario*E198</f>
        <v>0</v>
      </c>
      <c r="O198" s="9">
        <f>IF(E198&gt;0,CostoPedido,0)</f>
        <v>0</v>
      </c>
      <c r="P198" s="9">
        <f>CostoAlm*(F198+J198)/2</f>
        <v>440</v>
      </c>
      <c r="Q198" s="9">
        <f>CostoFijo*D198</f>
        <v>0</v>
      </c>
      <c r="R198" s="9">
        <f>M198-N198-O198-P198-Q198</f>
        <v>2039560</v>
      </c>
      <c r="S198" s="21">
        <f>PuntoReorden</f>
        <v>7</v>
      </c>
    </row>
    <row r="199">
      <c r="A199" s="5">
        <f>A198+1</f>
        <v>194</v>
      </c>
      <c r="B199" s="20">
        <f>B198+IF(WEEKDAY(B198,2)=6,2,1)</f>
        <v>46248</v>
      </c>
      <c r="C199" s="5">
        <f>MONTH(B199)</f>
        <v>8</v>
      </c>
      <c r="D199" s="5">
        <f>IF(C199&lt;&gt;C198,1,0)</f>
        <v>0</v>
      </c>
      <c r="E199" s="5">
        <f>IF(L198=1,CantPedido,0)</f>
        <v>15</v>
      </c>
      <c r="F199" s="5">
        <f>J198+E199</f>
        <v>19</v>
      </c>
      <c r="G199" s="5">
        <f>RANDBETWEEN(3,7)</f>
        <v>3</v>
      </c>
      <c r="H199" s="5">
        <f>MIN(F199,G199)</f>
        <v>3</v>
      </c>
      <c r="I199" s="5">
        <f>G199-H199</f>
        <v>0</v>
      </c>
      <c r="J199" s="5">
        <f>F199-H199</f>
        <v>16</v>
      </c>
      <c r="K199" s="5">
        <f>IF(I199&gt;0,1,0)</f>
        <v>0</v>
      </c>
      <c r="L199" s="5">
        <f>IF(J199&lt;PuntoReorden,1,0)</f>
        <v>0</v>
      </c>
      <c r="M199" s="9">
        <f>PrecioVenta*H199</f>
        <v>2040000</v>
      </c>
      <c r="N199" s="9">
        <f>CostoUnitario*E199</f>
        <v>9000000</v>
      </c>
      <c r="O199" s="9">
        <f>IF(E199&gt;0,CostoPedido,0)</f>
        <v>40000</v>
      </c>
      <c r="P199" s="9">
        <f>CostoAlm*(F199+J199)/2</f>
        <v>1400</v>
      </c>
      <c r="Q199" s="9">
        <f>CostoFijo*D199</f>
        <v>0</v>
      </c>
      <c r="R199" s="9">
        <f>M199-N199-O199-P199-Q199</f>
        <v>-7001400</v>
      </c>
      <c r="S199" s="21">
        <f>PuntoReorden</f>
        <v>7</v>
      </c>
    </row>
    <row r="200">
      <c r="A200" s="5">
        <f>A199+1</f>
        <v>195</v>
      </c>
      <c r="B200" s="20">
        <f>B199+IF(WEEKDAY(B199,2)=6,2,1)</f>
        <v>46249</v>
      </c>
      <c r="C200" s="5">
        <f>MONTH(B200)</f>
        <v>8</v>
      </c>
      <c r="D200" s="5">
        <f>IF(C200&lt;&gt;C199,1,0)</f>
        <v>0</v>
      </c>
      <c r="E200" s="5">
        <f>IF(L199=1,CantPedido,0)</f>
        <v>0</v>
      </c>
      <c r="F200" s="5">
        <f>J199+E200</f>
        <v>16</v>
      </c>
      <c r="G200" s="5">
        <f>RANDBETWEEN(3,7)</f>
        <v>4</v>
      </c>
      <c r="H200" s="5">
        <f>MIN(F200,G200)</f>
        <v>4</v>
      </c>
      <c r="I200" s="5">
        <f>G200-H200</f>
        <v>0</v>
      </c>
      <c r="J200" s="5">
        <f>F200-H200</f>
        <v>12</v>
      </c>
      <c r="K200" s="5">
        <f>IF(I200&gt;0,1,0)</f>
        <v>0</v>
      </c>
      <c r="L200" s="5">
        <f>IF(J200&lt;PuntoReorden,1,0)</f>
        <v>0</v>
      </c>
      <c r="M200" s="9">
        <f>PrecioVenta*H200</f>
        <v>2720000</v>
      </c>
      <c r="N200" s="9">
        <f>CostoUnitario*E200</f>
        <v>0</v>
      </c>
      <c r="O200" s="9">
        <f>IF(E200&gt;0,CostoPedido,0)</f>
        <v>0</v>
      </c>
      <c r="P200" s="9">
        <f>CostoAlm*(F200+J200)/2</f>
        <v>1120</v>
      </c>
      <c r="Q200" s="9">
        <f>CostoFijo*D200</f>
        <v>0</v>
      </c>
      <c r="R200" s="9">
        <f>M200-N200-O200-P200-Q200</f>
        <v>2718880</v>
      </c>
      <c r="S200" s="21">
        <f>PuntoReorden</f>
        <v>7</v>
      </c>
    </row>
    <row r="201">
      <c r="A201" s="5">
        <f>A200+1</f>
        <v>196</v>
      </c>
      <c r="B201" s="20">
        <f>B200+IF(WEEKDAY(B200,2)=6,2,1)</f>
        <v>46251</v>
      </c>
      <c r="C201" s="5">
        <f>MONTH(B201)</f>
        <v>8</v>
      </c>
      <c r="D201" s="5">
        <f>IF(C201&lt;&gt;C200,1,0)</f>
        <v>0</v>
      </c>
      <c r="E201" s="5">
        <f>IF(L200=1,CantPedido,0)</f>
        <v>0</v>
      </c>
      <c r="F201" s="5">
        <f>J200+E201</f>
        <v>12</v>
      </c>
      <c r="G201" s="5">
        <f>RANDBETWEEN(3,7)</f>
        <v>3</v>
      </c>
      <c r="H201" s="5">
        <f>MIN(F201,G201)</f>
        <v>3</v>
      </c>
      <c r="I201" s="5">
        <f>G201-H201</f>
        <v>0</v>
      </c>
      <c r="J201" s="5">
        <f>F201-H201</f>
        <v>9</v>
      </c>
      <c r="K201" s="5">
        <f>IF(I201&gt;0,1,0)</f>
        <v>0</v>
      </c>
      <c r="L201" s="5">
        <f>IF(J201&lt;PuntoReorden,1,0)</f>
        <v>0</v>
      </c>
      <c r="M201" s="9">
        <f>PrecioVenta*H201</f>
        <v>2040000</v>
      </c>
      <c r="N201" s="9">
        <f>CostoUnitario*E201</f>
        <v>0</v>
      </c>
      <c r="O201" s="9">
        <f>IF(E201&gt;0,CostoPedido,0)</f>
        <v>0</v>
      </c>
      <c r="P201" s="9">
        <f>CostoAlm*(F201+J201)/2</f>
        <v>840</v>
      </c>
      <c r="Q201" s="9">
        <f>CostoFijo*D201</f>
        <v>0</v>
      </c>
      <c r="R201" s="9">
        <f>M201-N201-O201-P201-Q201</f>
        <v>2039160</v>
      </c>
      <c r="S201" s="21">
        <f>PuntoReorden</f>
        <v>7</v>
      </c>
    </row>
    <row r="202">
      <c r="A202" s="5">
        <f>A201+1</f>
        <v>197</v>
      </c>
      <c r="B202" s="20">
        <f>B201+IF(WEEKDAY(B201,2)=6,2,1)</f>
        <v>46252</v>
      </c>
      <c r="C202" s="5">
        <f>MONTH(B202)</f>
        <v>8</v>
      </c>
      <c r="D202" s="5">
        <f>IF(C202&lt;&gt;C201,1,0)</f>
        <v>0</v>
      </c>
      <c r="E202" s="5">
        <f>IF(L201=1,CantPedido,0)</f>
        <v>0</v>
      </c>
      <c r="F202" s="5">
        <f>J201+E202</f>
        <v>9</v>
      </c>
      <c r="G202" s="5">
        <f>RANDBETWEEN(3,7)</f>
        <v>3</v>
      </c>
      <c r="H202" s="5">
        <f>MIN(F202,G202)</f>
        <v>3</v>
      </c>
      <c r="I202" s="5">
        <f>G202-H202</f>
        <v>0</v>
      </c>
      <c r="J202" s="5">
        <f>F202-H202</f>
        <v>6</v>
      </c>
      <c r="K202" s="5">
        <f>IF(I202&gt;0,1,0)</f>
        <v>0</v>
      </c>
      <c r="L202" s="5">
        <f>IF(J202&lt;PuntoReorden,1,0)</f>
        <v>1</v>
      </c>
      <c r="M202" s="9">
        <f>PrecioVenta*H202</f>
        <v>2040000</v>
      </c>
      <c r="N202" s="9">
        <f>CostoUnitario*E202</f>
        <v>0</v>
      </c>
      <c r="O202" s="9">
        <f>IF(E202&gt;0,CostoPedido,0)</f>
        <v>0</v>
      </c>
      <c r="P202" s="9">
        <f>CostoAlm*(F202+J202)/2</f>
        <v>600</v>
      </c>
      <c r="Q202" s="9">
        <f>CostoFijo*D202</f>
        <v>0</v>
      </c>
      <c r="R202" s="9">
        <f>M202-N202-O202-P202-Q202</f>
        <v>2039400</v>
      </c>
      <c r="S202" s="21">
        <f>PuntoReorden</f>
        <v>7</v>
      </c>
    </row>
    <row r="203">
      <c r="A203" s="5">
        <f>A202+1</f>
        <v>198</v>
      </c>
      <c r="B203" s="20">
        <f>B202+IF(WEEKDAY(B202,2)=6,2,1)</f>
        <v>46253</v>
      </c>
      <c r="C203" s="5">
        <f>MONTH(B203)</f>
        <v>8</v>
      </c>
      <c r="D203" s="5">
        <f>IF(C203&lt;&gt;C202,1,0)</f>
        <v>0</v>
      </c>
      <c r="E203" s="5">
        <f>IF(L202=1,CantPedido,0)</f>
        <v>15</v>
      </c>
      <c r="F203" s="5">
        <f>J202+E203</f>
        <v>21</v>
      </c>
      <c r="G203" s="5">
        <f>RANDBETWEEN(3,7)</f>
        <v>3</v>
      </c>
      <c r="H203" s="5">
        <f>MIN(F203,G203)</f>
        <v>3</v>
      </c>
      <c r="I203" s="5">
        <f>G203-H203</f>
        <v>0</v>
      </c>
      <c r="J203" s="5">
        <f>F203-H203</f>
        <v>18</v>
      </c>
      <c r="K203" s="5">
        <f>IF(I203&gt;0,1,0)</f>
        <v>0</v>
      </c>
      <c r="L203" s="5">
        <f>IF(J203&lt;PuntoReorden,1,0)</f>
        <v>0</v>
      </c>
      <c r="M203" s="9">
        <f>PrecioVenta*H203</f>
        <v>2040000</v>
      </c>
      <c r="N203" s="9">
        <f>CostoUnitario*E203</f>
        <v>9000000</v>
      </c>
      <c r="O203" s="9">
        <f>IF(E203&gt;0,CostoPedido,0)</f>
        <v>40000</v>
      </c>
      <c r="P203" s="9">
        <f>CostoAlm*(F203+J203)/2</f>
        <v>1560</v>
      </c>
      <c r="Q203" s="9">
        <f>CostoFijo*D203</f>
        <v>0</v>
      </c>
      <c r="R203" s="9">
        <f>M203-N203-O203-P203-Q203</f>
        <v>-7001560</v>
      </c>
      <c r="S203" s="21">
        <f>PuntoReorden</f>
        <v>7</v>
      </c>
    </row>
    <row r="204">
      <c r="A204" s="5">
        <f>A203+1</f>
        <v>199</v>
      </c>
      <c r="B204" s="20">
        <f>B203+IF(WEEKDAY(B203,2)=6,2,1)</f>
        <v>46254</v>
      </c>
      <c r="C204" s="5">
        <f>MONTH(B204)</f>
        <v>8</v>
      </c>
      <c r="D204" s="5">
        <f>IF(C204&lt;&gt;C203,1,0)</f>
        <v>0</v>
      </c>
      <c r="E204" s="5">
        <f>IF(L203=1,CantPedido,0)</f>
        <v>0</v>
      </c>
      <c r="F204" s="5">
        <f>J203+E204</f>
        <v>18</v>
      </c>
      <c r="G204" s="5">
        <f>RANDBETWEEN(3,7)</f>
        <v>6</v>
      </c>
      <c r="H204" s="5">
        <f>MIN(F204,G204)</f>
        <v>6</v>
      </c>
      <c r="I204" s="5">
        <f>G204-H204</f>
        <v>0</v>
      </c>
      <c r="J204" s="5">
        <f>F204-H204</f>
        <v>12</v>
      </c>
      <c r="K204" s="5">
        <f>IF(I204&gt;0,1,0)</f>
        <v>0</v>
      </c>
      <c r="L204" s="5">
        <f>IF(J204&lt;PuntoReorden,1,0)</f>
        <v>0</v>
      </c>
      <c r="M204" s="9">
        <f>PrecioVenta*H204</f>
        <v>4080000</v>
      </c>
      <c r="N204" s="9">
        <f>CostoUnitario*E204</f>
        <v>0</v>
      </c>
      <c r="O204" s="9">
        <f>IF(E204&gt;0,CostoPedido,0)</f>
        <v>0</v>
      </c>
      <c r="P204" s="9">
        <f>CostoAlm*(F204+J204)/2</f>
        <v>1200</v>
      </c>
      <c r="Q204" s="9">
        <f>CostoFijo*D204</f>
        <v>0</v>
      </c>
      <c r="R204" s="9">
        <f>M204-N204-O204-P204-Q204</f>
        <v>4078800</v>
      </c>
      <c r="S204" s="21">
        <f>PuntoReorden</f>
        <v>7</v>
      </c>
    </row>
    <row r="205">
      <c r="A205" s="5">
        <f>A204+1</f>
        <v>200</v>
      </c>
      <c r="B205" s="20">
        <f>B204+IF(WEEKDAY(B204,2)=6,2,1)</f>
        <v>46255</v>
      </c>
      <c r="C205" s="5">
        <f>MONTH(B205)</f>
        <v>8</v>
      </c>
      <c r="D205" s="5">
        <f>IF(C205&lt;&gt;C204,1,0)</f>
        <v>0</v>
      </c>
      <c r="E205" s="5">
        <f>IF(L204=1,CantPedido,0)</f>
        <v>0</v>
      </c>
      <c r="F205" s="5">
        <f>J204+E205</f>
        <v>12</v>
      </c>
      <c r="G205" s="5">
        <f>RANDBETWEEN(3,7)</f>
        <v>7</v>
      </c>
      <c r="H205" s="5">
        <f>MIN(F205,G205)</f>
        <v>7</v>
      </c>
      <c r="I205" s="5">
        <f>G205-H205</f>
        <v>0</v>
      </c>
      <c r="J205" s="5">
        <f>F205-H205</f>
        <v>5</v>
      </c>
      <c r="K205" s="5">
        <f>IF(I205&gt;0,1,0)</f>
        <v>0</v>
      </c>
      <c r="L205" s="5">
        <f>IF(J205&lt;PuntoReorden,1,0)</f>
        <v>1</v>
      </c>
      <c r="M205" s="9">
        <f>PrecioVenta*H205</f>
        <v>4760000</v>
      </c>
      <c r="N205" s="9">
        <f>CostoUnitario*E205</f>
        <v>0</v>
      </c>
      <c r="O205" s="9">
        <f>IF(E205&gt;0,CostoPedido,0)</f>
        <v>0</v>
      </c>
      <c r="P205" s="9">
        <f>CostoAlm*(F205+J205)/2</f>
        <v>680</v>
      </c>
      <c r="Q205" s="9">
        <f>CostoFijo*D205</f>
        <v>0</v>
      </c>
      <c r="R205" s="9">
        <f>M205-N205-O205-P205-Q205</f>
        <v>4759320</v>
      </c>
      <c r="S205" s="21">
        <f>PuntoReorden</f>
        <v>7</v>
      </c>
    </row>
    <row r="206">
      <c r="A206" s="5">
        <f>A205+1</f>
        <v>201</v>
      </c>
      <c r="B206" s="20">
        <f>B205+IF(WEEKDAY(B205,2)=6,2,1)</f>
        <v>46256</v>
      </c>
      <c r="C206" s="5">
        <f>MONTH(B206)</f>
        <v>8</v>
      </c>
      <c r="D206" s="5">
        <f>IF(C206&lt;&gt;C205,1,0)</f>
        <v>0</v>
      </c>
      <c r="E206" s="5">
        <f>IF(L205=1,CantPedido,0)</f>
        <v>15</v>
      </c>
      <c r="F206" s="5">
        <f>J205+E206</f>
        <v>20</v>
      </c>
      <c r="G206" s="5">
        <f>RANDBETWEEN(3,7)</f>
        <v>7</v>
      </c>
      <c r="H206" s="5">
        <f>MIN(F206,G206)</f>
        <v>7</v>
      </c>
      <c r="I206" s="5">
        <f>G206-H206</f>
        <v>0</v>
      </c>
      <c r="J206" s="5">
        <f>F206-H206</f>
        <v>13</v>
      </c>
      <c r="K206" s="5">
        <f>IF(I206&gt;0,1,0)</f>
        <v>0</v>
      </c>
      <c r="L206" s="5">
        <f>IF(J206&lt;PuntoReorden,1,0)</f>
        <v>0</v>
      </c>
      <c r="M206" s="9">
        <f>PrecioVenta*H206</f>
        <v>4760000</v>
      </c>
      <c r="N206" s="9">
        <f>CostoUnitario*E206</f>
        <v>9000000</v>
      </c>
      <c r="O206" s="9">
        <f>IF(E206&gt;0,CostoPedido,0)</f>
        <v>40000</v>
      </c>
      <c r="P206" s="9">
        <f>CostoAlm*(F206+J206)/2</f>
        <v>1320</v>
      </c>
      <c r="Q206" s="9">
        <f>CostoFijo*D206</f>
        <v>0</v>
      </c>
      <c r="R206" s="9">
        <f>M206-N206-O206-P206-Q206</f>
        <v>-4281320</v>
      </c>
      <c r="S206" s="21">
        <f>PuntoReorden</f>
        <v>7</v>
      </c>
    </row>
    <row r="207">
      <c r="A207" s="5">
        <f>A206+1</f>
        <v>202</v>
      </c>
      <c r="B207" s="20">
        <f>B206+IF(WEEKDAY(B206,2)=6,2,1)</f>
        <v>46258</v>
      </c>
      <c r="C207" s="5">
        <f>MONTH(B207)</f>
        <v>8</v>
      </c>
      <c r="D207" s="5">
        <f>IF(C207&lt;&gt;C206,1,0)</f>
        <v>0</v>
      </c>
      <c r="E207" s="5">
        <f>IF(L206=1,CantPedido,0)</f>
        <v>0</v>
      </c>
      <c r="F207" s="5">
        <f>J206+E207</f>
        <v>13</v>
      </c>
      <c r="G207" s="5">
        <f>RANDBETWEEN(3,7)</f>
        <v>6</v>
      </c>
      <c r="H207" s="5">
        <f>MIN(F207,G207)</f>
        <v>6</v>
      </c>
      <c r="I207" s="5">
        <f>G207-H207</f>
        <v>0</v>
      </c>
      <c r="J207" s="5">
        <f>F207-H207</f>
        <v>7</v>
      </c>
      <c r="K207" s="5">
        <f>IF(I207&gt;0,1,0)</f>
        <v>0</v>
      </c>
      <c r="L207" s="5">
        <f>IF(J207&lt;PuntoReorden,1,0)</f>
        <v>0</v>
      </c>
      <c r="M207" s="9">
        <f>PrecioVenta*H207</f>
        <v>4080000</v>
      </c>
      <c r="N207" s="9">
        <f>CostoUnitario*E207</f>
        <v>0</v>
      </c>
      <c r="O207" s="9">
        <f>IF(E207&gt;0,CostoPedido,0)</f>
        <v>0</v>
      </c>
      <c r="P207" s="9">
        <f>CostoAlm*(F207+J207)/2</f>
        <v>800</v>
      </c>
      <c r="Q207" s="9">
        <f>CostoFijo*D207</f>
        <v>0</v>
      </c>
      <c r="R207" s="9">
        <f>M207-N207-O207-P207-Q207</f>
        <v>4079200</v>
      </c>
      <c r="S207" s="21">
        <f>PuntoReorden</f>
        <v>7</v>
      </c>
    </row>
    <row r="208">
      <c r="A208" s="5">
        <f>A207+1</f>
        <v>203</v>
      </c>
      <c r="B208" s="20">
        <f>B207+IF(WEEKDAY(B207,2)=6,2,1)</f>
        <v>46259</v>
      </c>
      <c r="C208" s="5">
        <f>MONTH(B208)</f>
        <v>8</v>
      </c>
      <c r="D208" s="5">
        <f>IF(C208&lt;&gt;C207,1,0)</f>
        <v>0</v>
      </c>
      <c r="E208" s="5">
        <f>IF(L207=1,CantPedido,0)</f>
        <v>0</v>
      </c>
      <c r="F208" s="5">
        <f>J207+E208</f>
        <v>7</v>
      </c>
      <c r="G208" s="5">
        <f>RANDBETWEEN(3,7)</f>
        <v>4</v>
      </c>
      <c r="H208" s="5">
        <f>MIN(F208,G208)</f>
        <v>4</v>
      </c>
      <c r="I208" s="5">
        <f>G208-H208</f>
        <v>0</v>
      </c>
      <c r="J208" s="5">
        <f>F208-H208</f>
        <v>3</v>
      </c>
      <c r="K208" s="5">
        <f>IF(I208&gt;0,1,0)</f>
        <v>0</v>
      </c>
      <c r="L208" s="5">
        <f>IF(J208&lt;PuntoReorden,1,0)</f>
        <v>1</v>
      </c>
      <c r="M208" s="9">
        <f>PrecioVenta*H208</f>
        <v>2720000</v>
      </c>
      <c r="N208" s="9">
        <f>CostoUnitario*E208</f>
        <v>0</v>
      </c>
      <c r="O208" s="9">
        <f>IF(E208&gt;0,CostoPedido,0)</f>
        <v>0</v>
      </c>
      <c r="P208" s="9">
        <f>CostoAlm*(F208+J208)/2</f>
        <v>400</v>
      </c>
      <c r="Q208" s="9">
        <f>CostoFijo*D208</f>
        <v>0</v>
      </c>
      <c r="R208" s="9">
        <f>M208-N208-O208-P208-Q208</f>
        <v>2719600</v>
      </c>
      <c r="S208" s="21">
        <f>PuntoReorden</f>
        <v>7</v>
      </c>
    </row>
    <row r="209">
      <c r="A209" s="5">
        <f>A208+1</f>
        <v>204</v>
      </c>
      <c r="B209" s="20">
        <f>B208+IF(WEEKDAY(B208,2)=6,2,1)</f>
        <v>46260</v>
      </c>
      <c r="C209" s="5">
        <f>MONTH(B209)</f>
        <v>8</v>
      </c>
      <c r="D209" s="5">
        <f>IF(C209&lt;&gt;C208,1,0)</f>
        <v>0</v>
      </c>
      <c r="E209" s="5">
        <f>IF(L208=1,CantPedido,0)</f>
        <v>15</v>
      </c>
      <c r="F209" s="5">
        <f>J208+E209</f>
        <v>18</v>
      </c>
      <c r="G209" s="5">
        <f>RANDBETWEEN(3,7)</f>
        <v>7</v>
      </c>
      <c r="H209" s="5">
        <f>MIN(F209,G209)</f>
        <v>7</v>
      </c>
      <c r="I209" s="5">
        <f>G209-H209</f>
        <v>0</v>
      </c>
      <c r="J209" s="5">
        <f>F209-H209</f>
        <v>11</v>
      </c>
      <c r="K209" s="5">
        <f>IF(I209&gt;0,1,0)</f>
        <v>0</v>
      </c>
      <c r="L209" s="5">
        <f>IF(J209&lt;PuntoReorden,1,0)</f>
        <v>0</v>
      </c>
      <c r="M209" s="9">
        <f>PrecioVenta*H209</f>
        <v>4760000</v>
      </c>
      <c r="N209" s="9">
        <f>CostoUnitario*E209</f>
        <v>9000000</v>
      </c>
      <c r="O209" s="9">
        <f>IF(E209&gt;0,CostoPedido,0)</f>
        <v>40000</v>
      </c>
      <c r="P209" s="9">
        <f>CostoAlm*(F209+J209)/2</f>
        <v>1160</v>
      </c>
      <c r="Q209" s="9">
        <f>CostoFijo*D209</f>
        <v>0</v>
      </c>
      <c r="R209" s="9">
        <f>M209-N209-O209-P209-Q209</f>
        <v>-4281160</v>
      </c>
      <c r="S209" s="21">
        <f>PuntoReorden</f>
        <v>7</v>
      </c>
    </row>
    <row r="210">
      <c r="A210" s="5">
        <f>A209+1</f>
        <v>205</v>
      </c>
      <c r="B210" s="20">
        <f>B209+IF(WEEKDAY(B209,2)=6,2,1)</f>
        <v>46261</v>
      </c>
      <c r="C210" s="5">
        <f>MONTH(B210)</f>
        <v>8</v>
      </c>
      <c r="D210" s="5">
        <f>IF(C210&lt;&gt;C209,1,0)</f>
        <v>0</v>
      </c>
      <c r="E210" s="5">
        <f>IF(L209=1,CantPedido,0)</f>
        <v>0</v>
      </c>
      <c r="F210" s="5">
        <f>J209+E210</f>
        <v>11</v>
      </c>
      <c r="G210" s="5">
        <f>RANDBETWEEN(3,7)</f>
        <v>6</v>
      </c>
      <c r="H210" s="5">
        <f>MIN(F210,G210)</f>
        <v>6</v>
      </c>
      <c r="I210" s="5">
        <f>G210-H210</f>
        <v>0</v>
      </c>
      <c r="J210" s="5">
        <f>F210-H210</f>
        <v>5</v>
      </c>
      <c r="K210" s="5">
        <f>IF(I210&gt;0,1,0)</f>
        <v>0</v>
      </c>
      <c r="L210" s="5">
        <f>IF(J210&lt;PuntoReorden,1,0)</f>
        <v>1</v>
      </c>
      <c r="M210" s="9">
        <f>PrecioVenta*H210</f>
        <v>4080000</v>
      </c>
      <c r="N210" s="9">
        <f>CostoUnitario*E210</f>
        <v>0</v>
      </c>
      <c r="O210" s="9">
        <f>IF(E210&gt;0,CostoPedido,0)</f>
        <v>0</v>
      </c>
      <c r="P210" s="9">
        <f>CostoAlm*(F210+J210)/2</f>
        <v>640</v>
      </c>
      <c r="Q210" s="9">
        <f>CostoFijo*D210</f>
        <v>0</v>
      </c>
      <c r="R210" s="9">
        <f>M210-N210-O210-P210-Q210</f>
        <v>4079360</v>
      </c>
      <c r="S210" s="21">
        <f>PuntoReorden</f>
        <v>7</v>
      </c>
    </row>
    <row r="211">
      <c r="A211" s="5">
        <f>A210+1</f>
        <v>206</v>
      </c>
      <c r="B211" s="20">
        <f>B210+IF(WEEKDAY(B210,2)=6,2,1)</f>
        <v>46262</v>
      </c>
      <c r="C211" s="5">
        <f>MONTH(B211)</f>
        <v>8</v>
      </c>
      <c r="D211" s="5">
        <f>IF(C211&lt;&gt;C210,1,0)</f>
        <v>0</v>
      </c>
      <c r="E211" s="5">
        <f>IF(L210=1,CantPedido,0)</f>
        <v>15</v>
      </c>
      <c r="F211" s="5">
        <f>J210+E211</f>
        <v>20</v>
      </c>
      <c r="G211" s="5">
        <f>RANDBETWEEN(3,7)</f>
        <v>5</v>
      </c>
      <c r="H211" s="5">
        <f>MIN(F211,G211)</f>
        <v>5</v>
      </c>
      <c r="I211" s="5">
        <f>G211-H211</f>
        <v>0</v>
      </c>
      <c r="J211" s="5">
        <f>F211-H211</f>
        <v>15</v>
      </c>
      <c r="K211" s="5">
        <f>IF(I211&gt;0,1,0)</f>
        <v>0</v>
      </c>
      <c r="L211" s="5">
        <f>IF(J211&lt;PuntoReorden,1,0)</f>
        <v>0</v>
      </c>
      <c r="M211" s="9">
        <f>PrecioVenta*H211</f>
        <v>3400000</v>
      </c>
      <c r="N211" s="9">
        <f>CostoUnitario*E211</f>
        <v>9000000</v>
      </c>
      <c r="O211" s="9">
        <f>IF(E211&gt;0,CostoPedido,0)</f>
        <v>40000</v>
      </c>
      <c r="P211" s="9">
        <f>CostoAlm*(F211+J211)/2</f>
        <v>1400</v>
      </c>
      <c r="Q211" s="9">
        <f>CostoFijo*D211</f>
        <v>0</v>
      </c>
      <c r="R211" s="9">
        <f>M211-N211-O211-P211-Q211</f>
        <v>-5641400</v>
      </c>
      <c r="S211" s="21">
        <f>PuntoReorden</f>
        <v>7</v>
      </c>
    </row>
    <row r="212">
      <c r="A212" s="5">
        <f>A211+1</f>
        <v>207</v>
      </c>
      <c r="B212" s="20">
        <f>B211+IF(WEEKDAY(B211,2)=6,2,1)</f>
        <v>46263</v>
      </c>
      <c r="C212" s="5">
        <f>MONTH(B212)</f>
        <v>8</v>
      </c>
      <c r="D212" s="5">
        <f>IF(C212&lt;&gt;C211,1,0)</f>
        <v>0</v>
      </c>
      <c r="E212" s="5">
        <f>IF(L211=1,CantPedido,0)</f>
        <v>0</v>
      </c>
      <c r="F212" s="5">
        <f>J211+E212</f>
        <v>15</v>
      </c>
      <c r="G212" s="5">
        <f>RANDBETWEEN(3,7)</f>
        <v>5</v>
      </c>
      <c r="H212" s="5">
        <f>MIN(F212,G212)</f>
        <v>5</v>
      </c>
      <c r="I212" s="5">
        <f>G212-H212</f>
        <v>0</v>
      </c>
      <c r="J212" s="5">
        <f>F212-H212</f>
        <v>10</v>
      </c>
      <c r="K212" s="5">
        <f>IF(I212&gt;0,1,0)</f>
        <v>0</v>
      </c>
      <c r="L212" s="5">
        <f>IF(J212&lt;PuntoReorden,1,0)</f>
        <v>0</v>
      </c>
      <c r="M212" s="9">
        <f>PrecioVenta*H212</f>
        <v>3400000</v>
      </c>
      <c r="N212" s="9">
        <f>CostoUnitario*E212</f>
        <v>0</v>
      </c>
      <c r="O212" s="9">
        <f>IF(E212&gt;0,CostoPedido,0)</f>
        <v>0</v>
      </c>
      <c r="P212" s="9">
        <f>CostoAlm*(F212+J212)/2</f>
        <v>1000</v>
      </c>
      <c r="Q212" s="9">
        <f>CostoFijo*D212</f>
        <v>0</v>
      </c>
      <c r="R212" s="9">
        <f>M212-N212-O212-P212-Q212</f>
        <v>3399000</v>
      </c>
      <c r="S212" s="21">
        <f>PuntoReorden</f>
        <v>7</v>
      </c>
    </row>
    <row r="213">
      <c r="A213" s="5">
        <f>A212+1</f>
        <v>208</v>
      </c>
      <c r="B213" s="20">
        <f>B212+IF(WEEKDAY(B212,2)=6,2,1)</f>
        <v>46265</v>
      </c>
      <c r="C213" s="5">
        <f>MONTH(B213)</f>
        <v>8</v>
      </c>
      <c r="D213" s="5">
        <f>IF(C213&lt;&gt;C212,1,0)</f>
        <v>0</v>
      </c>
      <c r="E213" s="5">
        <f>IF(L212=1,CantPedido,0)</f>
        <v>0</v>
      </c>
      <c r="F213" s="5">
        <f>J212+E213</f>
        <v>10</v>
      </c>
      <c r="G213" s="5">
        <f>RANDBETWEEN(3,7)</f>
        <v>3</v>
      </c>
      <c r="H213" s="5">
        <f>MIN(F213,G213)</f>
        <v>3</v>
      </c>
      <c r="I213" s="5">
        <f>G213-H213</f>
        <v>0</v>
      </c>
      <c r="J213" s="5">
        <f>F213-H213</f>
        <v>7</v>
      </c>
      <c r="K213" s="5">
        <f>IF(I213&gt;0,1,0)</f>
        <v>0</v>
      </c>
      <c r="L213" s="5">
        <f>IF(J213&lt;PuntoReorden,1,0)</f>
        <v>0</v>
      </c>
      <c r="M213" s="9">
        <f>PrecioVenta*H213</f>
        <v>2040000</v>
      </c>
      <c r="N213" s="9">
        <f>CostoUnitario*E213</f>
        <v>0</v>
      </c>
      <c r="O213" s="9">
        <f>IF(E213&gt;0,CostoPedido,0)</f>
        <v>0</v>
      </c>
      <c r="P213" s="9">
        <f>CostoAlm*(F213+J213)/2</f>
        <v>680</v>
      </c>
      <c r="Q213" s="9">
        <f>CostoFijo*D213</f>
        <v>0</v>
      </c>
      <c r="R213" s="9">
        <f>M213-N213-O213-P213-Q213</f>
        <v>2039320</v>
      </c>
      <c r="S213" s="21">
        <f>PuntoReorden</f>
        <v>7</v>
      </c>
    </row>
    <row r="214">
      <c r="A214" s="5">
        <f>A213+1</f>
        <v>209</v>
      </c>
      <c r="B214" s="20">
        <f>B213+IF(WEEKDAY(B213,2)=6,2,1)</f>
        <v>46266</v>
      </c>
      <c r="C214" s="5">
        <f>MONTH(B214)</f>
        <v>9</v>
      </c>
      <c r="D214" s="5">
        <f>IF(C214&lt;&gt;C213,1,0)</f>
        <v>1</v>
      </c>
      <c r="E214" s="5">
        <f>IF(L213=1,CantPedido,0)</f>
        <v>0</v>
      </c>
      <c r="F214" s="5">
        <f>J213+E214</f>
        <v>7</v>
      </c>
      <c r="G214" s="5">
        <f>RANDBETWEEN(3,7)</f>
        <v>6</v>
      </c>
      <c r="H214" s="5">
        <f>MIN(F214,G214)</f>
        <v>6</v>
      </c>
      <c r="I214" s="5">
        <f>G214-H214</f>
        <v>0</v>
      </c>
      <c r="J214" s="5">
        <f>F214-H214</f>
        <v>1</v>
      </c>
      <c r="K214" s="5">
        <f>IF(I214&gt;0,1,0)</f>
        <v>0</v>
      </c>
      <c r="L214" s="5">
        <f>IF(J214&lt;PuntoReorden,1,0)</f>
        <v>1</v>
      </c>
      <c r="M214" s="9">
        <f>PrecioVenta*H214</f>
        <v>4080000</v>
      </c>
      <c r="N214" s="9">
        <f>CostoUnitario*E214</f>
        <v>0</v>
      </c>
      <c r="O214" s="9">
        <f>IF(E214&gt;0,CostoPedido,0)</f>
        <v>0</v>
      </c>
      <c r="P214" s="9">
        <f>CostoAlm*(F214+J214)/2</f>
        <v>320</v>
      </c>
      <c r="Q214" s="9">
        <f>CostoFijo*D214</f>
        <v>1000000</v>
      </c>
      <c r="R214" s="9">
        <f>M214-N214-O214-P214-Q214</f>
        <v>3079680</v>
      </c>
      <c r="S214" s="21">
        <f>PuntoReorden</f>
        <v>7</v>
      </c>
    </row>
    <row r="215">
      <c r="A215" s="5">
        <f>A214+1</f>
        <v>210</v>
      </c>
      <c r="B215" s="20">
        <f>B214+IF(WEEKDAY(B214,2)=6,2,1)</f>
        <v>46267</v>
      </c>
      <c r="C215" s="5">
        <f>MONTH(B215)</f>
        <v>9</v>
      </c>
      <c r="D215" s="5">
        <f>IF(C215&lt;&gt;C214,1,0)</f>
        <v>0</v>
      </c>
      <c r="E215" s="5">
        <f>IF(L214=1,CantPedido,0)</f>
        <v>15</v>
      </c>
      <c r="F215" s="5">
        <f>J214+E215</f>
        <v>16</v>
      </c>
      <c r="G215" s="5">
        <f>RANDBETWEEN(3,7)</f>
        <v>5</v>
      </c>
      <c r="H215" s="5">
        <f>MIN(F215,G215)</f>
        <v>5</v>
      </c>
      <c r="I215" s="5">
        <f>G215-H215</f>
        <v>0</v>
      </c>
      <c r="J215" s="5">
        <f>F215-H215</f>
        <v>11</v>
      </c>
      <c r="K215" s="5">
        <f>IF(I215&gt;0,1,0)</f>
        <v>0</v>
      </c>
      <c r="L215" s="5">
        <f>IF(J215&lt;PuntoReorden,1,0)</f>
        <v>0</v>
      </c>
      <c r="M215" s="9">
        <f>PrecioVenta*H215</f>
        <v>3400000</v>
      </c>
      <c r="N215" s="9">
        <f>CostoUnitario*E215</f>
        <v>9000000</v>
      </c>
      <c r="O215" s="9">
        <f>IF(E215&gt;0,CostoPedido,0)</f>
        <v>40000</v>
      </c>
      <c r="P215" s="9">
        <f>CostoAlm*(F215+J215)/2</f>
        <v>1080</v>
      </c>
      <c r="Q215" s="9">
        <f>CostoFijo*D215</f>
        <v>0</v>
      </c>
      <c r="R215" s="9">
        <f>M215-N215-O215-P215-Q215</f>
        <v>-5641080</v>
      </c>
      <c r="S215" s="21">
        <f>PuntoReorden</f>
        <v>7</v>
      </c>
    </row>
    <row r="216">
      <c r="A216" s="5">
        <f>A215+1</f>
        <v>211</v>
      </c>
      <c r="B216" s="20">
        <f>B215+IF(WEEKDAY(B215,2)=6,2,1)</f>
        <v>46268</v>
      </c>
      <c r="C216" s="5">
        <f>MONTH(B216)</f>
        <v>9</v>
      </c>
      <c r="D216" s="5">
        <f>IF(C216&lt;&gt;C215,1,0)</f>
        <v>0</v>
      </c>
      <c r="E216" s="5">
        <f>IF(L215=1,CantPedido,0)</f>
        <v>0</v>
      </c>
      <c r="F216" s="5">
        <f>J215+E216</f>
        <v>11</v>
      </c>
      <c r="G216" s="5">
        <f>RANDBETWEEN(3,7)</f>
        <v>3</v>
      </c>
      <c r="H216" s="5">
        <f>MIN(F216,G216)</f>
        <v>3</v>
      </c>
      <c r="I216" s="5">
        <f>G216-H216</f>
        <v>0</v>
      </c>
      <c r="J216" s="5">
        <f>F216-H216</f>
        <v>8</v>
      </c>
      <c r="K216" s="5">
        <f>IF(I216&gt;0,1,0)</f>
        <v>0</v>
      </c>
      <c r="L216" s="5">
        <f>IF(J216&lt;PuntoReorden,1,0)</f>
        <v>0</v>
      </c>
      <c r="M216" s="9">
        <f>PrecioVenta*H216</f>
        <v>2040000</v>
      </c>
      <c r="N216" s="9">
        <f>CostoUnitario*E216</f>
        <v>0</v>
      </c>
      <c r="O216" s="9">
        <f>IF(E216&gt;0,CostoPedido,0)</f>
        <v>0</v>
      </c>
      <c r="P216" s="9">
        <f>CostoAlm*(F216+J216)/2</f>
        <v>760</v>
      </c>
      <c r="Q216" s="9">
        <f>CostoFijo*D216</f>
        <v>0</v>
      </c>
      <c r="R216" s="9">
        <f>M216-N216-O216-P216-Q216</f>
        <v>2039240</v>
      </c>
      <c r="S216" s="21">
        <f>PuntoReorden</f>
        <v>7</v>
      </c>
    </row>
    <row r="217">
      <c r="A217" s="5">
        <f>A216+1</f>
        <v>212</v>
      </c>
      <c r="B217" s="20">
        <f>B216+IF(WEEKDAY(B216,2)=6,2,1)</f>
        <v>46269</v>
      </c>
      <c r="C217" s="5">
        <f>MONTH(B217)</f>
        <v>9</v>
      </c>
      <c r="D217" s="5">
        <f>IF(C217&lt;&gt;C216,1,0)</f>
        <v>0</v>
      </c>
      <c r="E217" s="5">
        <f>IF(L216=1,CantPedido,0)</f>
        <v>0</v>
      </c>
      <c r="F217" s="5">
        <f>J216+E217</f>
        <v>8</v>
      </c>
      <c r="G217" s="5">
        <f>RANDBETWEEN(3,7)</f>
        <v>3</v>
      </c>
      <c r="H217" s="5">
        <f>MIN(F217,G217)</f>
        <v>3</v>
      </c>
      <c r="I217" s="5">
        <f>G217-H217</f>
        <v>0</v>
      </c>
      <c r="J217" s="5">
        <f>F217-H217</f>
        <v>5</v>
      </c>
      <c r="K217" s="5">
        <f>IF(I217&gt;0,1,0)</f>
        <v>0</v>
      </c>
      <c r="L217" s="5">
        <f>IF(J217&lt;PuntoReorden,1,0)</f>
        <v>1</v>
      </c>
      <c r="M217" s="9">
        <f>PrecioVenta*H217</f>
        <v>2040000</v>
      </c>
      <c r="N217" s="9">
        <f>CostoUnitario*E217</f>
        <v>0</v>
      </c>
      <c r="O217" s="9">
        <f>IF(E217&gt;0,CostoPedido,0)</f>
        <v>0</v>
      </c>
      <c r="P217" s="9">
        <f>CostoAlm*(F217+J217)/2</f>
        <v>520</v>
      </c>
      <c r="Q217" s="9">
        <f>CostoFijo*D217</f>
        <v>0</v>
      </c>
      <c r="R217" s="9">
        <f>M217-N217-O217-P217-Q217</f>
        <v>2039480</v>
      </c>
      <c r="S217" s="21">
        <f>PuntoReorden</f>
        <v>7</v>
      </c>
    </row>
    <row r="218">
      <c r="A218" s="5">
        <f>A217+1</f>
        <v>213</v>
      </c>
      <c r="B218" s="20">
        <f>B217+IF(WEEKDAY(B217,2)=6,2,1)</f>
        <v>46270</v>
      </c>
      <c r="C218" s="5">
        <f>MONTH(B218)</f>
        <v>9</v>
      </c>
      <c r="D218" s="5">
        <f>IF(C218&lt;&gt;C217,1,0)</f>
        <v>0</v>
      </c>
      <c r="E218" s="5">
        <f>IF(L217=1,CantPedido,0)</f>
        <v>15</v>
      </c>
      <c r="F218" s="5">
        <f>J217+E218</f>
        <v>20</v>
      </c>
      <c r="G218" s="5">
        <f>RANDBETWEEN(3,7)</f>
        <v>5</v>
      </c>
      <c r="H218" s="5">
        <f>MIN(F218,G218)</f>
        <v>5</v>
      </c>
      <c r="I218" s="5">
        <f>G218-H218</f>
        <v>0</v>
      </c>
      <c r="J218" s="5">
        <f>F218-H218</f>
        <v>15</v>
      </c>
      <c r="K218" s="5">
        <f>IF(I218&gt;0,1,0)</f>
        <v>0</v>
      </c>
      <c r="L218" s="5">
        <f>IF(J218&lt;PuntoReorden,1,0)</f>
        <v>0</v>
      </c>
      <c r="M218" s="9">
        <f>PrecioVenta*H218</f>
        <v>3400000</v>
      </c>
      <c r="N218" s="9">
        <f>CostoUnitario*E218</f>
        <v>9000000</v>
      </c>
      <c r="O218" s="9">
        <f>IF(E218&gt;0,CostoPedido,0)</f>
        <v>40000</v>
      </c>
      <c r="P218" s="9">
        <f>CostoAlm*(F218+J218)/2</f>
        <v>1400</v>
      </c>
      <c r="Q218" s="9">
        <f>CostoFijo*D218</f>
        <v>0</v>
      </c>
      <c r="R218" s="9">
        <f>M218-N218-O218-P218-Q218</f>
        <v>-5641400</v>
      </c>
      <c r="S218" s="21">
        <f>PuntoReorden</f>
        <v>7</v>
      </c>
    </row>
    <row r="219">
      <c r="A219" s="5">
        <f>A218+1</f>
        <v>214</v>
      </c>
      <c r="B219" s="20">
        <f>B218+IF(WEEKDAY(B218,2)=6,2,1)</f>
        <v>46272</v>
      </c>
      <c r="C219" s="5">
        <f>MONTH(B219)</f>
        <v>9</v>
      </c>
      <c r="D219" s="5">
        <f>IF(C219&lt;&gt;C218,1,0)</f>
        <v>0</v>
      </c>
      <c r="E219" s="5">
        <f>IF(L218=1,CantPedido,0)</f>
        <v>0</v>
      </c>
      <c r="F219" s="5">
        <f>J218+E219</f>
        <v>15</v>
      </c>
      <c r="G219" s="5">
        <f>RANDBETWEEN(3,7)</f>
        <v>7</v>
      </c>
      <c r="H219" s="5">
        <f>MIN(F219,G219)</f>
        <v>7</v>
      </c>
      <c r="I219" s="5">
        <f>G219-H219</f>
        <v>0</v>
      </c>
      <c r="J219" s="5">
        <f>F219-H219</f>
        <v>8</v>
      </c>
      <c r="K219" s="5">
        <f>IF(I219&gt;0,1,0)</f>
        <v>0</v>
      </c>
      <c r="L219" s="5">
        <f>IF(J219&lt;PuntoReorden,1,0)</f>
        <v>0</v>
      </c>
      <c r="M219" s="9">
        <f>PrecioVenta*H219</f>
        <v>4760000</v>
      </c>
      <c r="N219" s="9">
        <f>CostoUnitario*E219</f>
        <v>0</v>
      </c>
      <c r="O219" s="9">
        <f>IF(E219&gt;0,CostoPedido,0)</f>
        <v>0</v>
      </c>
      <c r="P219" s="9">
        <f>CostoAlm*(F219+J219)/2</f>
        <v>920</v>
      </c>
      <c r="Q219" s="9">
        <f>CostoFijo*D219</f>
        <v>0</v>
      </c>
      <c r="R219" s="9">
        <f>M219-N219-O219-P219-Q219</f>
        <v>4759080</v>
      </c>
      <c r="S219" s="21">
        <f>PuntoReorden</f>
        <v>7</v>
      </c>
    </row>
    <row r="220">
      <c r="A220" s="5">
        <f>A219+1</f>
        <v>215</v>
      </c>
      <c r="B220" s="20">
        <f>B219+IF(WEEKDAY(B219,2)=6,2,1)</f>
        <v>46273</v>
      </c>
      <c r="C220" s="5">
        <f>MONTH(B220)</f>
        <v>9</v>
      </c>
      <c r="D220" s="5">
        <f>IF(C220&lt;&gt;C219,1,0)</f>
        <v>0</v>
      </c>
      <c r="E220" s="5">
        <f>IF(L219=1,CantPedido,0)</f>
        <v>0</v>
      </c>
      <c r="F220" s="5">
        <f>J219+E220</f>
        <v>8</v>
      </c>
      <c r="G220" s="5">
        <f>RANDBETWEEN(3,7)</f>
        <v>6</v>
      </c>
      <c r="H220" s="5">
        <f>MIN(F220,G220)</f>
        <v>6</v>
      </c>
      <c r="I220" s="5">
        <f>G220-H220</f>
        <v>0</v>
      </c>
      <c r="J220" s="5">
        <f>F220-H220</f>
        <v>2</v>
      </c>
      <c r="K220" s="5">
        <f>IF(I220&gt;0,1,0)</f>
        <v>0</v>
      </c>
      <c r="L220" s="5">
        <f>IF(J220&lt;PuntoReorden,1,0)</f>
        <v>1</v>
      </c>
      <c r="M220" s="9">
        <f>PrecioVenta*H220</f>
        <v>4080000</v>
      </c>
      <c r="N220" s="9">
        <f>CostoUnitario*E220</f>
        <v>0</v>
      </c>
      <c r="O220" s="9">
        <f>IF(E220&gt;0,CostoPedido,0)</f>
        <v>0</v>
      </c>
      <c r="P220" s="9">
        <f>CostoAlm*(F220+J220)/2</f>
        <v>400</v>
      </c>
      <c r="Q220" s="9">
        <f>CostoFijo*D220</f>
        <v>0</v>
      </c>
      <c r="R220" s="9">
        <f>M220-N220-O220-P220-Q220</f>
        <v>4079600</v>
      </c>
      <c r="S220" s="21">
        <f>PuntoReorden</f>
        <v>7</v>
      </c>
    </row>
    <row r="221">
      <c r="A221" s="5">
        <f>A220+1</f>
        <v>216</v>
      </c>
      <c r="B221" s="20">
        <f>B220+IF(WEEKDAY(B220,2)=6,2,1)</f>
        <v>46274</v>
      </c>
      <c r="C221" s="5">
        <f>MONTH(B221)</f>
        <v>9</v>
      </c>
      <c r="D221" s="5">
        <f>IF(C221&lt;&gt;C220,1,0)</f>
        <v>0</v>
      </c>
      <c r="E221" s="5">
        <f>IF(L220=1,CantPedido,0)</f>
        <v>15</v>
      </c>
      <c r="F221" s="5">
        <f>J220+E221</f>
        <v>17</v>
      </c>
      <c r="G221" s="5">
        <f>RANDBETWEEN(3,7)</f>
        <v>5</v>
      </c>
      <c r="H221" s="5">
        <f>MIN(F221,G221)</f>
        <v>5</v>
      </c>
      <c r="I221" s="5">
        <f>G221-H221</f>
        <v>0</v>
      </c>
      <c r="J221" s="5">
        <f>F221-H221</f>
        <v>12</v>
      </c>
      <c r="K221" s="5">
        <f>IF(I221&gt;0,1,0)</f>
        <v>0</v>
      </c>
      <c r="L221" s="5">
        <f>IF(J221&lt;PuntoReorden,1,0)</f>
        <v>0</v>
      </c>
      <c r="M221" s="9">
        <f>PrecioVenta*H221</f>
        <v>3400000</v>
      </c>
      <c r="N221" s="9">
        <f>CostoUnitario*E221</f>
        <v>9000000</v>
      </c>
      <c r="O221" s="9">
        <f>IF(E221&gt;0,CostoPedido,0)</f>
        <v>40000</v>
      </c>
      <c r="P221" s="9">
        <f>CostoAlm*(F221+J221)/2</f>
        <v>1160</v>
      </c>
      <c r="Q221" s="9">
        <f>CostoFijo*D221</f>
        <v>0</v>
      </c>
      <c r="R221" s="9">
        <f>M221-N221-O221-P221-Q221</f>
        <v>-5641160</v>
      </c>
      <c r="S221" s="21">
        <f>PuntoReorden</f>
        <v>7</v>
      </c>
    </row>
    <row r="222">
      <c r="A222" s="5">
        <f>A221+1</f>
        <v>217</v>
      </c>
      <c r="B222" s="20">
        <f>B221+IF(WEEKDAY(B221,2)=6,2,1)</f>
        <v>46275</v>
      </c>
      <c r="C222" s="5">
        <f>MONTH(B222)</f>
        <v>9</v>
      </c>
      <c r="D222" s="5">
        <f>IF(C222&lt;&gt;C221,1,0)</f>
        <v>0</v>
      </c>
      <c r="E222" s="5">
        <f>IF(L221=1,CantPedido,0)</f>
        <v>0</v>
      </c>
      <c r="F222" s="5">
        <f>J221+E222</f>
        <v>12</v>
      </c>
      <c r="G222" s="5">
        <f>RANDBETWEEN(3,7)</f>
        <v>3</v>
      </c>
      <c r="H222" s="5">
        <f>MIN(F222,G222)</f>
        <v>3</v>
      </c>
      <c r="I222" s="5">
        <f>G222-H222</f>
        <v>0</v>
      </c>
      <c r="J222" s="5">
        <f>F222-H222</f>
        <v>9</v>
      </c>
      <c r="K222" s="5">
        <f>IF(I222&gt;0,1,0)</f>
        <v>0</v>
      </c>
      <c r="L222" s="5">
        <f>IF(J222&lt;PuntoReorden,1,0)</f>
        <v>0</v>
      </c>
      <c r="M222" s="9">
        <f>PrecioVenta*H222</f>
        <v>2040000</v>
      </c>
      <c r="N222" s="9">
        <f>CostoUnitario*E222</f>
        <v>0</v>
      </c>
      <c r="O222" s="9">
        <f>IF(E222&gt;0,CostoPedido,0)</f>
        <v>0</v>
      </c>
      <c r="P222" s="9">
        <f>CostoAlm*(F222+J222)/2</f>
        <v>840</v>
      </c>
      <c r="Q222" s="9">
        <f>CostoFijo*D222</f>
        <v>0</v>
      </c>
      <c r="R222" s="9">
        <f>M222-N222-O222-P222-Q222</f>
        <v>2039160</v>
      </c>
      <c r="S222" s="21">
        <f>PuntoReorden</f>
        <v>7</v>
      </c>
    </row>
    <row r="223">
      <c r="A223" s="5">
        <f>A222+1</f>
        <v>218</v>
      </c>
      <c r="B223" s="20">
        <f>B222+IF(WEEKDAY(B222,2)=6,2,1)</f>
        <v>46276</v>
      </c>
      <c r="C223" s="5">
        <f>MONTH(B223)</f>
        <v>9</v>
      </c>
      <c r="D223" s="5">
        <f>IF(C223&lt;&gt;C222,1,0)</f>
        <v>0</v>
      </c>
      <c r="E223" s="5">
        <f>IF(L222=1,CantPedido,0)</f>
        <v>0</v>
      </c>
      <c r="F223" s="5">
        <f>J222+E223</f>
        <v>9</v>
      </c>
      <c r="G223" s="5">
        <f>RANDBETWEEN(3,7)</f>
        <v>6</v>
      </c>
      <c r="H223" s="5">
        <f>MIN(F223,G223)</f>
        <v>6</v>
      </c>
      <c r="I223" s="5">
        <f>G223-H223</f>
        <v>0</v>
      </c>
      <c r="J223" s="5">
        <f>F223-H223</f>
        <v>3</v>
      </c>
      <c r="K223" s="5">
        <f>IF(I223&gt;0,1,0)</f>
        <v>0</v>
      </c>
      <c r="L223" s="5">
        <f>IF(J223&lt;PuntoReorden,1,0)</f>
        <v>1</v>
      </c>
      <c r="M223" s="9">
        <f>PrecioVenta*H223</f>
        <v>4080000</v>
      </c>
      <c r="N223" s="9">
        <f>CostoUnitario*E223</f>
        <v>0</v>
      </c>
      <c r="O223" s="9">
        <f>IF(E223&gt;0,CostoPedido,0)</f>
        <v>0</v>
      </c>
      <c r="P223" s="9">
        <f>CostoAlm*(F223+J223)/2</f>
        <v>480</v>
      </c>
      <c r="Q223" s="9">
        <f>CostoFijo*D223</f>
        <v>0</v>
      </c>
      <c r="R223" s="9">
        <f>M223-N223-O223-P223-Q223</f>
        <v>4079520</v>
      </c>
      <c r="S223" s="21">
        <f>PuntoReorden</f>
        <v>7</v>
      </c>
    </row>
    <row r="224">
      <c r="A224" s="5">
        <f>A223+1</f>
        <v>219</v>
      </c>
      <c r="B224" s="20">
        <f>B223+IF(WEEKDAY(B223,2)=6,2,1)</f>
        <v>46277</v>
      </c>
      <c r="C224" s="5">
        <f>MONTH(B224)</f>
        <v>9</v>
      </c>
      <c r="D224" s="5">
        <f>IF(C224&lt;&gt;C223,1,0)</f>
        <v>0</v>
      </c>
      <c r="E224" s="5">
        <f>IF(L223=1,CantPedido,0)</f>
        <v>15</v>
      </c>
      <c r="F224" s="5">
        <f>J223+E224</f>
        <v>18</v>
      </c>
      <c r="G224" s="5">
        <f>RANDBETWEEN(3,7)</f>
        <v>6</v>
      </c>
      <c r="H224" s="5">
        <f>MIN(F224,G224)</f>
        <v>6</v>
      </c>
      <c r="I224" s="5">
        <f>G224-H224</f>
        <v>0</v>
      </c>
      <c r="J224" s="5">
        <f>F224-H224</f>
        <v>12</v>
      </c>
      <c r="K224" s="5">
        <f>IF(I224&gt;0,1,0)</f>
        <v>0</v>
      </c>
      <c r="L224" s="5">
        <f>IF(J224&lt;PuntoReorden,1,0)</f>
        <v>0</v>
      </c>
      <c r="M224" s="9">
        <f>PrecioVenta*H224</f>
        <v>4080000</v>
      </c>
      <c r="N224" s="9">
        <f>CostoUnitario*E224</f>
        <v>9000000</v>
      </c>
      <c r="O224" s="9">
        <f>IF(E224&gt;0,CostoPedido,0)</f>
        <v>40000</v>
      </c>
      <c r="P224" s="9">
        <f>CostoAlm*(F224+J224)/2</f>
        <v>1200</v>
      </c>
      <c r="Q224" s="9">
        <f>CostoFijo*D224</f>
        <v>0</v>
      </c>
      <c r="R224" s="9">
        <f>M224-N224-O224-P224-Q224</f>
        <v>-4961200</v>
      </c>
      <c r="S224" s="21">
        <f>PuntoReorden</f>
        <v>7</v>
      </c>
    </row>
    <row r="225">
      <c r="A225" s="5">
        <f>A224+1</f>
        <v>220</v>
      </c>
      <c r="B225" s="20">
        <f>B224+IF(WEEKDAY(B224,2)=6,2,1)</f>
        <v>46279</v>
      </c>
      <c r="C225" s="5">
        <f>MONTH(B225)</f>
        <v>9</v>
      </c>
      <c r="D225" s="5">
        <f>IF(C225&lt;&gt;C224,1,0)</f>
        <v>0</v>
      </c>
      <c r="E225" s="5">
        <f>IF(L224=1,CantPedido,0)</f>
        <v>0</v>
      </c>
      <c r="F225" s="5">
        <f>J224+E225</f>
        <v>12</v>
      </c>
      <c r="G225" s="5">
        <f>RANDBETWEEN(3,7)</f>
        <v>6</v>
      </c>
      <c r="H225" s="5">
        <f>MIN(F225,G225)</f>
        <v>6</v>
      </c>
      <c r="I225" s="5">
        <f>G225-H225</f>
        <v>0</v>
      </c>
      <c r="J225" s="5">
        <f>F225-H225</f>
        <v>6</v>
      </c>
      <c r="K225" s="5">
        <f>IF(I225&gt;0,1,0)</f>
        <v>0</v>
      </c>
      <c r="L225" s="5">
        <f>IF(J225&lt;PuntoReorden,1,0)</f>
        <v>1</v>
      </c>
      <c r="M225" s="9">
        <f>PrecioVenta*H225</f>
        <v>4080000</v>
      </c>
      <c r="N225" s="9">
        <f>CostoUnitario*E225</f>
        <v>0</v>
      </c>
      <c r="O225" s="9">
        <f>IF(E225&gt;0,CostoPedido,0)</f>
        <v>0</v>
      </c>
      <c r="P225" s="9">
        <f>CostoAlm*(F225+J225)/2</f>
        <v>720</v>
      </c>
      <c r="Q225" s="9">
        <f>CostoFijo*D225</f>
        <v>0</v>
      </c>
      <c r="R225" s="9">
        <f>M225-N225-O225-P225-Q225</f>
        <v>4079280</v>
      </c>
      <c r="S225" s="21">
        <f>PuntoReorden</f>
        <v>7</v>
      </c>
    </row>
    <row r="226">
      <c r="A226" s="5">
        <f>A225+1</f>
        <v>221</v>
      </c>
      <c r="B226" s="20">
        <f>B225+IF(WEEKDAY(B225,2)=6,2,1)</f>
        <v>46280</v>
      </c>
      <c r="C226" s="5">
        <f>MONTH(B226)</f>
        <v>9</v>
      </c>
      <c r="D226" s="5">
        <f>IF(C226&lt;&gt;C225,1,0)</f>
        <v>0</v>
      </c>
      <c r="E226" s="5">
        <f>IF(L225=1,CantPedido,0)</f>
        <v>15</v>
      </c>
      <c r="F226" s="5">
        <f>J225+E226</f>
        <v>21</v>
      </c>
      <c r="G226" s="5">
        <f>RANDBETWEEN(3,7)</f>
        <v>5</v>
      </c>
      <c r="H226" s="5">
        <f>MIN(F226,G226)</f>
        <v>5</v>
      </c>
      <c r="I226" s="5">
        <f>G226-H226</f>
        <v>0</v>
      </c>
      <c r="J226" s="5">
        <f>F226-H226</f>
        <v>16</v>
      </c>
      <c r="K226" s="5">
        <f>IF(I226&gt;0,1,0)</f>
        <v>0</v>
      </c>
      <c r="L226" s="5">
        <f>IF(J226&lt;PuntoReorden,1,0)</f>
        <v>0</v>
      </c>
      <c r="M226" s="9">
        <f>PrecioVenta*H226</f>
        <v>3400000</v>
      </c>
      <c r="N226" s="9">
        <f>CostoUnitario*E226</f>
        <v>9000000</v>
      </c>
      <c r="O226" s="9">
        <f>IF(E226&gt;0,CostoPedido,0)</f>
        <v>40000</v>
      </c>
      <c r="P226" s="9">
        <f>CostoAlm*(F226+J226)/2</f>
        <v>1480</v>
      </c>
      <c r="Q226" s="9">
        <f>CostoFijo*D226</f>
        <v>0</v>
      </c>
      <c r="R226" s="9">
        <f>M226-N226-O226-P226-Q226</f>
        <v>-5641480</v>
      </c>
      <c r="S226" s="21">
        <f>PuntoReorden</f>
        <v>7</v>
      </c>
    </row>
    <row r="227">
      <c r="A227" s="5">
        <f>A226+1</f>
        <v>222</v>
      </c>
      <c r="B227" s="20">
        <f>B226+IF(WEEKDAY(B226,2)=6,2,1)</f>
        <v>46281</v>
      </c>
      <c r="C227" s="5">
        <f>MONTH(B227)</f>
        <v>9</v>
      </c>
      <c r="D227" s="5">
        <f>IF(C227&lt;&gt;C226,1,0)</f>
        <v>0</v>
      </c>
      <c r="E227" s="5">
        <f>IF(L226=1,CantPedido,0)</f>
        <v>0</v>
      </c>
      <c r="F227" s="5">
        <f>J226+E227</f>
        <v>16</v>
      </c>
      <c r="G227" s="5">
        <f>RANDBETWEEN(3,7)</f>
        <v>4</v>
      </c>
      <c r="H227" s="5">
        <f>MIN(F227,G227)</f>
        <v>4</v>
      </c>
      <c r="I227" s="5">
        <f>G227-H227</f>
        <v>0</v>
      </c>
      <c r="J227" s="5">
        <f>F227-H227</f>
        <v>12</v>
      </c>
      <c r="K227" s="5">
        <f>IF(I227&gt;0,1,0)</f>
        <v>0</v>
      </c>
      <c r="L227" s="5">
        <f>IF(J227&lt;PuntoReorden,1,0)</f>
        <v>0</v>
      </c>
      <c r="M227" s="9">
        <f>PrecioVenta*H227</f>
        <v>2720000</v>
      </c>
      <c r="N227" s="9">
        <f>CostoUnitario*E227</f>
        <v>0</v>
      </c>
      <c r="O227" s="9">
        <f>IF(E227&gt;0,CostoPedido,0)</f>
        <v>0</v>
      </c>
      <c r="P227" s="9">
        <f>CostoAlm*(F227+J227)/2</f>
        <v>1120</v>
      </c>
      <c r="Q227" s="9">
        <f>CostoFijo*D227</f>
        <v>0</v>
      </c>
      <c r="R227" s="9">
        <f>M227-N227-O227-P227-Q227</f>
        <v>2718880</v>
      </c>
      <c r="S227" s="21">
        <f>PuntoReorden</f>
        <v>7</v>
      </c>
    </row>
    <row r="228">
      <c r="A228" s="5">
        <f>A227+1</f>
        <v>223</v>
      </c>
      <c r="B228" s="20">
        <f>B227+IF(WEEKDAY(B227,2)=6,2,1)</f>
        <v>46282</v>
      </c>
      <c r="C228" s="5">
        <f>MONTH(B228)</f>
        <v>9</v>
      </c>
      <c r="D228" s="5">
        <f>IF(C228&lt;&gt;C227,1,0)</f>
        <v>0</v>
      </c>
      <c r="E228" s="5">
        <f>IF(L227=1,CantPedido,0)</f>
        <v>0</v>
      </c>
      <c r="F228" s="5">
        <f>J227+E228</f>
        <v>12</v>
      </c>
      <c r="G228" s="5">
        <f>RANDBETWEEN(3,7)</f>
        <v>6</v>
      </c>
      <c r="H228" s="5">
        <f>MIN(F228,G228)</f>
        <v>6</v>
      </c>
      <c r="I228" s="5">
        <f>G228-H228</f>
        <v>0</v>
      </c>
      <c r="J228" s="5">
        <f>F228-H228</f>
        <v>6</v>
      </c>
      <c r="K228" s="5">
        <f>IF(I228&gt;0,1,0)</f>
        <v>0</v>
      </c>
      <c r="L228" s="5">
        <f>IF(J228&lt;PuntoReorden,1,0)</f>
        <v>1</v>
      </c>
      <c r="M228" s="9">
        <f>PrecioVenta*H228</f>
        <v>4080000</v>
      </c>
      <c r="N228" s="9">
        <f>CostoUnitario*E228</f>
        <v>0</v>
      </c>
      <c r="O228" s="9">
        <f>IF(E228&gt;0,CostoPedido,0)</f>
        <v>0</v>
      </c>
      <c r="P228" s="9">
        <f>CostoAlm*(F228+J228)/2</f>
        <v>720</v>
      </c>
      <c r="Q228" s="9">
        <f>CostoFijo*D228</f>
        <v>0</v>
      </c>
      <c r="R228" s="9">
        <f>M228-N228-O228-P228-Q228</f>
        <v>4079280</v>
      </c>
      <c r="S228" s="21">
        <f>PuntoReorden</f>
        <v>7</v>
      </c>
    </row>
    <row r="229">
      <c r="A229" s="5">
        <f>A228+1</f>
        <v>224</v>
      </c>
      <c r="B229" s="20">
        <f>B228+IF(WEEKDAY(B228,2)=6,2,1)</f>
        <v>46283</v>
      </c>
      <c r="C229" s="5">
        <f>MONTH(B229)</f>
        <v>9</v>
      </c>
      <c r="D229" s="5">
        <f>IF(C229&lt;&gt;C228,1,0)</f>
        <v>0</v>
      </c>
      <c r="E229" s="5">
        <f>IF(L228=1,CantPedido,0)</f>
        <v>15</v>
      </c>
      <c r="F229" s="5">
        <f>J228+E229</f>
        <v>21</v>
      </c>
      <c r="G229" s="5">
        <f>RANDBETWEEN(3,7)</f>
        <v>4</v>
      </c>
      <c r="H229" s="5">
        <f>MIN(F229,G229)</f>
        <v>4</v>
      </c>
      <c r="I229" s="5">
        <f>G229-H229</f>
        <v>0</v>
      </c>
      <c r="J229" s="5">
        <f>F229-H229</f>
        <v>17</v>
      </c>
      <c r="K229" s="5">
        <f>IF(I229&gt;0,1,0)</f>
        <v>0</v>
      </c>
      <c r="L229" s="5">
        <f>IF(J229&lt;PuntoReorden,1,0)</f>
        <v>0</v>
      </c>
      <c r="M229" s="9">
        <f>PrecioVenta*H229</f>
        <v>2720000</v>
      </c>
      <c r="N229" s="9">
        <f>CostoUnitario*E229</f>
        <v>9000000</v>
      </c>
      <c r="O229" s="9">
        <f>IF(E229&gt;0,CostoPedido,0)</f>
        <v>40000</v>
      </c>
      <c r="P229" s="9">
        <f>CostoAlm*(F229+J229)/2</f>
        <v>1520</v>
      </c>
      <c r="Q229" s="9">
        <f>CostoFijo*D229</f>
        <v>0</v>
      </c>
      <c r="R229" s="9">
        <f>M229-N229-O229-P229-Q229</f>
        <v>-6321520</v>
      </c>
      <c r="S229" s="21">
        <f>PuntoReorden</f>
        <v>7</v>
      </c>
    </row>
    <row r="230">
      <c r="A230" s="5">
        <f>A229+1</f>
        <v>225</v>
      </c>
      <c r="B230" s="20">
        <f>B229+IF(WEEKDAY(B229,2)=6,2,1)</f>
        <v>46284</v>
      </c>
      <c r="C230" s="5">
        <f>MONTH(B230)</f>
        <v>9</v>
      </c>
      <c r="D230" s="5">
        <f>IF(C230&lt;&gt;C229,1,0)</f>
        <v>0</v>
      </c>
      <c r="E230" s="5">
        <f>IF(L229=1,CantPedido,0)</f>
        <v>0</v>
      </c>
      <c r="F230" s="5">
        <f>J229+E230</f>
        <v>17</v>
      </c>
      <c r="G230" s="5">
        <f>RANDBETWEEN(3,7)</f>
        <v>7</v>
      </c>
      <c r="H230" s="5">
        <f>MIN(F230,G230)</f>
        <v>7</v>
      </c>
      <c r="I230" s="5">
        <f>G230-H230</f>
        <v>0</v>
      </c>
      <c r="J230" s="5">
        <f>F230-H230</f>
        <v>10</v>
      </c>
      <c r="K230" s="5">
        <f>IF(I230&gt;0,1,0)</f>
        <v>0</v>
      </c>
      <c r="L230" s="5">
        <f>IF(J230&lt;PuntoReorden,1,0)</f>
        <v>0</v>
      </c>
      <c r="M230" s="9">
        <f>PrecioVenta*H230</f>
        <v>4760000</v>
      </c>
      <c r="N230" s="9">
        <f>CostoUnitario*E230</f>
        <v>0</v>
      </c>
      <c r="O230" s="9">
        <f>IF(E230&gt;0,CostoPedido,0)</f>
        <v>0</v>
      </c>
      <c r="P230" s="9">
        <f>CostoAlm*(F230+J230)/2</f>
        <v>1080</v>
      </c>
      <c r="Q230" s="9">
        <f>CostoFijo*D230</f>
        <v>0</v>
      </c>
      <c r="R230" s="9">
        <f>M230-N230-O230-P230-Q230</f>
        <v>4758920</v>
      </c>
      <c r="S230" s="21">
        <f>PuntoReorden</f>
        <v>7</v>
      </c>
    </row>
    <row r="231">
      <c r="A231" s="5">
        <f>A230+1</f>
        <v>226</v>
      </c>
      <c r="B231" s="20">
        <f>B230+IF(WEEKDAY(B230,2)=6,2,1)</f>
        <v>46286</v>
      </c>
      <c r="C231" s="5">
        <f>MONTH(B231)</f>
        <v>9</v>
      </c>
      <c r="D231" s="5">
        <f>IF(C231&lt;&gt;C230,1,0)</f>
        <v>0</v>
      </c>
      <c r="E231" s="5">
        <f>IF(L230=1,CantPedido,0)</f>
        <v>0</v>
      </c>
      <c r="F231" s="5">
        <f>J230+E231</f>
        <v>10</v>
      </c>
      <c r="G231" s="5">
        <f>RANDBETWEEN(3,7)</f>
        <v>4</v>
      </c>
      <c r="H231" s="5">
        <f>MIN(F231,G231)</f>
        <v>4</v>
      </c>
      <c r="I231" s="5">
        <f>G231-H231</f>
        <v>0</v>
      </c>
      <c r="J231" s="5">
        <f>F231-H231</f>
        <v>6</v>
      </c>
      <c r="K231" s="5">
        <f>IF(I231&gt;0,1,0)</f>
        <v>0</v>
      </c>
      <c r="L231" s="5">
        <f>IF(J231&lt;PuntoReorden,1,0)</f>
        <v>1</v>
      </c>
      <c r="M231" s="9">
        <f>PrecioVenta*H231</f>
        <v>2720000</v>
      </c>
      <c r="N231" s="9">
        <f>CostoUnitario*E231</f>
        <v>0</v>
      </c>
      <c r="O231" s="9">
        <f>IF(E231&gt;0,CostoPedido,0)</f>
        <v>0</v>
      </c>
      <c r="P231" s="9">
        <f>CostoAlm*(F231+J231)/2</f>
        <v>640</v>
      </c>
      <c r="Q231" s="9">
        <f>CostoFijo*D231</f>
        <v>0</v>
      </c>
      <c r="R231" s="9">
        <f>M231-N231-O231-P231-Q231</f>
        <v>2719360</v>
      </c>
      <c r="S231" s="21">
        <f>PuntoReorden</f>
        <v>7</v>
      </c>
    </row>
    <row r="232">
      <c r="A232" s="5">
        <f>A231+1</f>
        <v>227</v>
      </c>
      <c r="B232" s="20">
        <f>B231+IF(WEEKDAY(B231,2)=6,2,1)</f>
        <v>46287</v>
      </c>
      <c r="C232" s="5">
        <f>MONTH(B232)</f>
        <v>9</v>
      </c>
      <c r="D232" s="5">
        <f>IF(C232&lt;&gt;C231,1,0)</f>
        <v>0</v>
      </c>
      <c r="E232" s="5">
        <f>IF(L231=1,CantPedido,0)</f>
        <v>15</v>
      </c>
      <c r="F232" s="5">
        <f>J231+E232</f>
        <v>21</v>
      </c>
      <c r="G232" s="5">
        <f>RANDBETWEEN(3,7)</f>
        <v>4</v>
      </c>
      <c r="H232" s="5">
        <f>MIN(F232,G232)</f>
        <v>4</v>
      </c>
      <c r="I232" s="5">
        <f>G232-H232</f>
        <v>0</v>
      </c>
      <c r="J232" s="5">
        <f>F232-H232</f>
        <v>17</v>
      </c>
      <c r="K232" s="5">
        <f>IF(I232&gt;0,1,0)</f>
        <v>0</v>
      </c>
      <c r="L232" s="5">
        <f>IF(J232&lt;PuntoReorden,1,0)</f>
        <v>0</v>
      </c>
      <c r="M232" s="9">
        <f>PrecioVenta*H232</f>
        <v>2720000</v>
      </c>
      <c r="N232" s="9">
        <f>CostoUnitario*E232</f>
        <v>9000000</v>
      </c>
      <c r="O232" s="9">
        <f>IF(E232&gt;0,CostoPedido,0)</f>
        <v>40000</v>
      </c>
      <c r="P232" s="9">
        <f>CostoAlm*(F232+J232)/2</f>
        <v>1520</v>
      </c>
      <c r="Q232" s="9">
        <f>CostoFijo*D232</f>
        <v>0</v>
      </c>
      <c r="R232" s="9">
        <f>M232-N232-O232-P232-Q232</f>
        <v>-6321520</v>
      </c>
      <c r="S232" s="21">
        <f>PuntoReorden</f>
        <v>7</v>
      </c>
    </row>
    <row r="233">
      <c r="A233" s="5">
        <f>A232+1</f>
        <v>228</v>
      </c>
      <c r="B233" s="20">
        <f>B232+IF(WEEKDAY(B232,2)=6,2,1)</f>
        <v>46288</v>
      </c>
      <c r="C233" s="5">
        <f>MONTH(B233)</f>
        <v>9</v>
      </c>
      <c r="D233" s="5">
        <f>IF(C233&lt;&gt;C232,1,0)</f>
        <v>0</v>
      </c>
      <c r="E233" s="5">
        <f>IF(L232=1,CantPedido,0)</f>
        <v>0</v>
      </c>
      <c r="F233" s="5">
        <f>J232+E233</f>
        <v>17</v>
      </c>
      <c r="G233" s="5">
        <f>RANDBETWEEN(3,7)</f>
        <v>6</v>
      </c>
      <c r="H233" s="5">
        <f>MIN(F233,G233)</f>
        <v>6</v>
      </c>
      <c r="I233" s="5">
        <f>G233-H233</f>
        <v>0</v>
      </c>
      <c r="J233" s="5">
        <f>F233-H233</f>
        <v>11</v>
      </c>
      <c r="K233" s="5">
        <f>IF(I233&gt;0,1,0)</f>
        <v>0</v>
      </c>
      <c r="L233" s="5">
        <f>IF(J233&lt;PuntoReorden,1,0)</f>
        <v>0</v>
      </c>
      <c r="M233" s="9">
        <f>PrecioVenta*H233</f>
        <v>4080000</v>
      </c>
      <c r="N233" s="9">
        <f>CostoUnitario*E233</f>
        <v>0</v>
      </c>
      <c r="O233" s="9">
        <f>IF(E233&gt;0,CostoPedido,0)</f>
        <v>0</v>
      </c>
      <c r="P233" s="9">
        <f>CostoAlm*(F233+J233)/2</f>
        <v>1120</v>
      </c>
      <c r="Q233" s="9">
        <f>CostoFijo*D233</f>
        <v>0</v>
      </c>
      <c r="R233" s="9">
        <f>M233-N233-O233-P233-Q233</f>
        <v>4078880</v>
      </c>
      <c r="S233" s="21">
        <f>PuntoReorden</f>
        <v>7</v>
      </c>
    </row>
    <row r="234">
      <c r="A234" s="5">
        <f>A233+1</f>
        <v>229</v>
      </c>
      <c r="B234" s="20">
        <f>B233+IF(WEEKDAY(B233,2)=6,2,1)</f>
        <v>46289</v>
      </c>
      <c r="C234" s="5">
        <f>MONTH(B234)</f>
        <v>9</v>
      </c>
      <c r="D234" s="5">
        <f>IF(C234&lt;&gt;C233,1,0)</f>
        <v>0</v>
      </c>
      <c r="E234" s="5">
        <f>IF(L233=1,CantPedido,0)</f>
        <v>0</v>
      </c>
      <c r="F234" s="5">
        <f>J233+E234</f>
        <v>11</v>
      </c>
      <c r="G234" s="5">
        <f>RANDBETWEEN(3,7)</f>
        <v>4</v>
      </c>
      <c r="H234" s="5">
        <f>MIN(F234,G234)</f>
        <v>4</v>
      </c>
      <c r="I234" s="5">
        <f>G234-H234</f>
        <v>0</v>
      </c>
      <c r="J234" s="5">
        <f>F234-H234</f>
        <v>7</v>
      </c>
      <c r="K234" s="5">
        <f>IF(I234&gt;0,1,0)</f>
        <v>0</v>
      </c>
      <c r="L234" s="5">
        <f>IF(J234&lt;PuntoReorden,1,0)</f>
        <v>0</v>
      </c>
      <c r="M234" s="9">
        <f>PrecioVenta*H234</f>
        <v>2720000</v>
      </c>
      <c r="N234" s="9">
        <f>CostoUnitario*E234</f>
        <v>0</v>
      </c>
      <c r="O234" s="9">
        <f>IF(E234&gt;0,CostoPedido,0)</f>
        <v>0</v>
      </c>
      <c r="P234" s="9">
        <f>CostoAlm*(F234+J234)/2</f>
        <v>720</v>
      </c>
      <c r="Q234" s="9">
        <f>CostoFijo*D234</f>
        <v>0</v>
      </c>
      <c r="R234" s="9">
        <f>M234-N234-O234-P234-Q234</f>
        <v>2719280</v>
      </c>
      <c r="S234" s="21">
        <f>PuntoReorden</f>
        <v>7</v>
      </c>
    </row>
    <row r="235">
      <c r="A235" s="5">
        <f>A234+1</f>
        <v>230</v>
      </c>
      <c r="B235" s="20">
        <f>B234+IF(WEEKDAY(B234,2)=6,2,1)</f>
        <v>46290</v>
      </c>
      <c r="C235" s="5">
        <f>MONTH(B235)</f>
        <v>9</v>
      </c>
      <c r="D235" s="5">
        <f>IF(C235&lt;&gt;C234,1,0)</f>
        <v>0</v>
      </c>
      <c r="E235" s="5">
        <f>IF(L234=1,CantPedido,0)</f>
        <v>0</v>
      </c>
      <c r="F235" s="5">
        <f>J234+E235</f>
        <v>7</v>
      </c>
      <c r="G235" s="5">
        <f>RANDBETWEEN(3,7)</f>
        <v>4</v>
      </c>
      <c r="H235" s="5">
        <f>MIN(F235,G235)</f>
        <v>4</v>
      </c>
      <c r="I235" s="5">
        <f>G235-H235</f>
        <v>0</v>
      </c>
      <c r="J235" s="5">
        <f>F235-H235</f>
        <v>3</v>
      </c>
      <c r="K235" s="5">
        <f>IF(I235&gt;0,1,0)</f>
        <v>0</v>
      </c>
      <c r="L235" s="5">
        <f>IF(J235&lt;PuntoReorden,1,0)</f>
        <v>1</v>
      </c>
      <c r="M235" s="9">
        <f>PrecioVenta*H235</f>
        <v>2720000</v>
      </c>
      <c r="N235" s="9">
        <f>CostoUnitario*E235</f>
        <v>0</v>
      </c>
      <c r="O235" s="9">
        <f>IF(E235&gt;0,CostoPedido,0)</f>
        <v>0</v>
      </c>
      <c r="P235" s="9">
        <f>CostoAlm*(F235+J235)/2</f>
        <v>400</v>
      </c>
      <c r="Q235" s="9">
        <f>CostoFijo*D235</f>
        <v>0</v>
      </c>
      <c r="R235" s="9">
        <f>M235-N235-O235-P235-Q235</f>
        <v>2719600</v>
      </c>
      <c r="S235" s="21">
        <f>PuntoReorden</f>
        <v>7</v>
      </c>
    </row>
    <row r="236">
      <c r="A236" s="5">
        <f>A235+1</f>
        <v>231</v>
      </c>
      <c r="B236" s="20">
        <f>B235+IF(WEEKDAY(B235,2)=6,2,1)</f>
        <v>46291</v>
      </c>
      <c r="C236" s="5">
        <f>MONTH(B236)</f>
        <v>9</v>
      </c>
      <c r="D236" s="5">
        <f>IF(C236&lt;&gt;C235,1,0)</f>
        <v>0</v>
      </c>
      <c r="E236" s="5">
        <f>IF(L235=1,CantPedido,0)</f>
        <v>15</v>
      </c>
      <c r="F236" s="5">
        <f>J235+E236</f>
        <v>18</v>
      </c>
      <c r="G236" s="5">
        <f>RANDBETWEEN(3,7)</f>
        <v>6</v>
      </c>
      <c r="H236" s="5">
        <f>MIN(F236,G236)</f>
        <v>6</v>
      </c>
      <c r="I236" s="5">
        <f>G236-H236</f>
        <v>0</v>
      </c>
      <c r="J236" s="5">
        <f>F236-H236</f>
        <v>12</v>
      </c>
      <c r="K236" s="5">
        <f>IF(I236&gt;0,1,0)</f>
        <v>0</v>
      </c>
      <c r="L236" s="5">
        <f>IF(J236&lt;PuntoReorden,1,0)</f>
        <v>0</v>
      </c>
      <c r="M236" s="9">
        <f>PrecioVenta*H236</f>
        <v>4080000</v>
      </c>
      <c r="N236" s="9">
        <f>CostoUnitario*E236</f>
        <v>9000000</v>
      </c>
      <c r="O236" s="9">
        <f>IF(E236&gt;0,CostoPedido,0)</f>
        <v>40000</v>
      </c>
      <c r="P236" s="9">
        <f>CostoAlm*(F236+J236)/2</f>
        <v>1200</v>
      </c>
      <c r="Q236" s="9">
        <f>CostoFijo*D236</f>
        <v>0</v>
      </c>
      <c r="R236" s="9">
        <f>M236-N236-O236-P236-Q236</f>
        <v>-4961200</v>
      </c>
      <c r="S236" s="21">
        <f>PuntoReorden</f>
        <v>7</v>
      </c>
    </row>
    <row r="237">
      <c r="A237" s="5">
        <f>A236+1</f>
        <v>232</v>
      </c>
      <c r="B237" s="20">
        <f>B236+IF(WEEKDAY(B236,2)=6,2,1)</f>
        <v>46293</v>
      </c>
      <c r="C237" s="5">
        <f>MONTH(B237)</f>
        <v>9</v>
      </c>
      <c r="D237" s="5">
        <f>IF(C237&lt;&gt;C236,1,0)</f>
        <v>0</v>
      </c>
      <c r="E237" s="5">
        <f>IF(L236=1,CantPedido,0)</f>
        <v>0</v>
      </c>
      <c r="F237" s="5">
        <f>J236+E237</f>
        <v>12</v>
      </c>
      <c r="G237" s="5">
        <f>RANDBETWEEN(3,7)</f>
        <v>4</v>
      </c>
      <c r="H237" s="5">
        <f>MIN(F237,G237)</f>
        <v>4</v>
      </c>
      <c r="I237" s="5">
        <f>G237-H237</f>
        <v>0</v>
      </c>
      <c r="J237" s="5">
        <f>F237-H237</f>
        <v>8</v>
      </c>
      <c r="K237" s="5">
        <f>IF(I237&gt;0,1,0)</f>
        <v>0</v>
      </c>
      <c r="L237" s="5">
        <f>IF(J237&lt;PuntoReorden,1,0)</f>
        <v>0</v>
      </c>
      <c r="M237" s="9">
        <f>PrecioVenta*H237</f>
        <v>2720000</v>
      </c>
      <c r="N237" s="9">
        <f>CostoUnitario*E237</f>
        <v>0</v>
      </c>
      <c r="O237" s="9">
        <f>IF(E237&gt;0,CostoPedido,0)</f>
        <v>0</v>
      </c>
      <c r="P237" s="9">
        <f>CostoAlm*(F237+J237)/2</f>
        <v>800</v>
      </c>
      <c r="Q237" s="9">
        <f>CostoFijo*D237</f>
        <v>0</v>
      </c>
      <c r="R237" s="9">
        <f>M237-N237-O237-P237-Q237</f>
        <v>2719200</v>
      </c>
      <c r="S237" s="21">
        <f>PuntoReorden</f>
        <v>7</v>
      </c>
    </row>
    <row r="238">
      <c r="A238" s="5">
        <f>A237+1</f>
        <v>233</v>
      </c>
      <c r="B238" s="20">
        <f>B237+IF(WEEKDAY(B237,2)=6,2,1)</f>
        <v>46294</v>
      </c>
      <c r="C238" s="5">
        <f>MONTH(B238)</f>
        <v>9</v>
      </c>
      <c r="D238" s="5">
        <f>IF(C238&lt;&gt;C237,1,0)</f>
        <v>0</v>
      </c>
      <c r="E238" s="5">
        <f>IF(L237=1,CantPedido,0)</f>
        <v>0</v>
      </c>
      <c r="F238" s="5">
        <f>J237+E238</f>
        <v>8</v>
      </c>
      <c r="G238" s="5">
        <f>RANDBETWEEN(3,7)</f>
        <v>7</v>
      </c>
      <c r="H238" s="5">
        <f>MIN(F238,G238)</f>
        <v>7</v>
      </c>
      <c r="I238" s="5">
        <f>G238-H238</f>
        <v>0</v>
      </c>
      <c r="J238" s="5">
        <f>F238-H238</f>
        <v>1</v>
      </c>
      <c r="K238" s="5">
        <f>IF(I238&gt;0,1,0)</f>
        <v>0</v>
      </c>
      <c r="L238" s="5">
        <f>IF(J238&lt;PuntoReorden,1,0)</f>
        <v>1</v>
      </c>
      <c r="M238" s="9">
        <f>PrecioVenta*H238</f>
        <v>4760000</v>
      </c>
      <c r="N238" s="9">
        <f>CostoUnitario*E238</f>
        <v>0</v>
      </c>
      <c r="O238" s="9">
        <f>IF(E238&gt;0,CostoPedido,0)</f>
        <v>0</v>
      </c>
      <c r="P238" s="9">
        <f>CostoAlm*(F238+J238)/2</f>
        <v>360</v>
      </c>
      <c r="Q238" s="9">
        <f>CostoFijo*D238</f>
        <v>0</v>
      </c>
      <c r="R238" s="9">
        <f>M238-N238-O238-P238-Q238</f>
        <v>4759640</v>
      </c>
      <c r="S238" s="21">
        <f>PuntoReorden</f>
        <v>7</v>
      </c>
    </row>
    <row r="239">
      <c r="A239" s="5">
        <f>A238+1</f>
        <v>234</v>
      </c>
      <c r="B239" s="20">
        <f>B238+IF(WEEKDAY(B238,2)=6,2,1)</f>
        <v>46295</v>
      </c>
      <c r="C239" s="5">
        <f>MONTH(B239)</f>
        <v>9</v>
      </c>
      <c r="D239" s="5">
        <f>IF(C239&lt;&gt;C238,1,0)</f>
        <v>0</v>
      </c>
      <c r="E239" s="5">
        <f>IF(L238=1,CantPedido,0)</f>
        <v>15</v>
      </c>
      <c r="F239" s="5">
        <f>J238+E239</f>
        <v>16</v>
      </c>
      <c r="G239" s="5">
        <f>RANDBETWEEN(3,7)</f>
        <v>5</v>
      </c>
      <c r="H239" s="5">
        <f>MIN(F239,G239)</f>
        <v>5</v>
      </c>
      <c r="I239" s="5">
        <f>G239-H239</f>
        <v>0</v>
      </c>
      <c r="J239" s="5">
        <f>F239-H239</f>
        <v>11</v>
      </c>
      <c r="K239" s="5">
        <f>IF(I239&gt;0,1,0)</f>
        <v>0</v>
      </c>
      <c r="L239" s="5">
        <f>IF(J239&lt;PuntoReorden,1,0)</f>
        <v>0</v>
      </c>
      <c r="M239" s="9">
        <f>PrecioVenta*H239</f>
        <v>3400000</v>
      </c>
      <c r="N239" s="9">
        <f>CostoUnitario*E239</f>
        <v>9000000</v>
      </c>
      <c r="O239" s="9">
        <f>IF(E239&gt;0,CostoPedido,0)</f>
        <v>40000</v>
      </c>
      <c r="P239" s="9">
        <f>CostoAlm*(F239+J239)/2</f>
        <v>1080</v>
      </c>
      <c r="Q239" s="9">
        <f>CostoFijo*D239</f>
        <v>0</v>
      </c>
      <c r="R239" s="9">
        <f>M239-N239-O239-P239-Q239</f>
        <v>-5641080</v>
      </c>
      <c r="S239" s="21">
        <f>PuntoReorden</f>
        <v>7</v>
      </c>
    </row>
    <row r="240">
      <c r="A240" s="5">
        <f>A239+1</f>
        <v>235</v>
      </c>
      <c r="B240" s="20">
        <f>B239+IF(WEEKDAY(B239,2)=6,2,1)</f>
        <v>46296</v>
      </c>
      <c r="C240" s="5">
        <f>MONTH(B240)</f>
        <v>10</v>
      </c>
      <c r="D240" s="5">
        <f>IF(C240&lt;&gt;C239,1,0)</f>
        <v>1</v>
      </c>
      <c r="E240" s="5">
        <f>IF(L239=1,CantPedido,0)</f>
        <v>0</v>
      </c>
      <c r="F240" s="5">
        <f>J239+E240</f>
        <v>11</v>
      </c>
      <c r="G240" s="5">
        <f>RANDBETWEEN(3,7)</f>
        <v>6</v>
      </c>
      <c r="H240" s="5">
        <f>MIN(F240,G240)</f>
        <v>6</v>
      </c>
      <c r="I240" s="5">
        <f>G240-H240</f>
        <v>0</v>
      </c>
      <c r="J240" s="5">
        <f>F240-H240</f>
        <v>5</v>
      </c>
      <c r="K240" s="5">
        <f>IF(I240&gt;0,1,0)</f>
        <v>0</v>
      </c>
      <c r="L240" s="5">
        <f>IF(J240&lt;PuntoReorden,1,0)</f>
        <v>1</v>
      </c>
      <c r="M240" s="9">
        <f>PrecioVenta*H240</f>
        <v>4080000</v>
      </c>
      <c r="N240" s="9">
        <f>CostoUnitario*E240</f>
        <v>0</v>
      </c>
      <c r="O240" s="9">
        <f>IF(E240&gt;0,CostoPedido,0)</f>
        <v>0</v>
      </c>
      <c r="P240" s="9">
        <f>CostoAlm*(F240+J240)/2</f>
        <v>640</v>
      </c>
      <c r="Q240" s="9">
        <f>CostoFijo*D240</f>
        <v>1000000</v>
      </c>
      <c r="R240" s="9">
        <f>M240-N240-O240-P240-Q240</f>
        <v>3079360</v>
      </c>
      <c r="S240" s="21">
        <f>PuntoReorden</f>
        <v>7</v>
      </c>
    </row>
    <row r="241">
      <c r="A241" s="5">
        <f>A240+1</f>
        <v>236</v>
      </c>
      <c r="B241" s="20">
        <f>B240+IF(WEEKDAY(B240,2)=6,2,1)</f>
        <v>46297</v>
      </c>
      <c r="C241" s="5">
        <f>MONTH(B241)</f>
        <v>10</v>
      </c>
      <c r="D241" s="5">
        <f>IF(C241&lt;&gt;C240,1,0)</f>
        <v>0</v>
      </c>
      <c r="E241" s="5">
        <f>IF(L240=1,CantPedido,0)</f>
        <v>15</v>
      </c>
      <c r="F241" s="5">
        <f>J240+E241</f>
        <v>20</v>
      </c>
      <c r="G241" s="5">
        <f>RANDBETWEEN(3,7)</f>
        <v>5</v>
      </c>
      <c r="H241" s="5">
        <f>MIN(F241,G241)</f>
        <v>5</v>
      </c>
      <c r="I241" s="5">
        <f>G241-H241</f>
        <v>0</v>
      </c>
      <c r="J241" s="5">
        <f>F241-H241</f>
        <v>15</v>
      </c>
      <c r="K241" s="5">
        <f>IF(I241&gt;0,1,0)</f>
        <v>0</v>
      </c>
      <c r="L241" s="5">
        <f>IF(J241&lt;PuntoReorden,1,0)</f>
        <v>0</v>
      </c>
      <c r="M241" s="9">
        <f>PrecioVenta*H241</f>
        <v>3400000</v>
      </c>
      <c r="N241" s="9">
        <f>CostoUnitario*E241</f>
        <v>9000000</v>
      </c>
      <c r="O241" s="9">
        <f>IF(E241&gt;0,CostoPedido,0)</f>
        <v>40000</v>
      </c>
      <c r="P241" s="9">
        <f>CostoAlm*(F241+J241)/2</f>
        <v>1400</v>
      </c>
      <c r="Q241" s="9">
        <f>CostoFijo*D241</f>
        <v>0</v>
      </c>
      <c r="R241" s="9">
        <f>M241-N241-O241-P241-Q241</f>
        <v>-5641400</v>
      </c>
      <c r="S241" s="21">
        <f>PuntoReorden</f>
        <v>7</v>
      </c>
    </row>
    <row r="242">
      <c r="A242" s="5">
        <f>A241+1</f>
        <v>237</v>
      </c>
      <c r="B242" s="20">
        <f>B241+IF(WEEKDAY(B241,2)=6,2,1)</f>
        <v>46298</v>
      </c>
      <c r="C242" s="5">
        <f>MONTH(B242)</f>
        <v>10</v>
      </c>
      <c r="D242" s="5">
        <f>IF(C242&lt;&gt;C241,1,0)</f>
        <v>0</v>
      </c>
      <c r="E242" s="5">
        <f>IF(L241=1,CantPedido,0)</f>
        <v>0</v>
      </c>
      <c r="F242" s="5">
        <f>J241+E242</f>
        <v>15</v>
      </c>
      <c r="G242" s="5">
        <f>RANDBETWEEN(3,7)</f>
        <v>5</v>
      </c>
      <c r="H242" s="5">
        <f>MIN(F242,G242)</f>
        <v>5</v>
      </c>
      <c r="I242" s="5">
        <f>G242-H242</f>
        <v>0</v>
      </c>
      <c r="J242" s="5">
        <f>F242-H242</f>
        <v>10</v>
      </c>
      <c r="K242" s="5">
        <f>IF(I242&gt;0,1,0)</f>
        <v>0</v>
      </c>
      <c r="L242" s="5">
        <f>IF(J242&lt;PuntoReorden,1,0)</f>
        <v>0</v>
      </c>
      <c r="M242" s="9">
        <f>PrecioVenta*H242</f>
        <v>3400000</v>
      </c>
      <c r="N242" s="9">
        <f>CostoUnitario*E242</f>
        <v>0</v>
      </c>
      <c r="O242" s="9">
        <f>IF(E242&gt;0,CostoPedido,0)</f>
        <v>0</v>
      </c>
      <c r="P242" s="9">
        <f>CostoAlm*(F242+J242)/2</f>
        <v>1000</v>
      </c>
      <c r="Q242" s="9">
        <f>CostoFijo*D242</f>
        <v>0</v>
      </c>
      <c r="R242" s="9">
        <f>M242-N242-O242-P242-Q242</f>
        <v>3399000</v>
      </c>
      <c r="S242" s="21">
        <f>PuntoReorden</f>
        <v>7</v>
      </c>
    </row>
    <row r="243">
      <c r="A243" s="5">
        <f>A242+1</f>
        <v>238</v>
      </c>
      <c r="B243" s="20">
        <f>B242+IF(WEEKDAY(B242,2)=6,2,1)</f>
        <v>46300</v>
      </c>
      <c r="C243" s="5">
        <f>MONTH(B243)</f>
        <v>10</v>
      </c>
      <c r="D243" s="5">
        <f>IF(C243&lt;&gt;C242,1,0)</f>
        <v>0</v>
      </c>
      <c r="E243" s="5">
        <f>IF(L242=1,CantPedido,0)</f>
        <v>0</v>
      </c>
      <c r="F243" s="5">
        <f>J242+E243</f>
        <v>10</v>
      </c>
      <c r="G243" s="5">
        <f>RANDBETWEEN(3,7)</f>
        <v>4</v>
      </c>
      <c r="H243" s="5">
        <f>MIN(F243,G243)</f>
        <v>4</v>
      </c>
      <c r="I243" s="5">
        <f>G243-H243</f>
        <v>0</v>
      </c>
      <c r="J243" s="5">
        <f>F243-H243</f>
        <v>6</v>
      </c>
      <c r="K243" s="5">
        <f>IF(I243&gt;0,1,0)</f>
        <v>0</v>
      </c>
      <c r="L243" s="5">
        <f>IF(J243&lt;PuntoReorden,1,0)</f>
        <v>1</v>
      </c>
      <c r="M243" s="9">
        <f>PrecioVenta*H243</f>
        <v>2720000</v>
      </c>
      <c r="N243" s="9">
        <f>CostoUnitario*E243</f>
        <v>0</v>
      </c>
      <c r="O243" s="9">
        <f>IF(E243&gt;0,CostoPedido,0)</f>
        <v>0</v>
      </c>
      <c r="P243" s="9">
        <f>CostoAlm*(F243+J243)/2</f>
        <v>640</v>
      </c>
      <c r="Q243" s="9">
        <f>CostoFijo*D243</f>
        <v>0</v>
      </c>
      <c r="R243" s="9">
        <f>M243-N243-O243-P243-Q243</f>
        <v>2719360</v>
      </c>
      <c r="S243" s="21">
        <f>PuntoReorden</f>
        <v>7</v>
      </c>
    </row>
    <row r="244">
      <c r="A244" s="5">
        <f>A243+1</f>
        <v>239</v>
      </c>
      <c r="B244" s="20">
        <f>B243+IF(WEEKDAY(B243,2)=6,2,1)</f>
        <v>46301</v>
      </c>
      <c r="C244" s="5">
        <f>MONTH(B244)</f>
        <v>10</v>
      </c>
      <c r="D244" s="5">
        <f>IF(C244&lt;&gt;C243,1,0)</f>
        <v>0</v>
      </c>
      <c r="E244" s="5">
        <f>IF(L243=1,CantPedido,0)</f>
        <v>15</v>
      </c>
      <c r="F244" s="5">
        <f>J243+E244</f>
        <v>21</v>
      </c>
      <c r="G244" s="5">
        <f>RANDBETWEEN(3,7)</f>
        <v>6</v>
      </c>
      <c r="H244" s="5">
        <f>MIN(F244,G244)</f>
        <v>6</v>
      </c>
      <c r="I244" s="5">
        <f>G244-H244</f>
        <v>0</v>
      </c>
      <c r="J244" s="5">
        <f>F244-H244</f>
        <v>15</v>
      </c>
      <c r="K244" s="5">
        <f>IF(I244&gt;0,1,0)</f>
        <v>0</v>
      </c>
      <c r="L244" s="5">
        <f>IF(J244&lt;PuntoReorden,1,0)</f>
        <v>0</v>
      </c>
      <c r="M244" s="9">
        <f>PrecioVenta*H244</f>
        <v>4080000</v>
      </c>
      <c r="N244" s="9">
        <f>CostoUnitario*E244</f>
        <v>9000000</v>
      </c>
      <c r="O244" s="9">
        <f>IF(E244&gt;0,CostoPedido,0)</f>
        <v>40000</v>
      </c>
      <c r="P244" s="9">
        <f>CostoAlm*(F244+J244)/2</f>
        <v>1440</v>
      </c>
      <c r="Q244" s="9">
        <f>CostoFijo*D244</f>
        <v>0</v>
      </c>
      <c r="R244" s="9">
        <f>M244-N244-O244-P244-Q244</f>
        <v>-4961440</v>
      </c>
      <c r="S244" s="21">
        <f>PuntoReorden</f>
        <v>7</v>
      </c>
    </row>
    <row r="245">
      <c r="A245" s="5">
        <f>A244+1</f>
        <v>240</v>
      </c>
      <c r="B245" s="20">
        <f>B244+IF(WEEKDAY(B244,2)=6,2,1)</f>
        <v>46302</v>
      </c>
      <c r="C245" s="5">
        <f>MONTH(B245)</f>
        <v>10</v>
      </c>
      <c r="D245" s="5">
        <f>IF(C245&lt;&gt;C244,1,0)</f>
        <v>0</v>
      </c>
      <c r="E245" s="5">
        <f>IF(L244=1,CantPedido,0)</f>
        <v>0</v>
      </c>
      <c r="F245" s="5">
        <f>J244+E245</f>
        <v>15</v>
      </c>
      <c r="G245" s="5">
        <f>RANDBETWEEN(3,7)</f>
        <v>4</v>
      </c>
      <c r="H245" s="5">
        <f>MIN(F245,G245)</f>
        <v>4</v>
      </c>
      <c r="I245" s="5">
        <f>G245-H245</f>
        <v>0</v>
      </c>
      <c r="J245" s="5">
        <f>F245-H245</f>
        <v>11</v>
      </c>
      <c r="K245" s="5">
        <f>IF(I245&gt;0,1,0)</f>
        <v>0</v>
      </c>
      <c r="L245" s="5">
        <f>IF(J245&lt;PuntoReorden,1,0)</f>
        <v>0</v>
      </c>
      <c r="M245" s="9">
        <f>PrecioVenta*H245</f>
        <v>2720000</v>
      </c>
      <c r="N245" s="9">
        <f>CostoUnitario*E245</f>
        <v>0</v>
      </c>
      <c r="O245" s="9">
        <f>IF(E245&gt;0,CostoPedido,0)</f>
        <v>0</v>
      </c>
      <c r="P245" s="9">
        <f>CostoAlm*(F245+J245)/2</f>
        <v>1040</v>
      </c>
      <c r="Q245" s="9">
        <f>CostoFijo*D245</f>
        <v>0</v>
      </c>
      <c r="R245" s="9">
        <f>M245-N245-O245-P245-Q245</f>
        <v>2718960</v>
      </c>
      <c r="S245" s="21">
        <f>PuntoReorden</f>
        <v>7</v>
      </c>
    </row>
    <row r="246">
      <c r="A246" s="5">
        <f>A245+1</f>
        <v>241</v>
      </c>
      <c r="B246" s="20">
        <f>B245+IF(WEEKDAY(B245,2)=6,2,1)</f>
        <v>46303</v>
      </c>
      <c r="C246" s="5">
        <f>MONTH(B246)</f>
        <v>10</v>
      </c>
      <c r="D246" s="5">
        <f>IF(C246&lt;&gt;C245,1,0)</f>
        <v>0</v>
      </c>
      <c r="E246" s="5">
        <f>IF(L245=1,CantPedido,0)</f>
        <v>0</v>
      </c>
      <c r="F246" s="5">
        <f>J245+E246</f>
        <v>11</v>
      </c>
      <c r="G246" s="5">
        <f>RANDBETWEEN(3,7)</f>
        <v>7</v>
      </c>
      <c r="H246" s="5">
        <f>MIN(F246,G246)</f>
        <v>7</v>
      </c>
      <c r="I246" s="5">
        <f>G246-H246</f>
        <v>0</v>
      </c>
      <c r="J246" s="5">
        <f>F246-H246</f>
        <v>4</v>
      </c>
      <c r="K246" s="5">
        <f>IF(I246&gt;0,1,0)</f>
        <v>0</v>
      </c>
      <c r="L246" s="5">
        <f>IF(J246&lt;PuntoReorden,1,0)</f>
        <v>1</v>
      </c>
      <c r="M246" s="9">
        <f>PrecioVenta*H246</f>
        <v>4760000</v>
      </c>
      <c r="N246" s="9">
        <f>CostoUnitario*E246</f>
        <v>0</v>
      </c>
      <c r="O246" s="9">
        <f>IF(E246&gt;0,CostoPedido,0)</f>
        <v>0</v>
      </c>
      <c r="P246" s="9">
        <f>CostoAlm*(F246+J246)/2</f>
        <v>600</v>
      </c>
      <c r="Q246" s="9">
        <f>CostoFijo*D246</f>
        <v>0</v>
      </c>
      <c r="R246" s="9">
        <f>M246-N246-O246-P246-Q246</f>
        <v>4759400</v>
      </c>
      <c r="S246" s="21">
        <f>PuntoReorden</f>
        <v>7</v>
      </c>
    </row>
    <row r="247">
      <c r="A247" s="5">
        <f>A246+1</f>
        <v>242</v>
      </c>
      <c r="B247" s="20">
        <f>B246+IF(WEEKDAY(B246,2)=6,2,1)</f>
        <v>46304</v>
      </c>
      <c r="C247" s="5">
        <f>MONTH(B247)</f>
        <v>10</v>
      </c>
      <c r="D247" s="5">
        <f>IF(C247&lt;&gt;C246,1,0)</f>
        <v>0</v>
      </c>
      <c r="E247" s="5">
        <f>IF(L246=1,CantPedido,0)</f>
        <v>15</v>
      </c>
      <c r="F247" s="5">
        <f>J246+E247</f>
        <v>19</v>
      </c>
      <c r="G247" s="5">
        <f>RANDBETWEEN(3,7)</f>
        <v>7</v>
      </c>
      <c r="H247" s="5">
        <f>MIN(F247,G247)</f>
        <v>7</v>
      </c>
      <c r="I247" s="5">
        <f>G247-H247</f>
        <v>0</v>
      </c>
      <c r="J247" s="5">
        <f>F247-H247</f>
        <v>12</v>
      </c>
      <c r="K247" s="5">
        <f>IF(I247&gt;0,1,0)</f>
        <v>0</v>
      </c>
      <c r="L247" s="5">
        <f>IF(J247&lt;PuntoReorden,1,0)</f>
        <v>0</v>
      </c>
      <c r="M247" s="9">
        <f>PrecioVenta*H247</f>
        <v>4760000</v>
      </c>
      <c r="N247" s="9">
        <f>CostoUnitario*E247</f>
        <v>9000000</v>
      </c>
      <c r="O247" s="9">
        <f>IF(E247&gt;0,CostoPedido,0)</f>
        <v>40000</v>
      </c>
      <c r="P247" s="9">
        <f>CostoAlm*(F247+J247)/2</f>
        <v>1240</v>
      </c>
      <c r="Q247" s="9">
        <f>CostoFijo*D247</f>
        <v>0</v>
      </c>
      <c r="R247" s="9">
        <f>M247-N247-O247-P247-Q247</f>
        <v>-4281240</v>
      </c>
      <c r="S247" s="21">
        <f>PuntoReorden</f>
        <v>7</v>
      </c>
    </row>
    <row r="248">
      <c r="A248" s="5">
        <f>A247+1</f>
        <v>243</v>
      </c>
      <c r="B248" s="20">
        <f>B247+IF(WEEKDAY(B247,2)=6,2,1)</f>
        <v>46305</v>
      </c>
      <c r="C248" s="5">
        <f>MONTH(B248)</f>
        <v>10</v>
      </c>
      <c r="D248" s="5">
        <f>IF(C248&lt;&gt;C247,1,0)</f>
        <v>0</v>
      </c>
      <c r="E248" s="5">
        <f>IF(L247=1,CantPedido,0)</f>
        <v>0</v>
      </c>
      <c r="F248" s="5">
        <f>J247+E248</f>
        <v>12</v>
      </c>
      <c r="G248" s="5">
        <f>RANDBETWEEN(3,7)</f>
        <v>6</v>
      </c>
      <c r="H248" s="5">
        <f>MIN(F248,G248)</f>
        <v>6</v>
      </c>
      <c r="I248" s="5">
        <f>G248-H248</f>
        <v>0</v>
      </c>
      <c r="J248" s="5">
        <f>F248-H248</f>
        <v>6</v>
      </c>
      <c r="K248" s="5">
        <f>IF(I248&gt;0,1,0)</f>
        <v>0</v>
      </c>
      <c r="L248" s="5">
        <f>IF(J248&lt;PuntoReorden,1,0)</f>
        <v>1</v>
      </c>
      <c r="M248" s="9">
        <f>PrecioVenta*H248</f>
        <v>4080000</v>
      </c>
      <c r="N248" s="9">
        <f>CostoUnitario*E248</f>
        <v>0</v>
      </c>
      <c r="O248" s="9">
        <f>IF(E248&gt;0,CostoPedido,0)</f>
        <v>0</v>
      </c>
      <c r="P248" s="9">
        <f>CostoAlm*(F248+J248)/2</f>
        <v>720</v>
      </c>
      <c r="Q248" s="9">
        <f>CostoFijo*D248</f>
        <v>0</v>
      </c>
      <c r="R248" s="9">
        <f>M248-N248-O248-P248-Q248</f>
        <v>4079280</v>
      </c>
      <c r="S248" s="21">
        <f>PuntoReorden</f>
        <v>7</v>
      </c>
    </row>
    <row r="249">
      <c r="A249" s="5">
        <f>A248+1</f>
        <v>244</v>
      </c>
      <c r="B249" s="20">
        <f>B248+IF(WEEKDAY(B248,2)=6,2,1)</f>
        <v>46307</v>
      </c>
      <c r="C249" s="5">
        <f>MONTH(B249)</f>
        <v>10</v>
      </c>
      <c r="D249" s="5">
        <f>IF(C249&lt;&gt;C248,1,0)</f>
        <v>0</v>
      </c>
      <c r="E249" s="5">
        <f>IF(L248=1,CantPedido,0)</f>
        <v>15</v>
      </c>
      <c r="F249" s="5">
        <f>J248+E249</f>
        <v>21</v>
      </c>
      <c r="G249" s="5">
        <f>RANDBETWEEN(3,7)</f>
        <v>6</v>
      </c>
      <c r="H249" s="5">
        <f>MIN(F249,G249)</f>
        <v>6</v>
      </c>
      <c r="I249" s="5">
        <f>G249-H249</f>
        <v>0</v>
      </c>
      <c r="J249" s="5">
        <f>F249-H249</f>
        <v>15</v>
      </c>
      <c r="K249" s="5">
        <f>IF(I249&gt;0,1,0)</f>
        <v>0</v>
      </c>
      <c r="L249" s="5">
        <f>IF(J249&lt;PuntoReorden,1,0)</f>
        <v>0</v>
      </c>
      <c r="M249" s="9">
        <f>PrecioVenta*H249</f>
        <v>4080000</v>
      </c>
      <c r="N249" s="9">
        <f>CostoUnitario*E249</f>
        <v>9000000</v>
      </c>
      <c r="O249" s="9">
        <f>IF(E249&gt;0,CostoPedido,0)</f>
        <v>40000</v>
      </c>
      <c r="P249" s="9">
        <f>CostoAlm*(F249+J249)/2</f>
        <v>1440</v>
      </c>
      <c r="Q249" s="9">
        <f>CostoFijo*D249</f>
        <v>0</v>
      </c>
      <c r="R249" s="9">
        <f>M249-N249-O249-P249-Q249</f>
        <v>-4961440</v>
      </c>
      <c r="S249" s="21">
        <f>PuntoReorden</f>
        <v>7</v>
      </c>
    </row>
    <row r="250">
      <c r="A250" s="5">
        <f>A249+1</f>
        <v>245</v>
      </c>
      <c r="B250" s="20">
        <f>B249+IF(WEEKDAY(B249,2)=6,2,1)</f>
        <v>46308</v>
      </c>
      <c r="C250" s="5">
        <f>MONTH(B250)</f>
        <v>10</v>
      </c>
      <c r="D250" s="5">
        <f>IF(C250&lt;&gt;C249,1,0)</f>
        <v>0</v>
      </c>
      <c r="E250" s="5">
        <f>IF(L249=1,CantPedido,0)</f>
        <v>0</v>
      </c>
      <c r="F250" s="5">
        <f>J249+E250</f>
        <v>15</v>
      </c>
      <c r="G250" s="5">
        <f>RANDBETWEEN(3,7)</f>
        <v>5</v>
      </c>
      <c r="H250" s="5">
        <f>MIN(F250,G250)</f>
        <v>5</v>
      </c>
      <c r="I250" s="5">
        <f>G250-H250</f>
        <v>0</v>
      </c>
      <c r="J250" s="5">
        <f>F250-H250</f>
        <v>10</v>
      </c>
      <c r="K250" s="5">
        <f>IF(I250&gt;0,1,0)</f>
        <v>0</v>
      </c>
      <c r="L250" s="5">
        <f>IF(J250&lt;PuntoReorden,1,0)</f>
        <v>0</v>
      </c>
      <c r="M250" s="9">
        <f>PrecioVenta*H250</f>
        <v>3400000</v>
      </c>
      <c r="N250" s="9">
        <f>CostoUnitario*E250</f>
        <v>0</v>
      </c>
      <c r="O250" s="9">
        <f>IF(E250&gt;0,CostoPedido,0)</f>
        <v>0</v>
      </c>
      <c r="P250" s="9">
        <f>CostoAlm*(F250+J250)/2</f>
        <v>1000</v>
      </c>
      <c r="Q250" s="9">
        <f>CostoFijo*D250</f>
        <v>0</v>
      </c>
      <c r="R250" s="9">
        <f>M250-N250-O250-P250-Q250</f>
        <v>3399000</v>
      </c>
      <c r="S250" s="21">
        <f>PuntoReorden</f>
        <v>7</v>
      </c>
    </row>
    <row r="251">
      <c r="A251" s="5">
        <f>A250+1</f>
        <v>246</v>
      </c>
      <c r="B251" s="20">
        <f>B250+IF(WEEKDAY(B250,2)=6,2,1)</f>
        <v>46309</v>
      </c>
      <c r="C251" s="5">
        <f>MONTH(B251)</f>
        <v>10</v>
      </c>
      <c r="D251" s="5">
        <f>IF(C251&lt;&gt;C250,1,0)</f>
        <v>0</v>
      </c>
      <c r="E251" s="5">
        <f>IF(L250=1,CantPedido,0)</f>
        <v>0</v>
      </c>
      <c r="F251" s="5">
        <f>J250+E251</f>
        <v>10</v>
      </c>
      <c r="G251" s="5">
        <f>RANDBETWEEN(3,7)</f>
        <v>3</v>
      </c>
      <c r="H251" s="5">
        <f>MIN(F251,G251)</f>
        <v>3</v>
      </c>
      <c r="I251" s="5">
        <f>G251-H251</f>
        <v>0</v>
      </c>
      <c r="J251" s="5">
        <f>F251-H251</f>
        <v>7</v>
      </c>
      <c r="K251" s="5">
        <f>IF(I251&gt;0,1,0)</f>
        <v>0</v>
      </c>
      <c r="L251" s="5">
        <f>IF(J251&lt;PuntoReorden,1,0)</f>
        <v>0</v>
      </c>
      <c r="M251" s="9">
        <f>PrecioVenta*H251</f>
        <v>2040000</v>
      </c>
      <c r="N251" s="9">
        <f>CostoUnitario*E251</f>
        <v>0</v>
      </c>
      <c r="O251" s="9">
        <f>IF(E251&gt;0,CostoPedido,0)</f>
        <v>0</v>
      </c>
      <c r="P251" s="9">
        <f>CostoAlm*(F251+J251)/2</f>
        <v>680</v>
      </c>
      <c r="Q251" s="9">
        <f>CostoFijo*D251</f>
        <v>0</v>
      </c>
      <c r="R251" s="9">
        <f>M251-N251-O251-P251-Q251</f>
        <v>2039320</v>
      </c>
      <c r="S251" s="21">
        <f>PuntoReorden</f>
        <v>7</v>
      </c>
    </row>
    <row r="252">
      <c r="A252" s="5">
        <f>A251+1</f>
        <v>247</v>
      </c>
      <c r="B252" s="20">
        <f>B251+IF(WEEKDAY(B251,2)=6,2,1)</f>
        <v>46310</v>
      </c>
      <c r="C252" s="5">
        <f>MONTH(B252)</f>
        <v>10</v>
      </c>
      <c r="D252" s="5">
        <f>IF(C252&lt;&gt;C251,1,0)</f>
        <v>0</v>
      </c>
      <c r="E252" s="5">
        <f>IF(L251=1,CantPedido,0)</f>
        <v>0</v>
      </c>
      <c r="F252" s="5">
        <f>J251+E252</f>
        <v>7</v>
      </c>
      <c r="G252" s="5">
        <f>RANDBETWEEN(3,7)</f>
        <v>5</v>
      </c>
      <c r="H252" s="5">
        <f>MIN(F252,G252)</f>
        <v>5</v>
      </c>
      <c r="I252" s="5">
        <f>G252-H252</f>
        <v>0</v>
      </c>
      <c r="J252" s="5">
        <f>F252-H252</f>
        <v>2</v>
      </c>
      <c r="K252" s="5">
        <f>IF(I252&gt;0,1,0)</f>
        <v>0</v>
      </c>
      <c r="L252" s="5">
        <f>IF(J252&lt;PuntoReorden,1,0)</f>
        <v>1</v>
      </c>
      <c r="M252" s="9">
        <f>PrecioVenta*H252</f>
        <v>3400000</v>
      </c>
      <c r="N252" s="9">
        <f>CostoUnitario*E252</f>
        <v>0</v>
      </c>
      <c r="O252" s="9">
        <f>IF(E252&gt;0,CostoPedido,0)</f>
        <v>0</v>
      </c>
      <c r="P252" s="9">
        <f>CostoAlm*(F252+J252)/2</f>
        <v>360</v>
      </c>
      <c r="Q252" s="9">
        <f>CostoFijo*D252</f>
        <v>0</v>
      </c>
      <c r="R252" s="9">
        <f>M252-N252-O252-P252-Q252</f>
        <v>3399640</v>
      </c>
      <c r="S252" s="21">
        <f>PuntoReorden</f>
        <v>7</v>
      </c>
    </row>
    <row r="253">
      <c r="A253" s="5">
        <f>A252+1</f>
        <v>248</v>
      </c>
      <c r="B253" s="20">
        <f>B252+IF(WEEKDAY(B252,2)=6,2,1)</f>
        <v>46311</v>
      </c>
      <c r="C253" s="5">
        <f>MONTH(B253)</f>
        <v>10</v>
      </c>
      <c r="D253" s="5">
        <f>IF(C253&lt;&gt;C252,1,0)</f>
        <v>0</v>
      </c>
      <c r="E253" s="5">
        <f>IF(L252=1,CantPedido,0)</f>
        <v>15</v>
      </c>
      <c r="F253" s="5">
        <f>J252+E253</f>
        <v>17</v>
      </c>
      <c r="G253" s="5">
        <f>RANDBETWEEN(3,7)</f>
        <v>3</v>
      </c>
      <c r="H253" s="5">
        <f>MIN(F253,G253)</f>
        <v>3</v>
      </c>
      <c r="I253" s="5">
        <f>G253-H253</f>
        <v>0</v>
      </c>
      <c r="J253" s="5">
        <f>F253-H253</f>
        <v>14</v>
      </c>
      <c r="K253" s="5">
        <f>IF(I253&gt;0,1,0)</f>
        <v>0</v>
      </c>
      <c r="L253" s="5">
        <f>IF(J253&lt;PuntoReorden,1,0)</f>
        <v>0</v>
      </c>
      <c r="M253" s="9">
        <f>PrecioVenta*H253</f>
        <v>2040000</v>
      </c>
      <c r="N253" s="9">
        <f>CostoUnitario*E253</f>
        <v>9000000</v>
      </c>
      <c r="O253" s="9">
        <f>IF(E253&gt;0,CostoPedido,0)</f>
        <v>40000</v>
      </c>
      <c r="P253" s="9">
        <f>CostoAlm*(F253+J253)/2</f>
        <v>1240</v>
      </c>
      <c r="Q253" s="9">
        <f>CostoFijo*D253</f>
        <v>0</v>
      </c>
      <c r="R253" s="9">
        <f>M253-N253-O253-P253-Q253</f>
        <v>-7001240</v>
      </c>
      <c r="S253" s="21">
        <f>PuntoReorden</f>
        <v>7</v>
      </c>
    </row>
    <row r="254">
      <c r="A254" s="5">
        <f>A253+1</f>
        <v>249</v>
      </c>
      <c r="B254" s="20">
        <f>B253+IF(WEEKDAY(B253,2)=6,2,1)</f>
        <v>46312</v>
      </c>
      <c r="C254" s="5">
        <f>MONTH(B254)</f>
        <v>10</v>
      </c>
      <c r="D254" s="5">
        <f>IF(C254&lt;&gt;C253,1,0)</f>
        <v>0</v>
      </c>
      <c r="E254" s="5">
        <f>IF(L253=1,CantPedido,0)</f>
        <v>0</v>
      </c>
      <c r="F254" s="5">
        <f>J253+E254</f>
        <v>14</v>
      </c>
      <c r="G254" s="5">
        <f>RANDBETWEEN(3,7)</f>
        <v>3</v>
      </c>
      <c r="H254" s="5">
        <f>MIN(F254,G254)</f>
        <v>3</v>
      </c>
      <c r="I254" s="5">
        <f>G254-H254</f>
        <v>0</v>
      </c>
      <c r="J254" s="5">
        <f>F254-H254</f>
        <v>11</v>
      </c>
      <c r="K254" s="5">
        <f>IF(I254&gt;0,1,0)</f>
        <v>0</v>
      </c>
      <c r="L254" s="5">
        <f>IF(J254&lt;PuntoReorden,1,0)</f>
        <v>0</v>
      </c>
      <c r="M254" s="9">
        <f>PrecioVenta*H254</f>
        <v>2040000</v>
      </c>
      <c r="N254" s="9">
        <f>CostoUnitario*E254</f>
        <v>0</v>
      </c>
      <c r="O254" s="9">
        <f>IF(E254&gt;0,CostoPedido,0)</f>
        <v>0</v>
      </c>
      <c r="P254" s="9">
        <f>CostoAlm*(F254+J254)/2</f>
        <v>1000</v>
      </c>
      <c r="Q254" s="9">
        <f>CostoFijo*D254</f>
        <v>0</v>
      </c>
      <c r="R254" s="9">
        <f>M254-N254-O254-P254-Q254</f>
        <v>2039000</v>
      </c>
      <c r="S254" s="21">
        <f>PuntoReorden</f>
        <v>7</v>
      </c>
    </row>
    <row r="255">
      <c r="A255" s="5">
        <f>A254+1</f>
        <v>250</v>
      </c>
      <c r="B255" s="20">
        <f>B254+IF(WEEKDAY(B254,2)=6,2,1)</f>
        <v>46314</v>
      </c>
      <c r="C255" s="5">
        <f>MONTH(B255)</f>
        <v>10</v>
      </c>
      <c r="D255" s="5">
        <f>IF(C255&lt;&gt;C254,1,0)</f>
        <v>0</v>
      </c>
      <c r="E255" s="5">
        <f>IF(L254=1,CantPedido,0)</f>
        <v>0</v>
      </c>
      <c r="F255" s="5">
        <f>J254+E255</f>
        <v>11</v>
      </c>
      <c r="G255" s="5">
        <f>RANDBETWEEN(3,7)</f>
        <v>4</v>
      </c>
      <c r="H255" s="5">
        <f>MIN(F255,G255)</f>
        <v>4</v>
      </c>
      <c r="I255" s="5">
        <f>G255-H255</f>
        <v>0</v>
      </c>
      <c r="J255" s="5">
        <f>F255-H255</f>
        <v>7</v>
      </c>
      <c r="K255" s="5">
        <f>IF(I255&gt;0,1,0)</f>
        <v>0</v>
      </c>
      <c r="L255" s="5">
        <f>IF(J255&lt;PuntoReorden,1,0)</f>
        <v>0</v>
      </c>
      <c r="M255" s="9">
        <f>PrecioVenta*H255</f>
        <v>2720000</v>
      </c>
      <c r="N255" s="9">
        <f>CostoUnitario*E255</f>
        <v>0</v>
      </c>
      <c r="O255" s="9">
        <f>IF(E255&gt;0,CostoPedido,0)</f>
        <v>0</v>
      </c>
      <c r="P255" s="9">
        <f>CostoAlm*(F255+J255)/2</f>
        <v>720</v>
      </c>
      <c r="Q255" s="9">
        <f>CostoFijo*D255</f>
        <v>0</v>
      </c>
      <c r="R255" s="9">
        <f>M255-N255-O255-P255-Q255</f>
        <v>2719280</v>
      </c>
      <c r="S255" s="21">
        <f>PuntoReorden</f>
        <v>7</v>
      </c>
    </row>
    <row r="256">
      <c r="A256" s="5">
        <f>A255+1</f>
        <v>251</v>
      </c>
      <c r="B256" s="20">
        <f>B255+IF(WEEKDAY(B255,2)=6,2,1)</f>
        <v>46315</v>
      </c>
      <c r="C256" s="5">
        <f>MONTH(B256)</f>
        <v>10</v>
      </c>
      <c r="D256" s="5">
        <f>IF(C256&lt;&gt;C255,1,0)</f>
        <v>0</v>
      </c>
      <c r="E256" s="5">
        <f>IF(L255=1,CantPedido,0)</f>
        <v>0</v>
      </c>
      <c r="F256" s="5">
        <f>J255+E256</f>
        <v>7</v>
      </c>
      <c r="G256" s="5">
        <f>RANDBETWEEN(3,7)</f>
        <v>5</v>
      </c>
      <c r="H256" s="5">
        <f>MIN(F256,G256)</f>
        <v>5</v>
      </c>
      <c r="I256" s="5">
        <f>G256-H256</f>
        <v>0</v>
      </c>
      <c r="J256" s="5">
        <f>F256-H256</f>
        <v>2</v>
      </c>
      <c r="K256" s="5">
        <f>IF(I256&gt;0,1,0)</f>
        <v>0</v>
      </c>
      <c r="L256" s="5">
        <f>IF(J256&lt;PuntoReorden,1,0)</f>
        <v>1</v>
      </c>
      <c r="M256" s="9">
        <f>PrecioVenta*H256</f>
        <v>3400000</v>
      </c>
      <c r="N256" s="9">
        <f>CostoUnitario*E256</f>
        <v>0</v>
      </c>
      <c r="O256" s="9">
        <f>IF(E256&gt;0,CostoPedido,0)</f>
        <v>0</v>
      </c>
      <c r="P256" s="9">
        <f>CostoAlm*(F256+J256)/2</f>
        <v>360</v>
      </c>
      <c r="Q256" s="9">
        <f>CostoFijo*D256</f>
        <v>0</v>
      </c>
      <c r="R256" s="9">
        <f>M256-N256-O256-P256-Q256</f>
        <v>3399640</v>
      </c>
      <c r="S256" s="21">
        <f>PuntoReorden</f>
        <v>7</v>
      </c>
    </row>
    <row r="257">
      <c r="A257" s="5">
        <f>A256+1</f>
        <v>252</v>
      </c>
      <c r="B257" s="20">
        <f>B256+IF(WEEKDAY(B256,2)=6,2,1)</f>
        <v>46316</v>
      </c>
      <c r="C257" s="5">
        <f>MONTH(B257)</f>
        <v>10</v>
      </c>
      <c r="D257" s="5">
        <f>IF(C257&lt;&gt;C256,1,0)</f>
        <v>0</v>
      </c>
      <c r="E257" s="5">
        <f>IF(L256=1,CantPedido,0)</f>
        <v>15</v>
      </c>
      <c r="F257" s="5">
        <f>J256+E257</f>
        <v>17</v>
      </c>
      <c r="G257" s="5">
        <f>RANDBETWEEN(3,7)</f>
        <v>4</v>
      </c>
      <c r="H257" s="5">
        <f>MIN(F257,G257)</f>
        <v>4</v>
      </c>
      <c r="I257" s="5">
        <f>G257-H257</f>
        <v>0</v>
      </c>
      <c r="J257" s="5">
        <f>F257-H257</f>
        <v>13</v>
      </c>
      <c r="K257" s="5">
        <f>IF(I257&gt;0,1,0)</f>
        <v>0</v>
      </c>
      <c r="L257" s="5">
        <f>IF(J257&lt;PuntoReorden,1,0)</f>
        <v>0</v>
      </c>
      <c r="M257" s="9">
        <f>PrecioVenta*H257</f>
        <v>2720000</v>
      </c>
      <c r="N257" s="9">
        <f>CostoUnitario*E257</f>
        <v>9000000</v>
      </c>
      <c r="O257" s="9">
        <f>IF(E257&gt;0,CostoPedido,0)</f>
        <v>40000</v>
      </c>
      <c r="P257" s="9">
        <f>CostoAlm*(F257+J257)/2</f>
        <v>1200</v>
      </c>
      <c r="Q257" s="9">
        <f>CostoFijo*D257</f>
        <v>0</v>
      </c>
      <c r="R257" s="9">
        <f>M257-N257-O257-P257-Q257</f>
        <v>-6321200</v>
      </c>
      <c r="S257" s="21">
        <f>PuntoReorden</f>
        <v>7</v>
      </c>
    </row>
    <row r="258">
      <c r="A258" s="5">
        <f>A257+1</f>
        <v>253</v>
      </c>
      <c r="B258" s="20">
        <f>B257+IF(WEEKDAY(B257,2)=6,2,1)</f>
        <v>46317</v>
      </c>
      <c r="C258" s="5">
        <f>MONTH(B258)</f>
        <v>10</v>
      </c>
      <c r="D258" s="5">
        <f>IF(C258&lt;&gt;C257,1,0)</f>
        <v>0</v>
      </c>
      <c r="E258" s="5">
        <f>IF(L257=1,CantPedido,0)</f>
        <v>0</v>
      </c>
      <c r="F258" s="5">
        <f>J257+E258</f>
        <v>13</v>
      </c>
      <c r="G258" s="5">
        <f>RANDBETWEEN(3,7)</f>
        <v>4</v>
      </c>
      <c r="H258" s="5">
        <f>MIN(F258,G258)</f>
        <v>4</v>
      </c>
      <c r="I258" s="5">
        <f>G258-H258</f>
        <v>0</v>
      </c>
      <c r="J258" s="5">
        <f>F258-H258</f>
        <v>9</v>
      </c>
      <c r="K258" s="5">
        <f>IF(I258&gt;0,1,0)</f>
        <v>0</v>
      </c>
      <c r="L258" s="5">
        <f>IF(J258&lt;PuntoReorden,1,0)</f>
        <v>0</v>
      </c>
      <c r="M258" s="9">
        <f>PrecioVenta*H258</f>
        <v>2720000</v>
      </c>
      <c r="N258" s="9">
        <f>CostoUnitario*E258</f>
        <v>0</v>
      </c>
      <c r="O258" s="9">
        <f>IF(E258&gt;0,CostoPedido,0)</f>
        <v>0</v>
      </c>
      <c r="P258" s="9">
        <f>CostoAlm*(F258+J258)/2</f>
        <v>880</v>
      </c>
      <c r="Q258" s="9">
        <f>CostoFijo*D258</f>
        <v>0</v>
      </c>
      <c r="R258" s="9">
        <f>M258-N258-O258-P258-Q258</f>
        <v>2719120</v>
      </c>
      <c r="S258" s="21">
        <f>PuntoReorden</f>
        <v>7</v>
      </c>
    </row>
    <row r="259">
      <c r="A259" s="5">
        <f>A258+1</f>
        <v>254</v>
      </c>
      <c r="B259" s="20">
        <f>B258+IF(WEEKDAY(B258,2)=6,2,1)</f>
        <v>46318</v>
      </c>
      <c r="C259" s="5">
        <f>MONTH(B259)</f>
        <v>10</v>
      </c>
      <c r="D259" s="5">
        <f>IF(C259&lt;&gt;C258,1,0)</f>
        <v>0</v>
      </c>
      <c r="E259" s="5">
        <f>IF(L258=1,CantPedido,0)</f>
        <v>0</v>
      </c>
      <c r="F259" s="5">
        <f>J258+E259</f>
        <v>9</v>
      </c>
      <c r="G259" s="5">
        <f>RANDBETWEEN(3,7)</f>
        <v>3</v>
      </c>
      <c r="H259" s="5">
        <f>MIN(F259,G259)</f>
        <v>3</v>
      </c>
      <c r="I259" s="5">
        <f>G259-H259</f>
        <v>0</v>
      </c>
      <c r="J259" s="5">
        <f>F259-H259</f>
        <v>6</v>
      </c>
      <c r="K259" s="5">
        <f>IF(I259&gt;0,1,0)</f>
        <v>0</v>
      </c>
      <c r="L259" s="5">
        <f>IF(J259&lt;PuntoReorden,1,0)</f>
        <v>1</v>
      </c>
      <c r="M259" s="9">
        <f>PrecioVenta*H259</f>
        <v>2040000</v>
      </c>
      <c r="N259" s="9">
        <f>CostoUnitario*E259</f>
        <v>0</v>
      </c>
      <c r="O259" s="9">
        <f>IF(E259&gt;0,CostoPedido,0)</f>
        <v>0</v>
      </c>
      <c r="P259" s="9">
        <f>CostoAlm*(F259+J259)/2</f>
        <v>600</v>
      </c>
      <c r="Q259" s="9">
        <f>CostoFijo*D259</f>
        <v>0</v>
      </c>
      <c r="R259" s="9">
        <f>M259-N259-O259-P259-Q259</f>
        <v>2039400</v>
      </c>
      <c r="S259" s="21">
        <f>PuntoReorden</f>
        <v>7</v>
      </c>
    </row>
    <row r="260">
      <c r="A260" s="5">
        <f>A259+1</f>
        <v>255</v>
      </c>
      <c r="B260" s="20">
        <f>B259+IF(WEEKDAY(B259,2)=6,2,1)</f>
        <v>46319</v>
      </c>
      <c r="C260" s="5">
        <f>MONTH(B260)</f>
        <v>10</v>
      </c>
      <c r="D260" s="5">
        <f>IF(C260&lt;&gt;C259,1,0)</f>
        <v>0</v>
      </c>
      <c r="E260" s="5">
        <f>IF(L259=1,CantPedido,0)</f>
        <v>15</v>
      </c>
      <c r="F260" s="5">
        <f>J259+E260</f>
        <v>21</v>
      </c>
      <c r="G260" s="5">
        <f>RANDBETWEEN(3,7)</f>
        <v>7</v>
      </c>
      <c r="H260" s="5">
        <f>MIN(F260,G260)</f>
        <v>7</v>
      </c>
      <c r="I260" s="5">
        <f>G260-H260</f>
        <v>0</v>
      </c>
      <c r="J260" s="5">
        <f>F260-H260</f>
        <v>14</v>
      </c>
      <c r="K260" s="5">
        <f>IF(I260&gt;0,1,0)</f>
        <v>0</v>
      </c>
      <c r="L260" s="5">
        <f>IF(J260&lt;PuntoReorden,1,0)</f>
        <v>0</v>
      </c>
      <c r="M260" s="9">
        <f>PrecioVenta*H260</f>
        <v>4760000</v>
      </c>
      <c r="N260" s="9">
        <f>CostoUnitario*E260</f>
        <v>9000000</v>
      </c>
      <c r="O260" s="9">
        <f>IF(E260&gt;0,CostoPedido,0)</f>
        <v>40000</v>
      </c>
      <c r="P260" s="9">
        <f>CostoAlm*(F260+J260)/2</f>
        <v>1400</v>
      </c>
      <c r="Q260" s="9">
        <f>CostoFijo*D260</f>
        <v>0</v>
      </c>
      <c r="R260" s="9">
        <f>M260-N260-O260-P260-Q260</f>
        <v>-4281400</v>
      </c>
      <c r="S260" s="21">
        <f>PuntoReorden</f>
        <v>7</v>
      </c>
    </row>
    <row r="261">
      <c r="A261" s="5">
        <f>A260+1</f>
        <v>256</v>
      </c>
      <c r="B261" s="20">
        <f>B260+IF(WEEKDAY(B260,2)=6,2,1)</f>
        <v>46321</v>
      </c>
      <c r="C261" s="5">
        <f>MONTH(B261)</f>
        <v>10</v>
      </c>
      <c r="D261" s="5">
        <f>IF(C261&lt;&gt;C260,1,0)</f>
        <v>0</v>
      </c>
      <c r="E261" s="5">
        <f>IF(L260=1,CantPedido,0)</f>
        <v>0</v>
      </c>
      <c r="F261" s="5">
        <f>J260+E261</f>
        <v>14</v>
      </c>
      <c r="G261" s="5">
        <f>RANDBETWEEN(3,7)</f>
        <v>3</v>
      </c>
      <c r="H261" s="5">
        <f>MIN(F261,G261)</f>
        <v>3</v>
      </c>
      <c r="I261" s="5">
        <f>G261-H261</f>
        <v>0</v>
      </c>
      <c r="J261" s="5">
        <f>F261-H261</f>
        <v>11</v>
      </c>
      <c r="K261" s="5">
        <f>IF(I261&gt;0,1,0)</f>
        <v>0</v>
      </c>
      <c r="L261" s="5">
        <f>IF(J261&lt;PuntoReorden,1,0)</f>
        <v>0</v>
      </c>
      <c r="M261" s="9">
        <f>PrecioVenta*H261</f>
        <v>2040000</v>
      </c>
      <c r="N261" s="9">
        <f>CostoUnitario*E261</f>
        <v>0</v>
      </c>
      <c r="O261" s="9">
        <f>IF(E261&gt;0,CostoPedido,0)</f>
        <v>0</v>
      </c>
      <c r="P261" s="9">
        <f>CostoAlm*(F261+J261)/2</f>
        <v>1000</v>
      </c>
      <c r="Q261" s="9">
        <f>CostoFijo*D261</f>
        <v>0</v>
      </c>
      <c r="R261" s="9">
        <f>M261-N261-O261-P261-Q261</f>
        <v>2039000</v>
      </c>
      <c r="S261" s="21">
        <f>PuntoReorden</f>
        <v>7</v>
      </c>
    </row>
    <row r="262">
      <c r="A262" s="5">
        <f>A261+1</f>
        <v>257</v>
      </c>
      <c r="B262" s="20">
        <f>B261+IF(WEEKDAY(B261,2)=6,2,1)</f>
        <v>46322</v>
      </c>
      <c r="C262" s="5">
        <f>MONTH(B262)</f>
        <v>10</v>
      </c>
      <c r="D262" s="5">
        <f>IF(C262&lt;&gt;C261,1,0)</f>
        <v>0</v>
      </c>
      <c r="E262" s="5">
        <f>IF(L261=1,CantPedido,0)</f>
        <v>0</v>
      </c>
      <c r="F262" s="5">
        <f>J261+E262</f>
        <v>11</v>
      </c>
      <c r="G262" s="5">
        <f>RANDBETWEEN(3,7)</f>
        <v>3</v>
      </c>
      <c r="H262" s="5">
        <f>MIN(F262,G262)</f>
        <v>3</v>
      </c>
      <c r="I262" s="5">
        <f>G262-H262</f>
        <v>0</v>
      </c>
      <c r="J262" s="5">
        <f>F262-H262</f>
        <v>8</v>
      </c>
      <c r="K262" s="5">
        <f>IF(I262&gt;0,1,0)</f>
        <v>0</v>
      </c>
      <c r="L262" s="5">
        <f>IF(J262&lt;PuntoReorden,1,0)</f>
        <v>0</v>
      </c>
      <c r="M262" s="9">
        <f>PrecioVenta*H262</f>
        <v>2040000</v>
      </c>
      <c r="N262" s="9">
        <f>CostoUnitario*E262</f>
        <v>0</v>
      </c>
      <c r="O262" s="9">
        <f>IF(E262&gt;0,CostoPedido,0)</f>
        <v>0</v>
      </c>
      <c r="P262" s="9">
        <f>CostoAlm*(F262+J262)/2</f>
        <v>760</v>
      </c>
      <c r="Q262" s="9">
        <f>CostoFijo*D262</f>
        <v>0</v>
      </c>
      <c r="R262" s="9">
        <f>M262-N262-O262-P262-Q262</f>
        <v>2039240</v>
      </c>
      <c r="S262" s="21">
        <f>PuntoReorden</f>
        <v>7</v>
      </c>
    </row>
    <row r="263">
      <c r="A263" s="5">
        <f>A262+1</f>
        <v>258</v>
      </c>
      <c r="B263" s="20">
        <f>B262+IF(WEEKDAY(B262,2)=6,2,1)</f>
        <v>46323</v>
      </c>
      <c r="C263" s="5">
        <f>MONTH(B263)</f>
        <v>10</v>
      </c>
      <c r="D263" s="5">
        <f>IF(C263&lt;&gt;C262,1,0)</f>
        <v>0</v>
      </c>
      <c r="E263" s="5">
        <f>IF(L262=1,CantPedido,0)</f>
        <v>0</v>
      </c>
      <c r="F263" s="5">
        <f>J262+E263</f>
        <v>8</v>
      </c>
      <c r="G263" s="5">
        <f>RANDBETWEEN(3,7)</f>
        <v>5</v>
      </c>
      <c r="H263" s="5">
        <f>MIN(F263,G263)</f>
        <v>5</v>
      </c>
      <c r="I263" s="5">
        <f>G263-H263</f>
        <v>0</v>
      </c>
      <c r="J263" s="5">
        <f>F263-H263</f>
        <v>3</v>
      </c>
      <c r="K263" s="5">
        <f>IF(I263&gt;0,1,0)</f>
        <v>0</v>
      </c>
      <c r="L263" s="5">
        <f>IF(J263&lt;PuntoReorden,1,0)</f>
        <v>1</v>
      </c>
      <c r="M263" s="9">
        <f>PrecioVenta*H263</f>
        <v>3400000</v>
      </c>
      <c r="N263" s="9">
        <f>CostoUnitario*E263</f>
        <v>0</v>
      </c>
      <c r="O263" s="9">
        <f>IF(E263&gt;0,CostoPedido,0)</f>
        <v>0</v>
      </c>
      <c r="P263" s="9">
        <f>CostoAlm*(F263+J263)/2</f>
        <v>440</v>
      </c>
      <c r="Q263" s="9">
        <f>CostoFijo*D263</f>
        <v>0</v>
      </c>
      <c r="R263" s="9">
        <f>M263-N263-O263-P263-Q263</f>
        <v>3399560</v>
      </c>
      <c r="S263" s="21">
        <f>PuntoReorden</f>
        <v>7</v>
      </c>
    </row>
    <row r="264">
      <c r="A264" s="5">
        <f>A263+1</f>
        <v>259</v>
      </c>
      <c r="B264" s="20">
        <f>B263+IF(WEEKDAY(B263,2)=6,2,1)</f>
        <v>46324</v>
      </c>
      <c r="C264" s="5">
        <f>MONTH(B264)</f>
        <v>10</v>
      </c>
      <c r="D264" s="5">
        <f>IF(C264&lt;&gt;C263,1,0)</f>
        <v>0</v>
      </c>
      <c r="E264" s="5">
        <f>IF(L263=1,CantPedido,0)</f>
        <v>15</v>
      </c>
      <c r="F264" s="5">
        <f>J263+E264</f>
        <v>18</v>
      </c>
      <c r="G264" s="5">
        <f>RANDBETWEEN(3,7)</f>
        <v>7</v>
      </c>
      <c r="H264" s="5">
        <f>MIN(F264,G264)</f>
        <v>7</v>
      </c>
      <c r="I264" s="5">
        <f>G264-H264</f>
        <v>0</v>
      </c>
      <c r="J264" s="5">
        <f>F264-H264</f>
        <v>11</v>
      </c>
      <c r="K264" s="5">
        <f>IF(I264&gt;0,1,0)</f>
        <v>0</v>
      </c>
      <c r="L264" s="5">
        <f>IF(J264&lt;PuntoReorden,1,0)</f>
        <v>0</v>
      </c>
      <c r="M264" s="9">
        <f>PrecioVenta*H264</f>
        <v>4760000</v>
      </c>
      <c r="N264" s="9">
        <f>CostoUnitario*E264</f>
        <v>9000000</v>
      </c>
      <c r="O264" s="9">
        <f>IF(E264&gt;0,CostoPedido,0)</f>
        <v>40000</v>
      </c>
      <c r="P264" s="9">
        <f>CostoAlm*(F264+J264)/2</f>
        <v>1160</v>
      </c>
      <c r="Q264" s="9">
        <f>CostoFijo*D264</f>
        <v>0</v>
      </c>
      <c r="R264" s="9">
        <f>M264-N264-O264-P264-Q264</f>
        <v>-4281160</v>
      </c>
      <c r="S264" s="21">
        <f>PuntoReorden</f>
        <v>7</v>
      </c>
    </row>
    <row r="265">
      <c r="A265" s="5">
        <f>A264+1</f>
        <v>260</v>
      </c>
      <c r="B265" s="20">
        <f>B264+IF(WEEKDAY(B264,2)=6,2,1)</f>
        <v>46325</v>
      </c>
      <c r="C265" s="5">
        <f>MONTH(B265)</f>
        <v>10</v>
      </c>
      <c r="D265" s="5">
        <f>IF(C265&lt;&gt;C264,1,0)</f>
        <v>0</v>
      </c>
      <c r="E265" s="5">
        <f>IF(L264=1,CantPedido,0)</f>
        <v>0</v>
      </c>
      <c r="F265" s="5">
        <f>J264+E265</f>
        <v>11</v>
      </c>
      <c r="G265" s="5">
        <f>RANDBETWEEN(3,7)</f>
        <v>7</v>
      </c>
      <c r="H265" s="5">
        <f>MIN(F265,G265)</f>
        <v>7</v>
      </c>
      <c r="I265" s="5">
        <f>G265-H265</f>
        <v>0</v>
      </c>
      <c r="J265" s="5">
        <f>F265-H265</f>
        <v>4</v>
      </c>
      <c r="K265" s="5">
        <f>IF(I265&gt;0,1,0)</f>
        <v>0</v>
      </c>
      <c r="L265" s="5">
        <f>IF(J265&lt;PuntoReorden,1,0)</f>
        <v>1</v>
      </c>
      <c r="M265" s="9">
        <f>PrecioVenta*H265</f>
        <v>4760000</v>
      </c>
      <c r="N265" s="9">
        <f>CostoUnitario*E265</f>
        <v>0</v>
      </c>
      <c r="O265" s="9">
        <f>IF(E265&gt;0,CostoPedido,0)</f>
        <v>0</v>
      </c>
      <c r="P265" s="9">
        <f>CostoAlm*(F265+J265)/2</f>
        <v>600</v>
      </c>
      <c r="Q265" s="9">
        <f>CostoFijo*D265</f>
        <v>0</v>
      </c>
      <c r="R265" s="9">
        <f>M265-N265-O265-P265-Q265</f>
        <v>4759400</v>
      </c>
      <c r="S265" s="21">
        <f>PuntoReorden</f>
        <v>7</v>
      </c>
    </row>
    <row r="266">
      <c r="A266" s="5">
        <f>A265+1</f>
        <v>261</v>
      </c>
      <c r="B266" s="20">
        <f>B265+IF(WEEKDAY(B265,2)=6,2,1)</f>
        <v>46326</v>
      </c>
      <c r="C266" s="5">
        <f>MONTH(B266)</f>
        <v>10</v>
      </c>
      <c r="D266" s="5">
        <f>IF(C266&lt;&gt;C265,1,0)</f>
        <v>0</v>
      </c>
      <c r="E266" s="5">
        <f>IF(L265=1,CantPedido,0)</f>
        <v>15</v>
      </c>
      <c r="F266" s="5">
        <f>J265+E266</f>
        <v>19</v>
      </c>
      <c r="G266" s="5">
        <f>RANDBETWEEN(3,7)</f>
        <v>4</v>
      </c>
      <c r="H266" s="5">
        <f>MIN(F266,G266)</f>
        <v>4</v>
      </c>
      <c r="I266" s="5">
        <f>G266-H266</f>
        <v>0</v>
      </c>
      <c r="J266" s="5">
        <f>F266-H266</f>
        <v>15</v>
      </c>
      <c r="K266" s="5">
        <f>IF(I266&gt;0,1,0)</f>
        <v>0</v>
      </c>
      <c r="L266" s="5">
        <f>IF(J266&lt;PuntoReorden,1,0)</f>
        <v>0</v>
      </c>
      <c r="M266" s="9">
        <f>PrecioVenta*H266</f>
        <v>2720000</v>
      </c>
      <c r="N266" s="9">
        <f>CostoUnitario*E266</f>
        <v>9000000</v>
      </c>
      <c r="O266" s="9">
        <f>IF(E266&gt;0,CostoPedido,0)</f>
        <v>40000</v>
      </c>
      <c r="P266" s="9">
        <f>CostoAlm*(F266+J266)/2</f>
        <v>1360</v>
      </c>
      <c r="Q266" s="9">
        <f>CostoFijo*D266</f>
        <v>0</v>
      </c>
      <c r="R266" s="9">
        <f>M266-N266-O266-P266-Q266</f>
        <v>-6321360</v>
      </c>
      <c r="S266" s="21">
        <f>PuntoReorden</f>
        <v>7</v>
      </c>
    </row>
    <row r="267">
      <c r="A267" s="5">
        <f>A266+1</f>
        <v>262</v>
      </c>
      <c r="B267" s="20">
        <f>B266+IF(WEEKDAY(B266,2)=6,2,1)</f>
        <v>46328</v>
      </c>
      <c r="C267" s="5">
        <f>MONTH(B267)</f>
        <v>11</v>
      </c>
      <c r="D267" s="5">
        <f>IF(C267&lt;&gt;C266,1,0)</f>
        <v>1</v>
      </c>
      <c r="E267" s="5">
        <f>IF(L266=1,CantPedido,0)</f>
        <v>0</v>
      </c>
      <c r="F267" s="5">
        <f>J266+E267</f>
        <v>15</v>
      </c>
      <c r="G267" s="5">
        <f>RANDBETWEEN(3,7)</f>
        <v>6</v>
      </c>
      <c r="H267" s="5">
        <f>MIN(F267,G267)</f>
        <v>6</v>
      </c>
      <c r="I267" s="5">
        <f>G267-H267</f>
        <v>0</v>
      </c>
      <c r="J267" s="5">
        <f>F267-H267</f>
        <v>9</v>
      </c>
      <c r="K267" s="5">
        <f>IF(I267&gt;0,1,0)</f>
        <v>0</v>
      </c>
      <c r="L267" s="5">
        <f>IF(J267&lt;PuntoReorden,1,0)</f>
        <v>0</v>
      </c>
      <c r="M267" s="9">
        <f>PrecioVenta*H267</f>
        <v>4080000</v>
      </c>
      <c r="N267" s="9">
        <f>CostoUnitario*E267</f>
        <v>0</v>
      </c>
      <c r="O267" s="9">
        <f>IF(E267&gt;0,CostoPedido,0)</f>
        <v>0</v>
      </c>
      <c r="P267" s="9">
        <f>CostoAlm*(F267+J267)/2</f>
        <v>960</v>
      </c>
      <c r="Q267" s="9">
        <f>CostoFijo*D267</f>
        <v>1000000</v>
      </c>
      <c r="R267" s="9">
        <f>M267-N267-O267-P267-Q267</f>
        <v>3079040</v>
      </c>
      <c r="S267" s="21">
        <f>PuntoReorden</f>
        <v>7</v>
      </c>
    </row>
    <row r="268">
      <c r="A268" s="5">
        <f>A267+1</f>
        <v>263</v>
      </c>
      <c r="B268" s="20">
        <f>B267+IF(WEEKDAY(B267,2)=6,2,1)</f>
        <v>46329</v>
      </c>
      <c r="C268" s="5">
        <f>MONTH(B268)</f>
        <v>11</v>
      </c>
      <c r="D268" s="5">
        <f>IF(C268&lt;&gt;C267,1,0)</f>
        <v>0</v>
      </c>
      <c r="E268" s="5">
        <f>IF(L267=1,CantPedido,0)</f>
        <v>0</v>
      </c>
      <c r="F268" s="5">
        <f>J267+E268</f>
        <v>9</v>
      </c>
      <c r="G268" s="5">
        <f>RANDBETWEEN(3,7)</f>
        <v>7</v>
      </c>
      <c r="H268" s="5">
        <f>MIN(F268,G268)</f>
        <v>7</v>
      </c>
      <c r="I268" s="5">
        <f>G268-H268</f>
        <v>0</v>
      </c>
      <c r="J268" s="5">
        <f>F268-H268</f>
        <v>2</v>
      </c>
      <c r="K268" s="5">
        <f>IF(I268&gt;0,1,0)</f>
        <v>0</v>
      </c>
      <c r="L268" s="5">
        <f>IF(J268&lt;PuntoReorden,1,0)</f>
        <v>1</v>
      </c>
      <c r="M268" s="9">
        <f>PrecioVenta*H268</f>
        <v>4760000</v>
      </c>
      <c r="N268" s="9">
        <f>CostoUnitario*E268</f>
        <v>0</v>
      </c>
      <c r="O268" s="9">
        <f>IF(E268&gt;0,CostoPedido,0)</f>
        <v>0</v>
      </c>
      <c r="P268" s="9">
        <f>CostoAlm*(F268+J268)/2</f>
        <v>440</v>
      </c>
      <c r="Q268" s="9">
        <f>CostoFijo*D268</f>
        <v>0</v>
      </c>
      <c r="R268" s="9">
        <f>M268-N268-O268-P268-Q268</f>
        <v>4759560</v>
      </c>
      <c r="S268" s="21">
        <f>PuntoReorden</f>
        <v>7</v>
      </c>
    </row>
    <row r="269">
      <c r="A269" s="5">
        <f>A268+1</f>
        <v>264</v>
      </c>
      <c r="B269" s="20">
        <f>B268+IF(WEEKDAY(B268,2)=6,2,1)</f>
        <v>46330</v>
      </c>
      <c r="C269" s="5">
        <f>MONTH(B269)</f>
        <v>11</v>
      </c>
      <c r="D269" s="5">
        <f>IF(C269&lt;&gt;C268,1,0)</f>
        <v>0</v>
      </c>
      <c r="E269" s="5">
        <f>IF(L268=1,CantPedido,0)</f>
        <v>15</v>
      </c>
      <c r="F269" s="5">
        <f>J268+E269</f>
        <v>17</v>
      </c>
      <c r="G269" s="5">
        <f>RANDBETWEEN(3,7)</f>
        <v>7</v>
      </c>
      <c r="H269" s="5">
        <f>MIN(F269,G269)</f>
        <v>7</v>
      </c>
      <c r="I269" s="5">
        <f>G269-H269</f>
        <v>0</v>
      </c>
      <c r="J269" s="5">
        <f>F269-H269</f>
        <v>10</v>
      </c>
      <c r="K269" s="5">
        <f>IF(I269&gt;0,1,0)</f>
        <v>0</v>
      </c>
      <c r="L269" s="5">
        <f>IF(J269&lt;PuntoReorden,1,0)</f>
        <v>0</v>
      </c>
      <c r="M269" s="9">
        <f>PrecioVenta*H269</f>
        <v>4760000</v>
      </c>
      <c r="N269" s="9">
        <f>CostoUnitario*E269</f>
        <v>9000000</v>
      </c>
      <c r="O269" s="9">
        <f>IF(E269&gt;0,CostoPedido,0)</f>
        <v>40000</v>
      </c>
      <c r="P269" s="9">
        <f>CostoAlm*(F269+J269)/2</f>
        <v>1080</v>
      </c>
      <c r="Q269" s="9">
        <f>CostoFijo*D269</f>
        <v>0</v>
      </c>
      <c r="R269" s="9">
        <f>M269-N269-O269-P269-Q269</f>
        <v>-4281080</v>
      </c>
      <c r="S269" s="21">
        <f>PuntoReorden</f>
        <v>7</v>
      </c>
    </row>
    <row r="270">
      <c r="A270" s="5">
        <f>A269+1</f>
        <v>265</v>
      </c>
      <c r="B270" s="20">
        <f>B269+IF(WEEKDAY(B269,2)=6,2,1)</f>
        <v>46331</v>
      </c>
      <c r="C270" s="5">
        <f>MONTH(B270)</f>
        <v>11</v>
      </c>
      <c r="D270" s="5">
        <f>IF(C270&lt;&gt;C269,1,0)</f>
        <v>0</v>
      </c>
      <c r="E270" s="5">
        <f>IF(L269=1,CantPedido,0)</f>
        <v>0</v>
      </c>
      <c r="F270" s="5">
        <f>J269+E270</f>
        <v>10</v>
      </c>
      <c r="G270" s="5">
        <f>RANDBETWEEN(3,7)</f>
        <v>4</v>
      </c>
      <c r="H270" s="5">
        <f>MIN(F270,G270)</f>
        <v>4</v>
      </c>
      <c r="I270" s="5">
        <f>G270-H270</f>
        <v>0</v>
      </c>
      <c r="J270" s="5">
        <f>F270-H270</f>
        <v>6</v>
      </c>
      <c r="K270" s="5">
        <f>IF(I270&gt;0,1,0)</f>
        <v>0</v>
      </c>
      <c r="L270" s="5">
        <f>IF(J270&lt;PuntoReorden,1,0)</f>
        <v>1</v>
      </c>
      <c r="M270" s="9">
        <f>PrecioVenta*H270</f>
        <v>2720000</v>
      </c>
      <c r="N270" s="9">
        <f>CostoUnitario*E270</f>
        <v>0</v>
      </c>
      <c r="O270" s="9">
        <f>IF(E270&gt;0,CostoPedido,0)</f>
        <v>0</v>
      </c>
      <c r="P270" s="9">
        <f>CostoAlm*(F270+J270)/2</f>
        <v>640</v>
      </c>
      <c r="Q270" s="9">
        <f>CostoFijo*D270</f>
        <v>0</v>
      </c>
      <c r="R270" s="9">
        <f>M270-N270-O270-P270-Q270</f>
        <v>2719360</v>
      </c>
      <c r="S270" s="21">
        <f>PuntoReorden</f>
        <v>7</v>
      </c>
    </row>
    <row r="271">
      <c r="A271" s="5">
        <f>A270+1</f>
        <v>266</v>
      </c>
      <c r="B271" s="20">
        <f>B270+IF(WEEKDAY(B270,2)=6,2,1)</f>
        <v>46332</v>
      </c>
      <c r="C271" s="5">
        <f>MONTH(B271)</f>
        <v>11</v>
      </c>
      <c r="D271" s="5">
        <f>IF(C271&lt;&gt;C270,1,0)</f>
        <v>0</v>
      </c>
      <c r="E271" s="5">
        <f>IF(L270=1,CantPedido,0)</f>
        <v>15</v>
      </c>
      <c r="F271" s="5">
        <f>J270+E271</f>
        <v>21</v>
      </c>
      <c r="G271" s="5">
        <f>RANDBETWEEN(3,7)</f>
        <v>7</v>
      </c>
      <c r="H271" s="5">
        <f>MIN(F271,G271)</f>
        <v>7</v>
      </c>
      <c r="I271" s="5">
        <f>G271-H271</f>
        <v>0</v>
      </c>
      <c r="J271" s="5">
        <f>F271-H271</f>
        <v>14</v>
      </c>
      <c r="K271" s="5">
        <f>IF(I271&gt;0,1,0)</f>
        <v>0</v>
      </c>
      <c r="L271" s="5">
        <f>IF(J271&lt;PuntoReorden,1,0)</f>
        <v>0</v>
      </c>
      <c r="M271" s="9">
        <f>PrecioVenta*H271</f>
        <v>4760000</v>
      </c>
      <c r="N271" s="9">
        <f>CostoUnitario*E271</f>
        <v>9000000</v>
      </c>
      <c r="O271" s="9">
        <f>IF(E271&gt;0,CostoPedido,0)</f>
        <v>40000</v>
      </c>
      <c r="P271" s="9">
        <f>CostoAlm*(F271+J271)/2</f>
        <v>1400</v>
      </c>
      <c r="Q271" s="9">
        <f>CostoFijo*D271</f>
        <v>0</v>
      </c>
      <c r="R271" s="9">
        <f>M271-N271-O271-P271-Q271</f>
        <v>-4281400</v>
      </c>
      <c r="S271" s="21">
        <f>PuntoReorden</f>
        <v>7</v>
      </c>
    </row>
    <row r="272">
      <c r="A272" s="5">
        <f>A271+1</f>
        <v>267</v>
      </c>
      <c r="B272" s="20">
        <f>B271+IF(WEEKDAY(B271,2)=6,2,1)</f>
        <v>46333</v>
      </c>
      <c r="C272" s="5">
        <f>MONTH(B272)</f>
        <v>11</v>
      </c>
      <c r="D272" s="5">
        <f>IF(C272&lt;&gt;C271,1,0)</f>
        <v>0</v>
      </c>
      <c r="E272" s="5">
        <f>IF(L271=1,CantPedido,0)</f>
        <v>0</v>
      </c>
      <c r="F272" s="5">
        <f>J271+E272</f>
        <v>14</v>
      </c>
      <c r="G272" s="5">
        <f>RANDBETWEEN(3,7)</f>
        <v>3</v>
      </c>
      <c r="H272" s="5">
        <f>MIN(F272,G272)</f>
        <v>3</v>
      </c>
      <c r="I272" s="5">
        <f>G272-H272</f>
        <v>0</v>
      </c>
      <c r="J272" s="5">
        <f>F272-H272</f>
        <v>11</v>
      </c>
      <c r="K272" s="5">
        <f>IF(I272&gt;0,1,0)</f>
        <v>0</v>
      </c>
      <c r="L272" s="5">
        <f>IF(J272&lt;PuntoReorden,1,0)</f>
        <v>0</v>
      </c>
      <c r="M272" s="9">
        <f>PrecioVenta*H272</f>
        <v>2040000</v>
      </c>
      <c r="N272" s="9">
        <f>CostoUnitario*E272</f>
        <v>0</v>
      </c>
      <c r="O272" s="9">
        <f>IF(E272&gt;0,CostoPedido,0)</f>
        <v>0</v>
      </c>
      <c r="P272" s="9">
        <f>CostoAlm*(F272+J272)/2</f>
        <v>1000</v>
      </c>
      <c r="Q272" s="9">
        <f>CostoFijo*D272</f>
        <v>0</v>
      </c>
      <c r="R272" s="9">
        <f>M272-N272-O272-P272-Q272</f>
        <v>2039000</v>
      </c>
      <c r="S272" s="21">
        <f>PuntoReorden</f>
        <v>7</v>
      </c>
    </row>
    <row r="273">
      <c r="A273" s="5">
        <f>A272+1</f>
        <v>268</v>
      </c>
      <c r="B273" s="20">
        <f>B272+IF(WEEKDAY(B272,2)=6,2,1)</f>
        <v>46335</v>
      </c>
      <c r="C273" s="5">
        <f>MONTH(B273)</f>
        <v>11</v>
      </c>
      <c r="D273" s="5">
        <f>IF(C273&lt;&gt;C272,1,0)</f>
        <v>0</v>
      </c>
      <c r="E273" s="5">
        <f>IF(L272=1,CantPedido,0)</f>
        <v>0</v>
      </c>
      <c r="F273" s="5">
        <f>J272+E273</f>
        <v>11</v>
      </c>
      <c r="G273" s="5">
        <f>RANDBETWEEN(3,7)</f>
        <v>7</v>
      </c>
      <c r="H273" s="5">
        <f>MIN(F273,G273)</f>
        <v>7</v>
      </c>
      <c r="I273" s="5">
        <f>G273-H273</f>
        <v>0</v>
      </c>
      <c r="J273" s="5">
        <f>F273-H273</f>
        <v>4</v>
      </c>
      <c r="K273" s="5">
        <f>IF(I273&gt;0,1,0)</f>
        <v>0</v>
      </c>
      <c r="L273" s="5">
        <f>IF(J273&lt;PuntoReorden,1,0)</f>
        <v>1</v>
      </c>
      <c r="M273" s="9">
        <f>PrecioVenta*H273</f>
        <v>4760000</v>
      </c>
      <c r="N273" s="9">
        <f>CostoUnitario*E273</f>
        <v>0</v>
      </c>
      <c r="O273" s="9">
        <f>IF(E273&gt;0,CostoPedido,0)</f>
        <v>0</v>
      </c>
      <c r="P273" s="9">
        <f>CostoAlm*(F273+J273)/2</f>
        <v>600</v>
      </c>
      <c r="Q273" s="9">
        <f>CostoFijo*D273</f>
        <v>0</v>
      </c>
      <c r="R273" s="9">
        <f>M273-N273-O273-P273-Q273</f>
        <v>4759400</v>
      </c>
      <c r="S273" s="21">
        <f>PuntoReorden</f>
        <v>7</v>
      </c>
    </row>
    <row r="274">
      <c r="A274" s="5">
        <f>A273+1</f>
        <v>269</v>
      </c>
      <c r="B274" s="20">
        <f>B273+IF(WEEKDAY(B273,2)=6,2,1)</f>
        <v>46336</v>
      </c>
      <c r="C274" s="5">
        <f>MONTH(B274)</f>
        <v>11</v>
      </c>
      <c r="D274" s="5">
        <f>IF(C274&lt;&gt;C273,1,0)</f>
        <v>0</v>
      </c>
      <c r="E274" s="5">
        <f>IF(L273=1,CantPedido,0)</f>
        <v>15</v>
      </c>
      <c r="F274" s="5">
        <f>J273+E274</f>
        <v>19</v>
      </c>
      <c r="G274" s="5">
        <f>RANDBETWEEN(3,7)</f>
        <v>3</v>
      </c>
      <c r="H274" s="5">
        <f>MIN(F274,G274)</f>
        <v>3</v>
      </c>
      <c r="I274" s="5">
        <f>G274-H274</f>
        <v>0</v>
      </c>
      <c r="J274" s="5">
        <f>F274-H274</f>
        <v>16</v>
      </c>
      <c r="K274" s="5">
        <f>IF(I274&gt;0,1,0)</f>
        <v>0</v>
      </c>
      <c r="L274" s="5">
        <f>IF(J274&lt;PuntoReorden,1,0)</f>
        <v>0</v>
      </c>
      <c r="M274" s="9">
        <f>PrecioVenta*H274</f>
        <v>2040000</v>
      </c>
      <c r="N274" s="9">
        <f>CostoUnitario*E274</f>
        <v>9000000</v>
      </c>
      <c r="O274" s="9">
        <f>IF(E274&gt;0,CostoPedido,0)</f>
        <v>40000</v>
      </c>
      <c r="P274" s="9">
        <f>CostoAlm*(F274+J274)/2</f>
        <v>1400</v>
      </c>
      <c r="Q274" s="9">
        <f>CostoFijo*D274</f>
        <v>0</v>
      </c>
      <c r="R274" s="9">
        <f>M274-N274-O274-P274-Q274</f>
        <v>-7001400</v>
      </c>
      <c r="S274" s="21">
        <f>PuntoReorden</f>
        <v>7</v>
      </c>
    </row>
    <row r="275">
      <c r="A275" s="5">
        <f>A274+1</f>
        <v>270</v>
      </c>
      <c r="B275" s="20">
        <f>B274+IF(WEEKDAY(B274,2)=6,2,1)</f>
        <v>46337</v>
      </c>
      <c r="C275" s="5">
        <f>MONTH(B275)</f>
        <v>11</v>
      </c>
      <c r="D275" s="5">
        <f>IF(C275&lt;&gt;C274,1,0)</f>
        <v>0</v>
      </c>
      <c r="E275" s="5">
        <f>IF(L274=1,CantPedido,0)</f>
        <v>0</v>
      </c>
      <c r="F275" s="5">
        <f>J274+E275</f>
        <v>16</v>
      </c>
      <c r="G275" s="5">
        <f>RANDBETWEEN(3,7)</f>
        <v>4</v>
      </c>
      <c r="H275" s="5">
        <f>MIN(F275,G275)</f>
        <v>4</v>
      </c>
      <c r="I275" s="5">
        <f>G275-H275</f>
        <v>0</v>
      </c>
      <c r="J275" s="5">
        <f>F275-H275</f>
        <v>12</v>
      </c>
      <c r="K275" s="5">
        <f>IF(I275&gt;0,1,0)</f>
        <v>0</v>
      </c>
      <c r="L275" s="5">
        <f>IF(J275&lt;PuntoReorden,1,0)</f>
        <v>0</v>
      </c>
      <c r="M275" s="9">
        <f>PrecioVenta*H275</f>
        <v>2720000</v>
      </c>
      <c r="N275" s="9">
        <f>CostoUnitario*E275</f>
        <v>0</v>
      </c>
      <c r="O275" s="9">
        <f>IF(E275&gt;0,CostoPedido,0)</f>
        <v>0</v>
      </c>
      <c r="P275" s="9">
        <f>CostoAlm*(F275+J275)/2</f>
        <v>1120</v>
      </c>
      <c r="Q275" s="9">
        <f>CostoFijo*D275</f>
        <v>0</v>
      </c>
      <c r="R275" s="9">
        <f>M275-N275-O275-P275-Q275</f>
        <v>2718880</v>
      </c>
      <c r="S275" s="21">
        <f>PuntoReorden</f>
        <v>7</v>
      </c>
    </row>
    <row r="276">
      <c r="A276" s="5">
        <f>A275+1</f>
        <v>271</v>
      </c>
      <c r="B276" s="20">
        <f>B275+IF(WEEKDAY(B275,2)=6,2,1)</f>
        <v>46338</v>
      </c>
      <c r="C276" s="5">
        <f>MONTH(B276)</f>
        <v>11</v>
      </c>
      <c r="D276" s="5">
        <f>IF(C276&lt;&gt;C275,1,0)</f>
        <v>0</v>
      </c>
      <c r="E276" s="5">
        <f>IF(L275=1,CantPedido,0)</f>
        <v>0</v>
      </c>
      <c r="F276" s="5">
        <f>J275+E276</f>
        <v>12</v>
      </c>
      <c r="G276" s="5">
        <f>RANDBETWEEN(3,7)</f>
        <v>4</v>
      </c>
      <c r="H276" s="5">
        <f>MIN(F276,G276)</f>
        <v>4</v>
      </c>
      <c r="I276" s="5">
        <f>G276-H276</f>
        <v>0</v>
      </c>
      <c r="J276" s="5">
        <f>F276-H276</f>
        <v>8</v>
      </c>
      <c r="K276" s="5">
        <f>IF(I276&gt;0,1,0)</f>
        <v>0</v>
      </c>
      <c r="L276" s="5">
        <f>IF(J276&lt;PuntoReorden,1,0)</f>
        <v>0</v>
      </c>
      <c r="M276" s="9">
        <f>PrecioVenta*H276</f>
        <v>2720000</v>
      </c>
      <c r="N276" s="9">
        <f>CostoUnitario*E276</f>
        <v>0</v>
      </c>
      <c r="O276" s="9">
        <f>IF(E276&gt;0,CostoPedido,0)</f>
        <v>0</v>
      </c>
      <c r="P276" s="9">
        <f>CostoAlm*(F276+J276)/2</f>
        <v>800</v>
      </c>
      <c r="Q276" s="9">
        <f>CostoFijo*D276</f>
        <v>0</v>
      </c>
      <c r="R276" s="9">
        <f>M276-N276-O276-P276-Q276</f>
        <v>2719200</v>
      </c>
      <c r="S276" s="21">
        <f>PuntoReorden</f>
        <v>7</v>
      </c>
    </row>
    <row r="277">
      <c r="A277" s="5">
        <f>A276+1</f>
        <v>272</v>
      </c>
      <c r="B277" s="20">
        <f>B276+IF(WEEKDAY(B276,2)=6,2,1)</f>
        <v>46339</v>
      </c>
      <c r="C277" s="5">
        <f>MONTH(B277)</f>
        <v>11</v>
      </c>
      <c r="D277" s="5">
        <f>IF(C277&lt;&gt;C276,1,0)</f>
        <v>0</v>
      </c>
      <c r="E277" s="5">
        <f>IF(L276=1,CantPedido,0)</f>
        <v>0</v>
      </c>
      <c r="F277" s="5">
        <f>J276+E277</f>
        <v>8</v>
      </c>
      <c r="G277" s="5">
        <f>RANDBETWEEN(3,7)</f>
        <v>5</v>
      </c>
      <c r="H277" s="5">
        <f>MIN(F277,G277)</f>
        <v>5</v>
      </c>
      <c r="I277" s="5">
        <f>G277-H277</f>
        <v>0</v>
      </c>
      <c r="J277" s="5">
        <f>F277-H277</f>
        <v>3</v>
      </c>
      <c r="K277" s="5">
        <f>IF(I277&gt;0,1,0)</f>
        <v>0</v>
      </c>
      <c r="L277" s="5">
        <f>IF(J277&lt;PuntoReorden,1,0)</f>
        <v>1</v>
      </c>
      <c r="M277" s="9">
        <f>PrecioVenta*H277</f>
        <v>3400000</v>
      </c>
      <c r="N277" s="9">
        <f>CostoUnitario*E277</f>
        <v>0</v>
      </c>
      <c r="O277" s="9">
        <f>IF(E277&gt;0,CostoPedido,0)</f>
        <v>0</v>
      </c>
      <c r="P277" s="9">
        <f>CostoAlm*(F277+J277)/2</f>
        <v>440</v>
      </c>
      <c r="Q277" s="9">
        <f>CostoFijo*D277</f>
        <v>0</v>
      </c>
      <c r="R277" s="9">
        <f>M277-N277-O277-P277-Q277</f>
        <v>3399560</v>
      </c>
      <c r="S277" s="21">
        <f>PuntoReorden</f>
        <v>7</v>
      </c>
    </row>
    <row r="278">
      <c r="A278" s="5">
        <f>A277+1</f>
        <v>273</v>
      </c>
      <c r="B278" s="20">
        <f>B277+IF(WEEKDAY(B277,2)=6,2,1)</f>
        <v>46340</v>
      </c>
      <c r="C278" s="5">
        <f>MONTH(B278)</f>
        <v>11</v>
      </c>
      <c r="D278" s="5">
        <f>IF(C278&lt;&gt;C277,1,0)</f>
        <v>0</v>
      </c>
      <c r="E278" s="5">
        <f>IF(L277=1,CantPedido,0)</f>
        <v>15</v>
      </c>
      <c r="F278" s="5">
        <f>J277+E278</f>
        <v>18</v>
      </c>
      <c r="G278" s="5">
        <f>RANDBETWEEN(3,7)</f>
        <v>6</v>
      </c>
      <c r="H278" s="5">
        <f>MIN(F278,G278)</f>
        <v>6</v>
      </c>
      <c r="I278" s="5">
        <f>G278-H278</f>
        <v>0</v>
      </c>
      <c r="J278" s="5">
        <f>F278-H278</f>
        <v>12</v>
      </c>
      <c r="K278" s="5">
        <f>IF(I278&gt;0,1,0)</f>
        <v>0</v>
      </c>
      <c r="L278" s="5">
        <f>IF(J278&lt;PuntoReorden,1,0)</f>
        <v>0</v>
      </c>
      <c r="M278" s="9">
        <f>PrecioVenta*H278</f>
        <v>4080000</v>
      </c>
      <c r="N278" s="9">
        <f>CostoUnitario*E278</f>
        <v>9000000</v>
      </c>
      <c r="O278" s="9">
        <f>IF(E278&gt;0,CostoPedido,0)</f>
        <v>40000</v>
      </c>
      <c r="P278" s="9">
        <f>CostoAlm*(F278+J278)/2</f>
        <v>1200</v>
      </c>
      <c r="Q278" s="9">
        <f>CostoFijo*D278</f>
        <v>0</v>
      </c>
      <c r="R278" s="9">
        <f>M278-N278-O278-P278-Q278</f>
        <v>-4961200</v>
      </c>
      <c r="S278" s="21">
        <f>PuntoReorden</f>
        <v>7</v>
      </c>
    </row>
    <row r="279">
      <c r="A279" s="5">
        <f>A278+1</f>
        <v>274</v>
      </c>
      <c r="B279" s="20">
        <f>B278+IF(WEEKDAY(B278,2)=6,2,1)</f>
        <v>46342</v>
      </c>
      <c r="C279" s="5">
        <f>MONTH(B279)</f>
        <v>11</v>
      </c>
      <c r="D279" s="5">
        <f>IF(C279&lt;&gt;C278,1,0)</f>
        <v>0</v>
      </c>
      <c r="E279" s="5">
        <f>IF(L278=1,CantPedido,0)</f>
        <v>0</v>
      </c>
      <c r="F279" s="5">
        <f>J278+E279</f>
        <v>12</v>
      </c>
      <c r="G279" s="5">
        <f>RANDBETWEEN(3,7)</f>
        <v>6</v>
      </c>
      <c r="H279" s="5">
        <f>MIN(F279,G279)</f>
        <v>6</v>
      </c>
      <c r="I279" s="5">
        <f>G279-H279</f>
        <v>0</v>
      </c>
      <c r="J279" s="5">
        <f>F279-H279</f>
        <v>6</v>
      </c>
      <c r="K279" s="5">
        <f>IF(I279&gt;0,1,0)</f>
        <v>0</v>
      </c>
      <c r="L279" s="5">
        <f>IF(J279&lt;PuntoReorden,1,0)</f>
        <v>1</v>
      </c>
      <c r="M279" s="9">
        <f>PrecioVenta*H279</f>
        <v>4080000</v>
      </c>
      <c r="N279" s="9">
        <f>CostoUnitario*E279</f>
        <v>0</v>
      </c>
      <c r="O279" s="9">
        <f>IF(E279&gt;0,CostoPedido,0)</f>
        <v>0</v>
      </c>
      <c r="P279" s="9">
        <f>CostoAlm*(F279+J279)/2</f>
        <v>720</v>
      </c>
      <c r="Q279" s="9">
        <f>CostoFijo*D279</f>
        <v>0</v>
      </c>
      <c r="R279" s="9">
        <f>M279-N279-O279-P279-Q279</f>
        <v>4079280</v>
      </c>
      <c r="S279" s="21">
        <f>PuntoReorden</f>
        <v>7</v>
      </c>
    </row>
    <row r="280">
      <c r="A280" s="5">
        <f>A279+1</f>
        <v>275</v>
      </c>
      <c r="B280" s="20">
        <f>B279+IF(WEEKDAY(B279,2)=6,2,1)</f>
        <v>46343</v>
      </c>
      <c r="C280" s="5">
        <f>MONTH(B280)</f>
        <v>11</v>
      </c>
      <c r="D280" s="5">
        <f>IF(C280&lt;&gt;C279,1,0)</f>
        <v>0</v>
      </c>
      <c r="E280" s="5">
        <f>IF(L279=1,CantPedido,0)</f>
        <v>15</v>
      </c>
      <c r="F280" s="5">
        <f>J279+E280</f>
        <v>21</v>
      </c>
      <c r="G280" s="5">
        <f>RANDBETWEEN(3,7)</f>
        <v>5</v>
      </c>
      <c r="H280" s="5">
        <f>MIN(F280,G280)</f>
        <v>5</v>
      </c>
      <c r="I280" s="5">
        <f>G280-H280</f>
        <v>0</v>
      </c>
      <c r="J280" s="5">
        <f>F280-H280</f>
        <v>16</v>
      </c>
      <c r="K280" s="5">
        <f>IF(I280&gt;0,1,0)</f>
        <v>0</v>
      </c>
      <c r="L280" s="5">
        <f>IF(J280&lt;PuntoReorden,1,0)</f>
        <v>0</v>
      </c>
      <c r="M280" s="9">
        <f>PrecioVenta*H280</f>
        <v>3400000</v>
      </c>
      <c r="N280" s="9">
        <f>CostoUnitario*E280</f>
        <v>9000000</v>
      </c>
      <c r="O280" s="9">
        <f>IF(E280&gt;0,CostoPedido,0)</f>
        <v>40000</v>
      </c>
      <c r="P280" s="9">
        <f>CostoAlm*(F280+J280)/2</f>
        <v>1480</v>
      </c>
      <c r="Q280" s="9">
        <f>CostoFijo*D280</f>
        <v>0</v>
      </c>
      <c r="R280" s="9">
        <f>M280-N280-O280-P280-Q280</f>
        <v>-5641480</v>
      </c>
      <c r="S280" s="21">
        <f>PuntoReorden</f>
        <v>7</v>
      </c>
    </row>
    <row r="281">
      <c r="A281" s="5">
        <f>A280+1</f>
        <v>276</v>
      </c>
      <c r="B281" s="20">
        <f>B280+IF(WEEKDAY(B280,2)=6,2,1)</f>
        <v>46344</v>
      </c>
      <c r="C281" s="5">
        <f>MONTH(B281)</f>
        <v>11</v>
      </c>
      <c r="D281" s="5">
        <f>IF(C281&lt;&gt;C280,1,0)</f>
        <v>0</v>
      </c>
      <c r="E281" s="5">
        <f>IF(L280=1,CantPedido,0)</f>
        <v>0</v>
      </c>
      <c r="F281" s="5">
        <f>J280+E281</f>
        <v>16</v>
      </c>
      <c r="G281" s="5">
        <f>RANDBETWEEN(3,7)</f>
        <v>3</v>
      </c>
      <c r="H281" s="5">
        <f>MIN(F281,G281)</f>
        <v>3</v>
      </c>
      <c r="I281" s="5">
        <f>G281-H281</f>
        <v>0</v>
      </c>
      <c r="J281" s="5">
        <f>F281-H281</f>
        <v>13</v>
      </c>
      <c r="K281" s="5">
        <f>IF(I281&gt;0,1,0)</f>
        <v>0</v>
      </c>
      <c r="L281" s="5">
        <f>IF(J281&lt;PuntoReorden,1,0)</f>
        <v>0</v>
      </c>
      <c r="M281" s="9">
        <f>PrecioVenta*H281</f>
        <v>2040000</v>
      </c>
      <c r="N281" s="9">
        <f>CostoUnitario*E281</f>
        <v>0</v>
      </c>
      <c r="O281" s="9">
        <f>IF(E281&gt;0,CostoPedido,0)</f>
        <v>0</v>
      </c>
      <c r="P281" s="9">
        <f>CostoAlm*(F281+J281)/2</f>
        <v>1160</v>
      </c>
      <c r="Q281" s="9">
        <f>CostoFijo*D281</f>
        <v>0</v>
      </c>
      <c r="R281" s="9">
        <f>M281-N281-O281-P281-Q281</f>
        <v>2038840</v>
      </c>
      <c r="S281" s="21">
        <f>PuntoReorden</f>
        <v>7</v>
      </c>
    </row>
    <row r="282">
      <c r="A282" s="5">
        <f>A281+1</f>
        <v>277</v>
      </c>
      <c r="B282" s="20">
        <f>B281+IF(WEEKDAY(B281,2)=6,2,1)</f>
        <v>46345</v>
      </c>
      <c r="C282" s="5">
        <f>MONTH(B282)</f>
        <v>11</v>
      </c>
      <c r="D282" s="5">
        <f>IF(C282&lt;&gt;C281,1,0)</f>
        <v>0</v>
      </c>
      <c r="E282" s="5">
        <f>IF(L281=1,CantPedido,0)</f>
        <v>0</v>
      </c>
      <c r="F282" s="5">
        <f>J281+E282</f>
        <v>13</v>
      </c>
      <c r="G282" s="5">
        <f>RANDBETWEEN(3,7)</f>
        <v>4</v>
      </c>
      <c r="H282" s="5">
        <f>MIN(F282,G282)</f>
        <v>4</v>
      </c>
      <c r="I282" s="5">
        <f>G282-H282</f>
        <v>0</v>
      </c>
      <c r="J282" s="5">
        <f>F282-H282</f>
        <v>9</v>
      </c>
      <c r="K282" s="5">
        <f>IF(I282&gt;0,1,0)</f>
        <v>0</v>
      </c>
      <c r="L282" s="5">
        <f>IF(J282&lt;PuntoReorden,1,0)</f>
        <v>0</v>
      </c>
      <c r="M282" s="9">
        <f>PrecioVenta*H282</f>
        <v>2720000</v>
      </c>
      <c r="N282" s="9">
        <f>CostoUnitario*E282</f>
        <v>0</v>
      </c>
      <c r="O282" s="9">
        <f>IF(E282&gt;0,CostoPedido,0)</f>
        <v>0</v>
      </c>
      <c r="P282" s="9">
        <f>CostoAlm*(F282+J282)/2</f>
        <v>880</v>
      </c>
      <c r="Q282" s="9">
        <f>CostoFijo*D282</f>
        <v>0</v>
      </c>
      <c r="R282" s="9">
        <f>M282-N282-O282-P282-Q282</f>
        <v>2719120</v>
      </c>
      <c r="S282" s="21">
        <f>PuntoReorden</f>
        <v>7</v>
      </c>
    </row>
    <row r="283">
      <c r="A283" s="5">
        <f>A282+1</f>
        <v>278</v>
      </c>
      <c r="B283" s="20">
        <f>B282+IF(WEEKDAY(B282,2)=6,2,1)</f>
        <v>46346</v>
      </c>
      <c r="C283" s="5">
        <f>MONTH(B283)</f>
        <v>11</v>
      </c>
      <c r="D283" s="5">
        <f>IF(C283&lt;&gt;C282,1,0)</f>
        <v>0</v>
      </c>
      <c r="E283" s="5">
        <f>IF(L282=1,CantPedido,0)</f>
        <v>0</v>
      </c>
      <c r="F283" s="5">
        <f>J282+E283</f>
        <v>9</v>
      </c>
      <c r="G283" s="5">
        <f>RANDBETWEEN(3,7)</f>
        <v>5</v>
      </c>
      <c r="H283" s="5">
        <f>MIN(F283,G283)</f>
        <v>5</v>
      </c>
      <c r="I283" s="5">
        <f>G283-H283</f>
        <v>0</v>
      </c>
      <c r="J283" s="5">
        <f>F283-H283</f>
        <v>4</v>
      </c>
      <c r="K283" s="5">
        <f>IF(I283&gt;0,1,0)</f>
        <v>0</v>
      </c>
      <c r="L283" s="5">
        <f>IF(J283&lt;PuntoReorden,1,0)</f>
        <v>1</v>
      </c>
      <c r="M283" s="9">
        <f>PrecioVenta*H283</f>
        <v>3400000</v>
      </c>
      <c r="N283" s="9">
        <f>CostoUnitario*E283</f>
        <v>0</v>
      </c>
      <c r="O283" s="9">
        <f>IF(E283&gt;0,CostoPedido,0)</f>
        <v>0</v>
      </c>
      <c r="P283" s="9">
        <f>CostoAlm*(F283+J283)/2</f>
        <v>520</v>
      </c>
      <c r="Q283" s="9">
        <f>CostoFijo*D283</f>
        <v>0</v>
      </c>
      <c r="R283" s="9">
        <f>M283-N283-O283-P283-Q283</f>
        <v>3399480</v>
      </c>
      <c r="S283" s="21">
        <f>PuntoReorden</f>
        <v>7</v>
      </c>
    </row>
    <row r="284">
      <c r="A284" s="5">
        <f>A283+1</f>
        <v>279</v>
      </c>
      <c r="B284" s="20">
        <f>B283+IF(WEEKDAY(B283,2)=6,2,1)</f>
        <v>46347</v>
      </c>
      <c r="C284" s="5">
        <f>MONTH(B284)</f>
        <v>11</v>
      </c>
      <c r="D284" s="5">
        <f>IF(C284&lt;&gt;C283,1,0)</f>
        <v>0</v>
      </c>
      <c r="E284" s="5">
        <f>IF(L283=1,CantPedido,0)</f>
        <v>15</v>
      </c>
      <c r="F284" s="5">
        <f>J283+E284</f>
        <v>19</v>
      </c>
      <c r="G284" s="5">
        <f>RANDBETWEEN(3,7)</f>
        <v>3</v>
      </c>
      <c r="H284" s="5">
        <f>MIN(F284,G284)</f>
        <v>3</v>
      </c>
      <c r="I284" s="5">
        <f>G284-H284</f>
        <v>0</v>
      </c>
      <c r="J284" s="5">
        <f>F284-H284</f>
        <v>16</v>
      </c>
      <c r="K284" s="5">
        <f>IF(I284&gt;0,1,0)</f>
        <v>0</v>
      </c>
      <c r="L284" s="5">
        <f>IF(J284&lt;PuntoReorden,1,0)</f>
        <v>0</v>
      </c>
      <c r="M284" s="9">
        <f>PrecioVenta*H284</f>
        <v>2040000</v>
      </c>
      <c r="N284" s="9">
        <f>CostoUnitario*E284</f>
        <v>9000000</v>
      </c>
      <c r="O284" s="9">
        <f>IF(E284&gt;0,CostoPedido,0)</f>
        <v>40000</v>
      </c>
      <c r="P284" s="9">
        <f>CostoAlm*(F284+J284)/2</f>
        <v>1400</v>
      </c>
      <c r="Q284" s="9">
        <f>CostoFijo*D284</f>
        <v>0</v>
      </c>
      <c r="R284" s="9">
        <f>M284-N284-O284-P284-Q284</f>
        <v>-7001400</v>
      </c>
      <c r="S284" s="21">
        <f>PuntoReorden</f>
        <v>7</v>
      </c>
    </row>
    <row r="285">
      <c r="A285" s="5">
        <f>A284+1</f>
        <v>280</v>
      </c>
      <c r="B285" s="20">
        <f>B284+IF(WEEKDAY(B284,2)=6,2,1)</f>
        <v>46349</v>
      </c>
      <c r="C285" s="5">
        <f>MONTH(B285)</f>
        <v>11</v>
      </c>
      <c r="D285" s="5">
        <f>IF(C285&lt;&gt;C284,1,0)</f>
        <v>0</v>
      </c>
      <c r="E285" s="5">
        <f>IF(L284=1,CantPedido,0)</f>
        <v>0</v>
      </c>
      <c r="F285" s="5">
        <f>J284+E285</f>
        <v>16</v>
      </c>
      <c r="G285" s="5">
        <f>RANDBETWEEN(3,7)</f>
        <v>6</v>
      </c>
      <c r="H285" s="5">
        <f>MIN(F285,G285)</f>
        <v>6</v>
      </c>
      <c r="I285" s="5">
        <f>G285-H285</f>
        <v>0</v>
      </c>
      <c r="J285" s="5">
        <f>F285-H285</f>
        <v>10</v>
      </c>
      <c r="K285" s="5">
        <f>IF(I285&gt;0,1,0)</f>
        <v>0</v>
      </c>
      <c r="L285" s="5">
        <f>IF(J285&lt;PuntoReorden,1,0)</f>
        <v>0</v>
      </c>
      <c r="M285" s="9">
        <f>PrecioVenta*H285</f>
        <v>4080000</v>
      </c>
      <c r="N285" s="9">
        <f>CostoUnitario*E285</f>
        <v>0</v>
      </c>
      <c r="O285" s="9">
        <f>IF(E285&gt;0,CostoPedido,0)</f>
        <v>0</v>
      </c>
      <c r="P285" s="9">
        <f>CostoAlm*(F285+J285)/2</f>
        <v>1040</v>
      </c>
      <c r="Q285" s="9">
        <f>CostoFijo*D285</f>
        <v>0</v>
      </c>
      <c r="R285" s="9">
        <f>M285-N285-O285-P285-Q285</f>
        <v>4078960</v>
      </c>
      <c r="S285" s="21">
        <f>PuntoReorden</f>
        <v>7</v>
      </c>
    </row>
    <row r="286">
      <c r="A286" s="5">
        <f>A285+1</f>
        <v>281</v>
      </c>
      <c r="B286" s="20">
        <f>B285+IF(WEEKDAY(B285,2)=6,2,1)</f>
        <v>46350</v>
      </c>
      <c r="C286" s="5">
        <f>MONTH(B286)</f>
        <v>11</v>
      </c>
      <c r="D286" s="5">
        <f>IF(C286&lt;&gt;C285,1,0)</f>
        <v>0</v>
      </c>
      <c r="E286" s="5">
        <f>IF(L285=1,CantPedido,0)</f>
        <v>0</v>
      </c>
      <c r="F286" s="5">
        <f>J285+E286</f>
        <v>10</v>
      </c>
      <c r="G286" s="5">
        <f>RANDBETWEEN(3,7)</f>
        <v>6</v>
      </c>
      <c r="H286" s="5">
        <f>MIN(F286,G286)</f>
        <v>6</v>
      </c>
      <c r="I286" s="5">
        <f>G286-H286</f>
        <v>0</v>
      </c>
      <c r="J286" s="5">
        <f>F286-H286</f>
        <v>4</v>
      </c>
      <c r="K286" s="5">
        <f>IF(I286&gt;0,1,0)</f>
        <v>0</v>
      </c>
      <c r="L286" s="5">
        <f>IF(J286&lt;PuntoReorden,1,0)</f>
        <v>1</v>
      </c>
      <c r="M286" s="9">
        <f>PrecioVenta*H286</f>
        <v>4080000</v>
      </c>
      <c r="N286" s="9">
        <f>CostoUnitario*E286</f>
        <v>0</v>
      </c>
      <c r="O286" s="9">
        <f>IF(E286&gt;0,CostoPedido,0)</f>
        <v>0</v>
      </c>
      <c r="P286" s="9">
        <f>CostoAlm*(F286+J286)/2</f>
        <v>560</v>
      </c>
      <c r="Q286" s="9">
        <f>CostoFijo*D286</f>
        <v>0</v>
      </c>
      <c r="R286" s="9">
        <f>M286-N286-O286-P286-Q286</f>
        <v>4079440</v>
      </c>
      <c r="S286" s="21">
        <f>PuntoReorden</f>
        <v>7</v>
      </c>
    </row>
    <row r="287">
      <c r="A287" s="5">
        <f>A286+1</f>
        <v>282</v>
      </c>
      <c r="B287" s="20">
        <f>B286+IF(WEEKDAY(B286,2)=6,2,1)</f>
        <v>46351</v>
      </c>
      <c r="C287" s="5">
        <f>MONTH(B287)</f>
        <v>11</v>
      </c>
      <c r="D287" s="5">
        <f>IF(C287&lt;&gt;C286,1,0)</f>
        <v>0</v>
      </c>
      <c r="E287" s="5">
        <f>IF(L286=1,CantPedido,0)</f>
        <v>15</v>
      </c>
      <c r="F287" s="5">
        <f>J286+E287</f>
        <v>19</v>
      </c>
      <c r="G287" s="5">
        <f>RANDBETWEEN(3,7)</f>
        <v>3</v>
      </c>
      <c r="H287" s="5">
        <f>MIN(F287,G287)</f>
        <v>3</v>
      </c>
      <c r="I287" s="5">
        <f>G287-H287</f>
        <v>0</v>
      </c>
      <c r="J287" s="5">
        <f>F287-H287</f>
        <v>16</v>
      </c>
      <c r="K287" s="5">
        <f>IF(I287&gt;0,1,0)</f>
        <v>0</v>
      </c>
      <c r="L287" s="5">
        <f>IF(J287&lt;PuntoReorden,1,0)</f>
        <v>0</v>
      </c>
      <c r="M287" s="9">
        <f>PrecioVenta*H287</f>
        <v>2040000</v>
      </c>
      <c r="N287" s="9">
        <f>CostoUnitario*E287</f>
        <v>9000000</v>
      </c>
      <c r="O287" s="9">
        <f>IF(E287&gt;0,CostoPedido,0)</f>
        <v>40000</v>
      </c>
      <c r="P287" s="9">
        <f>CostoAlm*(F287+J287)/2</f>
        <v>1400</v>
      </c>
      <c r="Q287" s="9">
        <f>CostoFijo*D287</f>
        <v>0</v>
      </c>
      <c r="R287" s="9">
        <f>M287-N287-O287-P287-Q287</f>
        <v>-7001400</v>
      </c>
      <c r="S287" s="21">
        <f>PuntoReorden</f>
        <v>7</v>
      </c>
    </row>
    <row r="288">
      <c r="A288" s="5">
        <f>A287+1</f>
        <v>283</v>
      </c>
      <c r="B288" s="20">
        <f>B287+IF(WEEKDAY(B287,2)=6,2,1)</f>
        <v>46352</v>
      </c>
      <c r="C288" s="5">
        <f>MONTH(B288)</f>
        <v>11</v>
      </c>
      <c r="D288" s="5">
        <f>IF(C288&lt;&gt;C287,1,0)</f>
        <v>0</v>
      </c>
      <c r="E288" s="5">
        <f>IF(L287=1,CantPedido,0)</f>
        <v>0</v>
      </c>
      <c r="F288" s="5">
        <f>J287+E288</f>
        <v>16</v>
      </c>
      <c r="G288" s="5">
        <f>RANDBETWEEN(3,7)</f>
        <v>6</v>
      </c>
      <c r="H288" s="5">
        <f>MIN(F288,G288)</f>
        <v>6</v>
      </c>
      <c r="I288" s="5">
        <f>G288-H288</f>
        <v>0</v>
      </c>
      <c r="J288" s="5">
        <f>F288-H288</f>
        <v>10</v>
      </c>
      <c r="K288" s="5">
        <f>IF(I288&gt;0,1,0)</f>
        <v>0</v>
      </c>
      <c r="L288" s="5">
        <f>IF(J288&lt;PuntoReorden,1,0)</f>
        <v>0</v>
      </c>
      <c r="M288" s="9">
        <f>PrecioVenta*H288</f>
        <v>4080000</v>
      </c>
      <c r="N288" s="9">
        <f>CostoUnitario*E288</f>
        <v>0</v>
      </c>
      <c r="O288" s="9">
        <f>IF(E288&gt;0,CostoPedido,0)</f>
        <v>0</v>
      </c>
      <c r="P288" s="9">
        <f>CostoAlm*(F288+J288)/2</f>
        <v>1040</v>
      </c>
      <c r="Q288" s="9">
        <f>CostoFijo*D288</f>
        <v>0</v>
      </c>
      <c r="R288" s="9">
        <f>M288-N288-O288-P288-Q288</f>
        <v>4078960</v>
      </c>
      <c r="S288" s="21">
        <f>PuntoReorden</f>
        <v>7</v>
      </c>
    </row>
    <row r="289">
      <c r="A289" s="5">
        <f>A288+1</f>
        <v>284</v>
      </c>
      <c r="B289" s="20">
        <f>B288+IF(WEEKDAY(B288,2)=6,2,1)</f>
        <v>46353</v>
      </c>
      <c r="C289" s="5">
        <f>MONTH(B289)</f>
        <v>11</v>
      </c>
      <c r="D289" s="5">
        <f>IF(C289&lt;&gt;C288,1,0)</f>
        <v>0</v>
      </c>
      <c r="E289" s="5">
        <f>IF(L288=1,CantPedido,0)</f>
        <v>0</v>
      </c>
      <c r="F289" s="5">
        <f>J288+E289</f>
        <v>10</v>
      </c>
      <c r="G289" s="5">
        <f>RANDBETWEEN(3,7)</f>
        <v>5</v>
      </c>
      <c r="H289" s="5">
        <f>MIN(F289,G289)</f>
        <v>5</v>
      </c>
      <c r="I289" s="5">
        <f>G289-H289</f>
        <v>0</v>
      </c>
      <c r="J289" s="5">
        <f>F289-H289</f>
        <v>5</v>
      </c>
      <c r="K289" s="5">
        <f>IF(I289&gt;0,1,0)</f>
        <v>0</v>
      </c>
      <c r="L289" s="5">
        <f>IF(J289&lt;PuntoReorden,1,0)</f>
        <v>1</v>
      </c>
      <c r="M289" s="9">
        <f>PrecioVenta*H289</f>
        <v>3400000</v>
      </c>
      <c r="N289" s="9">
        <f>CostoUnitario*E289</f>
        <v>0</v>
      </c>
      <c r="O289" s="9">
        <f>IF(E289&gt;0,CostoPedido,0)</f>
        <v>0</v>
      </c>
      <c r="P289" s="9">
        <f>CostoAlm*(F289+J289)/2</f>
        <v>600</v>
      </c>
      <c r="Q289" s="9">
        <f>CostoFijo*D289</f>
        <v>0</v>
      </c>
      <c r="R289" s="9">
        <f>M289-N289-O289-P289-Q289</f>
        <v>3399400</v>
      </c>
      <c r="S289" s="21">
        <f>PuntoReorden</f>
        <v>7</v>
      </c>
    </row>
    <row r="290">
      <c r="A290" s="5">
        <f>A289+1</f>
        <v>285</v>
      </c>
      <c r="B290" s="20">
        <f>B289+IF(WEEKDAY(B289,2)=6,2,1)</f>
        <v>46354</v>
      </c>
      <c r="C290" s="5">
        <f>MONTH(B290)</f>
        <v>11</v>
      </c>
      <c r="D290" s="5">
        <f>IF(C290&lt;&gt;C289,1,0)</f>
        <v>0</v>
      </c>
      <c r="E290" s="5">
        <f>IF(L289=1,CantPedido,0)</f>
        <v>15</v>
      </c>
      <c r="F290" s="5">
        <f>J289+E290</f>
        <v>20</v>
      </c>
      <c r="G290" s="5">
        <f>RANDBETWEEN(3,7)</f>
        <v>6</v>
      </c>
      <c r="H290" s="5">
        <f>MIN(F290,G290)</f>
        <v>6</v>
      </c>
      <c r="I290" s="5">
        <f>G290-H290</f>
        <v>0</v>
      </c>
      <c r="J290" s="5">
        <f>F290-H290</f>
        <v>14</v>
      </c>
      <c r="K290" s="5">
        <f>IF(I290&gt;0,1,0)</f>
        <v>0</v>
      </c>
      <c r="L290" s="5">
        <f>IF(J290&lt;PuntoReorden,1,0)</f>
        <v>0</v>
      </c>
      <c r="M290" s="9">
        <f>PrecioVenta*H290</f>
        <v>4080000</v>
      </c>
      <c r="N290" s="9">
        <f>CostoUnitario*E290</f>
        <v>9000000</v>
      </c>
      <c r="O290" s="9">
        <f>IF(E290&gt;0,CostoPedido,0)</f>
        <v>40000</v>
      </c>
      <c r="P290" s="9">
        <f>CostoAlm*(F290+J290)/2</f>
        <v>1360</v>
      </c>
      <c r="Q290" s="9">
        <f>CostoFijo*D290</f>
        <v>0</v>
      </c>
      <c r="R290" s="9">
        <f>M290-N290-O290-P290-Q290</f>
        <v>-4961360</v>
      </c>
      <c r="S290" s="21">
        <f>PuntoReorden</f>
        <v>7</v>
      </c>
    </row>
    <row r="291">
      <c r="A291" s="5">
        <f>A290+1</f>
        <v>286</v>
      </c>
      <c r="B291" s="20">
        <f>B290+IF(WEEKDAY(B290,2)=6,2,1)</f>
        <v>46356</v>
      </c>
      <c r="C291" s="5">
        <f>MONTH(B291)</f>
        <v>11</v>
      </c>
      <c r="D291" s="5">
        <f>IF(C291&lt;&gt;C290,1,0)</f>
        <v>0</v>
      </c>
      <c r="E291" s="5">
        <f>IF(L290=1,CantPedido,0)</f>
        <v>0</v>
      </c>
      <c r="F291" s="5">
        <f>J290+E291</f>
        <v>14</v>
      </c>
      <c r="G291" s="5">
        <f>RANDBETWEEN(3,7)</f>
        <v>3</v>
      </c>
      <c r="H291" s="5">
        <f>MIN(F291,G291)</f>
        <v>3</v>
      </c>
      <c r="I291" s="5">
        <f>G291-H291</f>
        <v>0</v>
      </c>
      <c r="J291" s="5">
        <f>F291-H291</f>
        <v>11</v>
      </c>
      <c r="K291" s="5">
        <f>IF(I291&gt;0,1,0)</f>
        <v>0</v>
      </c>
      <c r="L291" s="5">
        <f>IF(J291&lt;PuntoReorden,1,0)</f>
        <v>0</v>
      </c>
      <c r="M291" s="9">
        <f>PrecioVenta*H291</f>
        <v>2040000</v>
      </c>
      <c r="N291" s="9">
        <f>CostoUnitario*E291</f>
        <v>0</v>
      </c>
      <c r="O291" s="9">
        <f>IF(E291&gt;0,CostoPedido,0)</f>
        <v>0</v>
      </c>
      <c r="P291" s="9">
        <f>CostoAlm*(F291+J291)/2</f>
        <v>1000</v>
      </c>
      <c r="Q291" s="9">
        <f>CostoFijo*D291</f>
        <v>0</v>
      </c>
      <c r="R291" s="9">
        <f>M291-N291-O291-P291-Q291</f>
        <v>2039000</v>
      </c>
      <c r="S291" s="21">
        <f>PuntoReorden</f>
        <v>7</v>
      </c>
    </row>
    <row r="292">
      <c r="A292" s="5">
        <f>A291+1</f>
        <v>287</v>
      </c>
      <c r="B292" s="20">
        <f>B291+IF(WEEKDAY(B291,2)=6,2,1)</f>
        <v>46357</v>
      </c>
      <c r="C292" s="5">
        <f>MONTH(B292)</f>
        <v>12</v>
      </c>
      <c r="D292" s="5">
        <f>IF(C292&lt;&gt;C291,1,0)</f>
        <v>1</v>
      </c>
      <c r="E292" s="5">
        <f>IF(L291=1,CantPedido,0)</f>
        <v>0</v>
      </c>
      <c r="F292" s="5">
        <f>J291+E292</f>
        <v>11</v>
      </c>
      <c r="G292" s="5">
        <f>RANDBETWEEN(3,7)</f>
        <v>7</v>
      </c>
      <c r="H292" s="5">
        <f>MIN(F292,G292)</f>
        <v>7</v>
      </c>
      <c r="I292" s="5">
        <f>G292-H292</f>
        <v>0</v>
      </c>
      <c r="J292" s="5">
        <f>F292-H292</f>
        <v>4</v>
      </c>
      <c r="K292" s="5">
        <f>IF(I292&gt;0,1,0)</f>
        <v>0</v>
      </c>
      <c r="L292" s="5">
        <f>IF(J292&lt;PuntoReorden,1,0)</f>
        <v>1</v>
      </c>
      <c r="M292" s="9">
        <f>PrecioVenta*H292</f>
        <v>4760000</v>
      </c>
      <c r="N292" s="9">
        <f>CostoUnitario*E292</f>
        <v>0</v>
      </c>
      <c r="O292" s="9">
        <f>IF(E292&gt;0,CostoPedido,0)</f>
        <v>0</v>
      </c>
      <c r="P292" s="9">
        <f>CostoAlm*(F292+J292)/2</f>
        <v>600</v>
      </c>
      <c r="Q292" s="9">
        <f>CostoFijo*D292</f>
        <v>1000000</v>
      </c>
      <c r="R292" s="9">
        <f>M292-N292-O292-P292-Q292</f>
        <v>3759400</v>
      </c>
      <c r="S292" s="21">
        <f>PuntoReorden</f>
        <v>7</v>
      </c>
    </row>
    <row r="293">
      <c r="A293" s="5">
        <f>A292+1</f>
        <v>288</v>
      </c>
      <c r="B293" s="20">
        <f>B292+IF(WEEKDAY(B292,2)=6,2,1)</f>
        <v>46358</v>
      </c>
      <c r="C293" s="5">
        <f>MONTH(B293)</f>
        <v>12</v>
      </c>
      <c r="D293" s="5">
        <f>IF(C293&lt;&gt;C292,1,0)</f>
        <v>0</v>
      </c>
      <c r="E293" s="5">
        <f>IF(L292=1,CantPedido,0)</f>
        <v>15</v>
      </c>
      <c r="F293" s="5">
        <f>J292+E293</f>
        <v>19</v>
      </c>
      <c r="G293" s="5">
        <f>RANDBETWEEN(3,7)</f>
        <v>4</v>
      </c>
      <c r="H293" s="5">
        <f>MIN(F293,G293)</f>
        <v>4</v>
      </c>
      <c r="I293" s="5">
        <f>G293-H293</f>
        <v>0</v>
      </c>
      <c r="J293" s="5">
        <f>F293-H293</f>
        <v>15</v>
      </c>
      <c r="K293" s="5">
        <f>IF(I293&gt;0,1,0)</f>
        <v>0</v>
      </c>
      <c r="L293" s="5">
        <f>IF(J293&lt;PuntoReorden,1,0)</f>
        <v>0</v>
      </c>
      <c r="M293" s="9">
        <f>PrecioVenta*H293</f>
        <v>2720000</v>
      </c>
      <c r="N293" s="9">
        <f>CostoUnitario*E293</f>
        <v>9000000</v>
      </c>
      <c r="O293" s="9">
        <f>IF(E293&gt;0,CostoPedido,0)</f>
        <v>40000</v>
      </c>
      <c r="P293" s="9">
        <f>CostoAlm*(F293+J293)/2</f>
        <v>1360</v>
      </c>
      <c r="Q293" s="9">
        <f>CostoFijo*D293</f>
        <v>0</v>
      </c>
      <c r="R293" s="9">
        <f>M293-N293-O293-P293-Q293</f>
        <v>-6321360</v>
      </c>
      <c r="S293" s="21">
        <f>PuntoReorden</f>
        <v>7</v>
      </c>
    </row>
    <row r="294">
      <c r="A294" s="5">
        <f>A293+1</f>
        <v>289</v>
      </c>
      <c r="B294" s="20">
        <f>B293+IF(WEEKDAY(B293,2)=6,2,1)</f>
        <v>46359</v>
      </c>
      <c r="C294" s="5">
        <f>MONTH(B294)</f>
        <v>12</v>
      </c>
      <c r="D294" s="5">
        <f>IF(C294&lt;&gt;C293,1,0)</f>
        <v>0</v>
      </c>
      <c r="E294" s="5">
        <f>IF(L293=1,CantPedido,0)</f>
        <v>0</v>
      </c>
      <c r="F294" s="5">
        <f>J293+E294</f>
        <v>15</v>
      </c>
      <c r="G294" s="5">
        <f>RANDBETWEEN(3,7)</f>
        <v>5</v>
      </c>
      <c r="H294" s="5">
        <f>MIN(F294,G294)</f>
        <v>5</v>
      </c>
      <c r="I294" s="5">
        <f>G294-H294</f>
        <v>0</v>
      </c>
      <c r="J294" s="5">
        <f>F294-H294</f>
        <v>10</v>
      </c>
      <c r="K294" s="5">
        <f>IF(I294&gt;0,1,0)</f>
        <v>0</v>
      </c>
      <c r="L294" s="5">
        <f>IF(J294&lt;PuntoReorden,1,0)</f>
        <v>0</v>
      </c>
      <c r="M294" s="9">
        <f>PrecioVenta*H294</f>
        <v>3400000</v>
      </c>
      <c r="N294" s="9">
        <f>CostoUnitario*E294</f>
        <v>0</v>
      </c>
      <c r="O294" s="9">
        <f>IF(E294&gt;0,CostoPedido,0)</f>
        <v>0</v>
      </c>
      <c r="P294" s="9">
        <f>CostoAlm*(F294+J294)/2</f>
        <v>1000</v>
      </c>
      <c r="Q294" s="9">
        <f>CostoFijo*D294</f>
        <v>0</v>
      </c>
      <c r="R294" s="9">
        <f>M294-N294-O294-P294-Q294</f>
        <v>3399000</v>
      </c>
      <c r="S294" s="21">
        <f>PuntoReorden</f>
        <v>7</v>
      </c>
    </row>
    <row r="295">
      <c r="A295" s="5">
        <f>A294+1</f>
        <v>290</v>
      </c>
      <c r="B295" s="20">
        <f>B294+IF(WEEKDAY(B294,2)=6,2,1)</f>
        <v>46360</v>
      </c>
      <c r="C295" s="5">
        <f>MONTH(B295)</f>
        <v>12</v>
      </c>
      <c r="D295" s="5">
        <f>IF(C295&lt;&gt;C294,1,0)</f>
        <v>0</v>
      </c>
      <c r="E295" s="5">
        <f>IF(L294=1,CantPedido,0)</f>
        <v>0</v>
      </c>
      <c r="F295" s="5">
        <f>J294+E295</f>
        <v>10</v>
      </c>
      <c r="G295" s="5">
        <f>RANDBETWEEN(3,7)</f>
        <v>6</v>
      </c>
      <c r="H295" s="5">
        <f>MIN(F295,G295)</f>
        <v>6</v>
      </c>
      <c r="I295" s="5">
        <f>G295-H295</f>
        <v>0</v>
      </c>
      <c r="J295" s="5">
        <f>F295-H295</f>
        <v>4</v>
      </c>
      <c r="K295" s="5">
        <f>IF(I295&gt;0,1,0)</f>
        <v>0</v>
      </c>
      <c r="L295" s="5">
        <f>IF(J295&lt;PuntoReorden,1,0)</f>
        <v>1</v>
      </c>
      <c r="M295" s="9">
        <f>PrecioVenta*H295</f>
        <v>4080000</v>
      </c>
      <c r="N295" s="9">
        <f>CostoUnitario*E295</f>
        <v>0</v>
      </c>
      <c r="O295" s="9">
        <f>IF(E295&gt;0,CostoPedido,0)</f>
        <v>0</v>
      </c>
      <c r="P295" s="9">
        <f>CostoAlm*(F295+J295)/2</f>
        <v>560</v>
      </c>
      <c r="Q295" s="9">
        <f>CostoFijo*D295</f>
        <v>0</v>
      </c>
      <c r="R295" s="9">
        <f>M295-N295-O295-P295-Q295</f>
        <v>4079440</v>
      </c>
      <c r="S295" s="21">
        <f>PuntoReorden</f>
        <v>7</v>
      </c>
    </row>
    <row r="296">
      <c r="A296" s="5">
        <f>A295+1</f>
        <v>291</v>
      </c>
      <c r="B296" s="20">
        <f>B295+IF(WEEKDAY(B295,2)=6,2,1)</f>
        <v>46361</v>
      </c>
      <c r="C296" s="5">
        <f>MONTH(B296)</f>
        <v>12</v>
      </c>
      <c r="D296" s="5">
        <f>IF(C296&lt;&gt;C295,1,0)</f>
        <v>0</v>
      </c>
      <c r="E296" s="5">
        <f>IF(L295=1,CantPedido,0)</f>
        <v>15</v>
      </c>
      <c r="F296" s="5">
        <f>J295+E296</f>
        <v>19</v>
      </c>
      <c r="G296" s="5">
        <f>RANDBETWEEN(3,7)</f>
        <v>3</v>
      </c>
      <c r="H296" s="5">
        <f>MIN(F296,G296)</f>
        <v>3</v>
      </c>
      <c r="I296" s="5">
        <f>G296-H296</f>
        <v>0</v>
      </c>
      <c r="J296" s="5">
        <f>F296-H296</f>
        <v>16</v>
      </c>
      <c r="K296" s="5">
        <f>IF(I296&gt;0,1,0)</f>
        <v>0</v>
      </c>
      <c r="L296" s="5">
        <f>IF(J296&lt;PuntoReorden,1,0)</f>
        <v>0</v>
      </c>
      <c r="M296" s="9">
        <f>PrecioVenta*H296</f>
        <v>2040000</v>
      </c>
      <c r="N296" s="9">
        <f>CostoUnitario*E296</f>
        <v>9000000</v>
      </c>
      <c r="O296" s="9">
        <f>IF(E296&gt;0,CostoPedido,0)</f>
        <v>40000</v>
      </c>
      <c r="P296" s="9">
        <f>CostoAlm*(F296+J296)/2</f>
        <v>1400</v>
      </c>
      <c r="Q296" s="9">
        <f>CostoFijo*D296</f>
        <v>0</v>
      </c>
      <c r="R296" s="9">
        <f>M296-N296-O296-P296-Q296</f>
        <v>-7001400</v>
      </c>
      <c r="S296" s="21">
        <f>PuntoReorden</f>
        <v>7</v>
      </c>
    </row>
    <row r="297">
      <c r="A297" s="5">
        <f>A296+1</f>
        <v>292</v>
      </c>
      <c r="B297" s="20">
        <f>B296+IF(WEEKDAY(B296,2)=6,2,1)</f>
        <v>46363</v>
      </c>
      <c r="C297" s="5">
        <f>MONTH(B297)</f>
        <v>12</v>
      </c>
      <c r="D297" s="5">
        <f>IF(C297&lt;&gt;C296,1,0)</f>
        <v>0</v>
      </c>
      <c r="E297" s="5">
        <f>IF(L296=1,CantPedido,0)</f>
        <v>0</v>
      </c>
      <c r="F297" s="5">
        <f>J296+E297</f>
        <v>16</v>
      </c>
      <c r="G297" s="5">
        <f>RANDBETWEEN(3,7)</f>
        <v>7</v>
      </c>
      <c r="H297" s="5">
        <f>MIN(F297,G297)</f>
        <v>7</v>
      </c>
      <c r="I297" s="5">
        <f>G297-H297</f>
        <v>0</v>
      </c>
      <c r="J297" s="5">
        <f>F297-H297</f>
        <v>9</v>
      </c>
      <c r="K297" s="5">
        <f>IF(I297&gt;0,1,0)</f>
        <v>0</v>
      </c>
      <c r="L297" s="5">
        <f>IF(J297&lt;PuntoReorden,1,0)</f>
        <v>0</v>
      </c>
      <c r="M297" s="9">
        <f>PrecioVenta*H297</f>
        <v>4760000</v>
      </c>
      <c r="N297" s="9">
        <f>CostoUnitario*E297</f>
        <v>0</v>
      </c>
      <c r="O297" s="9">
        <f>IF(E297&gt;0,CostoPedido,0)</f>
        <v>0</v>
      </c>
      <c r="P297" s="9">
        <f>CostoAlm*(F297+J297)/2</f>
        <v>1000</v>
      </c>
      <c r="Q297" s="9">
        <f>CostoFijo*D297</f>
        <v>0</v>
      </c>
      <c r="R297" s="9">
        <f>M297-N297-O297-P297-Q297</f>
        <v>4759000</v>
      </c>
      <c r="S297" s="21">
        <f>PuntoReorden</f>
        <v>7</v>
      </c>
    </row>
    <row r="298">
      <c r="A298" s="5">
        <f>A297+1</f>
        <v>293</v>
      </c>
      <c r="B298" s="20">
        <f>B297+IF(WEEKDAY(B297,2)=6,2,1)</f>
        <v>46364</v>
      </c>
      <c r="C298" s="5">
        <f>MONTH(B298)</f>
        <v>12</v>
      </c>
      <c r="D298" s="5">
        <f>IF(C298&lt;&gt;C297,1,0)</f>
        <v>0</v>
      </c>
      <c r="E298" s="5">
        <f>IF(L297=1,CantPedido,0)</f>
        <v>0</v>
      </c>
      <c r="F298" s="5">
        <f>J297+E298</f>
        <v>9</v>
      </c>
      <c r="G298" s="5">
        <f>RANDBETWEEN(3,7)</f>
        <v>6</v>
      </c>
      <c r="H298" s="5">
        <f>MIN(F298,G298)</f>
        <v>6</v>
      </c>
      <c r="I298" s="5">
        <f>G298-H298</f>
        <v>0</v>
      </c>
      <c r="J298" s="5">
        <f>F298-H298</f>
        <v>3</v>
      </c>
      <c r="K298" s="5">
        <f>IF(I298&gt;0,1,0)</f>
        <v>0</v>
      </c>
      <c r="L298" s="5">
        <f>IF(J298&lt;PuntoReorden,1,0)</f>
        <v>1</v>
      </c>
      <c r="M298" s="9">
        <f>PrecioVenta*H298</f>
        <v>4080000</v>
      </c>
      <c r="N298" s="9">
        <f>CostoUnitario*E298</f>
        <v>0</v>
      </c>
      <c r="O298" s="9">
        <f>IF(E298&gt;0,CostoPedido,0)</f>
        <v>0</v>
      </c>
      <c r="P298" s="9">
        <f>CostoAlm*(F298+J298)/2</f>
        <v>480</v>
      </c>
      <c r="Q298" s="9">
        <f>CostoFijo*D298</f>
        <v>0</v>
      </c>
      <c r="R298" s="9">
        <f>M298-N298-O298-P298-Q298</f>
        <v>4079520</v>
      </c>
      <c r="S298" s="21">
        <f>PuntoReorden</f>
        <v>7</v>
      </c>
    </row>
    <row r="299">
      <c r="A299" s="5">
        <f>A298+1</f>
        <v>294</v>
      </c>
      <c r="B299" s="20">
        <f>B298+IF(WEEKDAY(B298,2)=6,2,1)</f>
        <v>46365</v>
      </c>
      <c r="C299" s="5">
        <f>MONTH(B299)</f>
        <v>12</v>
      </c>
      <c r="D299" s="5">
        <f>IF(C299&lt;&gt;C298,1,0)</f>
        <v>0</v>
      </c>
      <c r="E299" s="5">
        <f>IF(L298=1,CantPedido,0)</f>
        <v>15</v>
      </c>
      <c r="F299" s="5">
        <f>J298+E299</f>
        <v>18</v>
      </c>
      <c r="G299" s="5">
        <f>RANDBETWEEN(3,7)</f>
        <v>4</v>
      </c>
      <c r="H299" s="5">
        <f>MIN(F299,G299)</f>
        <v>4</v>
      </c>
      <c r="I299" s="5">
        <f>G299-H299</f>
        <v>0</v>
      </c>
      <c r="J299" s="5">
        <f>F299-H299</f>
        <v>14</v>
      </c>
      <c r="K299" s="5">
        <f>IF(I299&gt;0,1,0)</f>
        <v>0</v>
      </c>
      <c r="L299" s="5">
        <f>IF(J299&lt;PuntoReorden,1,0)</f>
        <v>0</v>
      </c>
      <c r="M299" s="9">
        <f>PrecioVenta*H299</f>
        <v>2720000</v>
      </c>
      <c r="N299" s="9">
        <f>CostoUnitario*E299</f>
        <v>9000000</v>
      </c>
      <c r="O299" s="9">
        <f>IF(E299&gt;0,CostoPedido,0)</f>
        <v>40000</v>
      </c>
      <c r="P299" s="9">
        <f>CostoAlm*(F299+J299)/2</f>
        <v>1280</v>
      </c>
      <c r="Q299" s="9">
        <f>CostoFijo*D299</f>
        <v>0</v>
      </c>
      <c r="R299" s="9">
        <f>M299-N299-O299-P299-Q299</f>
        <v>-6321280</v>
      </c>
      <c r="S299" s="21">
        <f>PuntoReorden</f>
        <v>7</v>
      </c>
    </row>
    <row r="300">
      <c r="A300" s="5">
        <f>A299+1</f>
        <v>295</v>
      </c>
      <c r="B300" s="20">
        <f>B299+IF(WEEKDAY(B299,2)=6,2,1)</f>
        <v>46366</v>
      </c>
      <c r="C300" s="5">
        <f>MONTH(B300)</f>
        <v>12</v>
      </c>
      <c r="D300" s="5">
        <f>IF(C300&lt;&gt;C299,1,0)</f>
        <v>0</v>
      </c>
      <c r="E300" s="5">
        <f>IF(L299=1,CantPedido,0)</f>
        <v>0</v>
      </c>
      <c r="F300" s="5">
        <f>J299+E300</f>
        <v>14</v>
      </c>
      <c r="G300" s="5">
        <f>RANDBETWEEN(3,7)</f>
        <v>6</v>
      </c>
      <c r="H300" s="5">
        <f>MIN(F300,G300)</f>
        <v>6</v>
      </c>
      <c r="I300" s="5">
        <f>G300-H300</f>
        <v>0</v>
      </c>
      <c r="J300" s="5">
        <f>F300-H300</f>
        <v>8</v>
      </c>
      <c r="K300" s="5">
        <f>IF(I300&gt;0,1,0)</f>
        <v>0</v>
      </c>
      <c r="L300" s="5">
        <f>IF(J300&lt;PuntoReorden,1,0)</f>
        <v>0</v>
      </c>
      <c r="M300" s="9">
        <f>PrecioVenta*H300</f>
        <v>4080000</v>
      </c>
      <c r="N300" s="9">
        <f>CostoUnitario*E300</f>
        <v>0</v>
      </c>
      <c r="O300" s="9">
        <f>IF(E300&gt;0,CostoPedido,0)</f>
        <v>0</v>
      </c>
      <c r="P300" s="9">
        <f>CostoAlm*(F300+J300)/2</f>
        <v>880</v>
      </c>
      <c r="Q300" s="9">
        <f>CostoFijo*D300</f>
        <v>0</v>
      </c>
      <c r="R300" s="9">
        <f>M300-N300-O300-P300-Q300</f>
        <v>4079120</v>
      </c>
      <c r="S300" s="21">
        <f>PuntoReorden</f>
        <v>7</v>
      </c>
    </row>
    <row r="301">
      <c r="A301" s="5">
        <f>A300+1</f>
        <v>296</v>
      </c>
      <c r="B301" s="20">
        <f>B300+IF(WEEKDAY(B300,2)=6,2,1)</f>
        <v>46367</v>
      </c>
      <c r="C301" s="5">
        <f>MONTH(B301)</f>
        <v>12</v>
      </c>
      <c r="D301" s="5">
        <f>IF(C301&lt;&gt;C300,1,0)</f>
        <v>0</v>
      </c>
      <c r="E301" s="5">
        <f>IF(L300=1,CantPedido,0)</f>
        <v>0</v>
      </c>
      <c r="F301" s="5">
        <f>J300+E301</f>
        <v>8</v>
      </c>
      <c r="G301" s="5">
        <f>RANDBETWEEN(3,7)</f>
        <v>4</v>
      </c>
      <c r="H301" s="5">
        <f>MIN(F301,G301)</f>
        <v>4</v>
      </c>
      <c r="I301" s="5">
        <f>G301-H301</f>
        <v>0</v>
      </c>
      <c r="J301" s="5">
        <f>F301-H301</f>
        <v>4</v>
      </c>
      <c r="K301" s="5">
        <f>IF(I301&gt;0,1,0)</f>
        <v>0</v>
      </c>
      <c r="L301" s="5">
        <f>IF(J301&lt;PuntoReorden,1,0)</f>
        <v>1</v>
      </c>
      <c r="M301" s="9">
        <f>PrecioVenta*H301</f>
        <v>2720000</v>
      </c>
      <c r="N301" s="9">
        <f>CostoUnitario*E301</f>
        <v>0</v>
      </c>
      <c r="O301" s="9">
        <f>IF(E301&gt;0,CostoPedido,0)</f>
        <v>0</v>
      </c>
      <c r="P301" s="9">
        <f>CostoAlm*(F301+J301)/2</f>
        <v>480</v>
      </c>
      <c r="Q301" s="9">
        <f>CostoFijo*D301</f>
        <v>0</v>
      </c>
      <c r="R301" s="9">
        <f>M301-N301-O301-P301-Q301</f>
        <v>2719520</v>
      </c>
      <c r="S301" s="21">
        <f>PuntoReorden</f>
        <v>7</v>
      </c>
    </row>
    <row r="302">
      <c r="A302" s="5">
        <f>A301+1</f>
        <v>297</v>
      </c>
      <c r="B302" s="20">
        <f>B301+IF(WEEKDAY(B301,2)=6,2,1)</f>
        <v>46368</v>
      </c>
      <c r="C302" s="5">
        <f>MONTH(B302)</f>
        <v>12</v>
      </c>
      <c r="D302" s="5">
        <f>IF(C302&lt;&gt;C301,1,0)</f>
        <v>0</v>
      </c>
      <c r="E302" s="5">
        <f>IF(L301=1,CantPedido,0)</f>
        <v>15</v>
      </c>
      <c r="F302" s="5">
        <f>J301+E302</f>
        <v>19</v>
      </c>
      <c r="G302" s="5">
        <f>RANDBETWEEN(3,7)</f>
        <v>3</v>
      </c>
      <c r="H302" s="5">
        <f>MIN(F302,G302)</f>
        <v>3</v>
      </c>
      <c r="I302" s="5">
        <f>G302-H302</f>
        <v>0</v>
      </c>
      <c r="J302" s="5">
        <f>F302-H302</f>
        <v>16</v>
      </c>
      <c r="K302" s="5">
        <f>IF(I302&gt;0,1,0)</f>
        <v>0</v>
      </c>
      <c r="L302" s="5">
        <f>IF(J302&lt;PuntoReorden,1,0)</f>
        <v>0</v>
      </c>
      <c r="M302" s="9">
        <f>PrecioVenta*H302</f>
        <v>2040000</v>
      </c>
      <c r="N302" s="9">
        <f>CostoUnitario*E302</f>
        <v>9000000</v>
      </c>
      <c r="O302" s="9">
        <f>IF(E302&gt;0,CostoPedido,0)</f>
        <v>40000</v>
      </c>
      <c r="P302" s="9">
        <f>CostoAlm*(F302+J302)/2</f>
        <v>1400</v>
      </c>
      <c r="Q302" s="9">
        <f>CostoFijo*D302</f>
        <v>0</v>
      </c>
      <c r="R302" s="9">
        <f>M302-N302-O302-P302-Q302</f>
        <v>-7001400</v>
      </c>
      <c r="S302" s="21">
        <f>PuntoReorden</f>
        <v>7</v>
      </c>
    </row>
    <row r="303">
      <c r="A303" s="5">
        <f>A302+1</f>
        <v>298</v>
      </c>
      <c r="B303" s="20">
        <f>B302+IF(WEEKDAY(B302,2)=6,2,1)</f>
        <v>46370</v>
      </c>
      <c r="C303" s="5">
        <f>MONTH(B303)</f>
        <v>12</v>
      </c>
      <c r="D303" s="5">
        <f>IF(C303&lt;&gt;C302,1,0)</f>
        <v>0</v>
      </c>
      <c r="E303" s="5">
        <f>IF(L302=1,CantPedido,0)</f>
        <v>0</v>
      </c>
      <c r="F303" s="5">
        <f>J302+E303</f>
        <v>16</v>
      </c>
      <c r="G303" s="5">
        <f>RANDBETWEEN(3,7)</f>
        <v>5</v>
      </c>
      <c r="H303" s="5">
        <f>MIN(F303,G303)</f>
        <v>5</v>
      </c>
      <c r="I303" s="5">
        <f>G303-H303</f>
        <v>0</v>
      </c>
      <c r="J303" s="5">
        <f>F303-H303</f>
        <v>11</v>
      </c>
      <c r="K303" s="5">
        <f>IF(I303&gt;0,1,0)</f>
        <v>0</v>
      </c>
      <c r="L303" s="5">
        <f>IF(J303&lt;PuntoReorden,1,0)</f>
        <v>0</v>
      </c>
      <c r="M303" s="9">
        <f>PrecioVenta*H303</f>
        <v>3400000</v>
      </c>
      <c r="N303" s="9">
        <f>CostoUnitario*E303</f>
        <v>0</v>
      </c>
      <c r="O303" s="9">
        <f>IF(E303&gt;0,CostoPedido,0)</f>
        <v>0</v>
      </c>
      <c r="P303" s="9">
        <f>CostoAlm*(F303+J303)/2</f>
        <v>1080</v>
      </c>
      <c r="Q303" s="9">
        <f>CostoFijo*D303</f>
        <v>0</v>
      </c>
      <c r="R303" s="9">
        <f>M303-N303-O303-P303-Q303</f>
        <v>3398920</v>
      </c>
      <c r="S303" s="21">
        <f>PuntoReorden</f>
        <v>7</v>
      </c>
    </row>
    <row r="304">
      <c r="A304" s="5">
        <f>A303+1</f>
        <v>299</v>
      </c>
      <c r="B304" s="20">
        <f>B303+IF(WEEKDAY(B303,2)=6,2,1)</f>
        <v>46371</v>
      </c>
      <c r="C304" s="5">
        <f>MONTH(B304)</f>
        <v>12</v>
      </c>
      <c r="D304" s="5">
        <f>IF(C304&lt;&gt;C303,1,0)</f>
        <v>0</v>
      </c>
      <c r="E304" s="5">
        <f>IF(L303=1,CantPedido,0)</f>
        <v>0</v>
      </c>
      <c r="F304" s="5">
        <f>J303+E304</f>
        <v>11</v>
      </c>
      <c r="G304" s="5">
        <f>RANDBETWEEN(3,7)</f>
        <v>6</v>
      </c>
      <c r="H304" s="5">
        <f>MIN(F304,G304)</f>
        <v>6</v>
      </c>
      <c r="I304" s="5">
        <f>G304-H304</f>
        <v>0</v>
      </c>
      <c r="J304" s="5">
        <f>F304-H304</f>
        <v>5</v>
      </c>
      <c r="K304" s="5">
        <f>IF(I304&gt;0,1,0)</f>
        <v>0</v>
      </c>
      <c r="L304" s="5">
        <f>IF(J304&lt;PuntoReorden,1,0)</f>
        <v>1</v>
      </c>
      <c r="M304" s="9">
        <f>PrecioVenta*H304</f>
        <v>4080000</v>
      </c>
      <c r="N304" s="9">
        <f>CostoUnitario*E304</f>
        <v>0</v>
      </c>
      <c r="O304" s="9">
        <f>IF(E304&gt;0,CostoPedido,0)</f>
        <v>0</v>
      </c>
      <c r="P304" s="9">
        <f>CostoAlm*(F304+J304)/2</f>
        <v>640</v>
      </c>
      <c r="Q304" s="9">
        <f>CostoFijo*D304</f>
        <v>0</v>
      </c>
      <c r="R304" s="9">
        <f>M304-N304-O304-P304-Q304</f>
        <v>4079360</v>
      </c>
      <c r="S304" s="21">
        <f>PuntoReorden</f>
        <v>7</v>
      </c>
    </row>
    <row r="305">
      <c r="A305" s="5">
        <f>A304+1</f>
        <v>300</v>
      </c>
      <c r="B305" s="20">
        <f>B304+IF(WEEKDAY(B304,2)=6,2,1)</f>
        <v>46372</v>
      </c>
      <c r="C305" s="5">
        <f>MONTH(B305)</f>
        <v>12</v>
      </c>
      <c r="D305" s="5">
        <f>IF(C305&lt;&gt;C304,1,0)</f>
        <v>0</v>
      </c>
      <c r="E305" s="5">
        <f>IF(L304=1,CantPedido,0)</f>
        <v>15</v>
      </c>
      <c r="F305" s="5">
        <f>J304+E305</f>
        <v>20</v>
      </c>
      <c r="G305" s="5">
        <f>RANDBETWEEN(3,7)</f>
        <v>5</v>
      </c>
      <c r="H305" s="5">
        <f>MIN(F305,G305)</f>
        <v>5</v>
      </c>
      <c r="I305" s="5">
        <f>G305-H305</f>
        <v>0</v>
      </c>
      <c r="J305" s="5">
        <f>F305-H305</f>
        <v>15</v>
      </c>
      <c r="K305" s="5">
        <f>IF(I305&gt;0,1,0)</f>
        <v>0</v>
      </c>
      <c r="L305" s="5">
        <f>IF(J305&lt;PuntoReorden,1,0)</f>
        <v>0</v>
      </c>
      <c r="M305" s="9">
        <f>PrecioVenta*H305</f>
        <v>3400000</v>
      </c>
      <c r="N305" s="9">
        <f>CostoUnitario*E305</f>
        <v>9000000</v>
      </c>
      <c r="O305" s="9">
        <f>IF(E305&gt;0,CostoPedido,0)</f>
        <v>40000</v>
      </c>
      <c r="P305" s="9">
        <f>CostoAlm*(F305+J305)/2</f>
        <v>1400</v>
      </c>
      <c r="Q305" s="9">
        <f>CostoFijo*D305</f>
        <v>0</v>
      </c>
      <c r="R305" s="9">
        <f>M305-N305-O305-P305-Q305</f>
        <v>-5641400</v>
      </c>
      <c r="S305" s="21">
        <f>PuntoReorden</f>
        <v>7</v>
      </c>
    </row>
    <row r="306">
      <c r="A306" s="5">
        <f>A305+1</f>
        <v>301</v>
      </c>
      <c r="B306" s="20">
        <f>B305+IF(WEEKDAY(B305,2)=6,2,1)</f>
        <v>46373</v>
      </c>
      <c r="C306" s="5">
        <f>MONTH(B306)</f>
        <v>12</v>
      </c>
      <c r="D306" s="5">
        <f>IF(C306&lt;&gt;C305,1,0)</f>
        <v>0</v>
      </c>
      <c r="E306" s="5">
        <f>IF(L305=1,CantPedido,0)</f>
        <v>0</v>
      </c>
      <c r="F306" s="5">
        <f>J305+E306</f>
        <v>15</v>
      </c>
      <c r="G306" s="5">
        <f>RANDBETWEEN(3,7)</f>
        <v>3</v>
      </c>
      <c r="H306" s="5">
        <f>MIN(F306,G306)</f>
        <v>3</v>
      </c>
      <c r="I306" s="5">
        <f>G306-H306</f>
        <v>0</v>
      </c>
      <c r="J306" s="5">
        <f>F306-H306</f>
        <v>12</v>
      </c>
      <c r="K306" s="5">
        <f>IF(I306&gt;0,1,0)</f>
        <v>0</v>
      </c>
      <c r="L306" s="5">
        <f>IF(J306&lt;PuntoReorden,1,0)</f>
        <v>0</v>
      </c>
      <c r="M306" s="9">
        <f>PrecioVenta*H306</f>
        <v>2040000</v>
      </c>
      <c r="N306" s="9">
        <f>CostoUnitario*E306</f>
        <v>0</v>
      </c>
      <c r="O306" s="9">
        <f>IF(E306&gt;0,CostoPedido,0)</f>
        <v>0</v>
      </c>
      <c r="P306" s="9">
        <f>CostoAlm*(F306+J306)/2</f>
        <v>1080</v>
      </c>
      <c r="Q306" s="9">
        <f>CostoFijo*D306</f>
        <v>0</v>
      </c>
      <c r="R306" s="9">
        <f>M306-N306-O306-P306-Q306</f>
        <v>2038920</v>
      </c>
      <c r="S306" s="21">
        <f>PuntoReorden</f>
        <v>7</v>
      </c>
    </row>
    <row r="307">
      <c r="A307" s="5">
        <f>A306+1</f>
        <v>302</v>
      </c>
      <c r="B307" s="20">
        <f>B306+IF(WEEKDAY(B306,2)=6,2,1)</f>
        <v>46374</v>
      </c>
      <c r="C307" s="5">
        <f>MONTH(B307)</f>
        <v>12</v>
      </c>
      <c r="D307" s="5">
        <f>IF(C307&lt;&gt;C306,1,0)</f>
        <v>0</v>
      </c>
      <c r="E307" s="5">
        <f>IF(L306=1,CantPedido,0)</f>
        <v>0</v>
      </c>
      <c r="F307" s="5">
        <f>J306+E307</f>
        <v>12</v>
      </c>
      <c r="G307" s="5">
        <f>RANDBETWEEN(3,7)</f>
        <v>5</v>
      </c>
      <c r="H307" s="5">
        <f>MIN(F307,G307)</f>
        <v>5</v>
      </c>
      <c r="I307" s="5">
        <f>G307-H307</f>
        <v>0</v>
      </c>
      <c r="J307" s="5">
        <f>F307-H307</f>
        <v>7</v>
      </c>
      <c r="K307" s="5">
        <f>IF(I307&gt;0,1,0)</f>
        <v>0</v>
      </c>
      <c r="L307" s="5">
        <f>IF(J307&lt;PuntoReorden,1,0)</f>
        <v>0</v>
      </c>
      <c r="M307" s="9">
        <f>PrecioVenta*H307</f>
        <v>3400000</v>
      </c>
      <c r="N307" s="9">
        <f>CostoUnitario*E307</f>
        <v>0</v>
      </c>
      <c r="O307" s="9">
        <f>IF(E307&gt;0,CostoPedido,0)</f>
        <v>0</v>
      </c>
      <c r="P307" s="9">
        <f>CostoAlm*(F307+J307)/2</f>
        <v>760</v>
      </c>
      <c r="Q307" s="9">
        <f>CostoFijo*D307</f>
        <v>0</v>
      </c>
      <c r="R307" s="9">
        <f>M307-N307-O307-P307-Q307</f>
        <v>3399240</v>
      </c>
      <c r="S307" s="21">
        <f>PuntoReorden</f>
        <v>7</v>
      </c>
    </row>
    <row r="308">
      <c r="A308" s="5">
        <f>A307+1</f>
        <v>303</v>
      </c>
      <c r="B308" s="20">
        <f>B307+IF(WEEKDAY(B307,2)=6,2,1)</f>
        <v>46375</v>
      </c>
      <c r="C308" s="5">
        <f>MONTH(B308)</f>
        <v>12</v>
      </c>
      <c r="D308" s="5">
        <f>IF(C308&lt;&gt;C307,1,0)</f>
        <v>0</v>
      </c>
      <c r="E308" s="5">
        <f>IF(L307=1,CantPedido,0)</f>
        <v>0</v>
      </c>
      <c r="F308" s="5">
        <f>J307+E308</f>
        <v>7</v>
      </c>
      <c r="G308" s="5">
        <f>RANDBETWEEN(3,7)</f>
        <v>3</v>
      </c>
      <c r="H308" s="5">
        <f>MIN(F308,G308)</f>
        <v>3</v>
      </c>
      <c r="I308" s="5">
        <f>G308-H308</f>
        <v>0</v>
      </c>
      <c r="J308" s="5">
        <f>F308-H308</f>
        <v>4</v>
      </c>
      <c r="K308" s="5">
        <f>IF(I308&gt;0,1,0)</f>
        <v>0</v>
      </c>
      <c r="L308" s="5">
        <f>IF(J308&lt;PuntoReorden,1,0)</f>
        <v>1</v>
      </c>
      <c r="M308" s="9">
        <f>PrecioVenta*H308</f>
        <v>2040000</v>
      </c>
      <c r="N308" s="9">
        <f>CostoUnitario*E308</f>
        <v>0</v>
      </c>
      <c r="O308" s="9">
        <f>IF(E308&gt;0,CostoPedido,0)</f>
        <v>0</v>
      </c>
      <c r="P308" s="9">
        <f>CostoAlm*(F308+J308)/2</f>
        <v>440</v>
      </c>
      <c r="Q308" s="9">
        <f>CostoFijo*D308</f>
        <v>0</v>
      </c>
      <c r="R308" s="9">
        <f>M308-N308-O308-P308-Q308</f>
        <v>2039560</v>
      </c>
      <c r="S308" s="21">
        <f>PuntoReorden</f>
        <v>7</v>
      </c>
    </row>
    <row r="309">
      <c r="A309" s="5">
        <f>A308+1</f>
        <v>304</v>
      </c>
      <c r="B309" s="20">
        <f>B308+IF(WEEKDAY(B308,2)=6,2,1)</f>
        <v>46377</v>
      </c>
      <c r="C309" s="5">
        <f>MONTH(B309)</f>
        <v>12</v>
      </c>
      <c r="D309" s="5">
        <f>IF(C309&lt;&gt;C308,1,0)</f>
        <v>0</v>
      </c>
      <c r="E309" s="5">
        <f>IF(L308=1,CantPedido,0)</f>
        <v>15</v>
      </c>
      <c r="F309" s="5">
        <f>J308+E309</f>
        <v>19</v>
      </c>
      <c r="G309" s="5">
        <f>RANDBETWEEN(3,7)</f>
        <v>6</v>
      </c>
      <c r="H309" s="5">
        <f>MIN(F309,G309)</f>
        <v>6</v>
      </c>
      <c r="I309" s="5">
        <f>G309-H309</f>
        <v>0</v>
      </c>
      <c r="J309" s="5">
        <f>F309-H309</f>
        <v>13</v>
      </c>
      <c r="K309" s="5">
        <f>IF(I309&gt;0,1,0)</f>
        <v>0</v>
      </c>
      <c r="L309" s="5">
        <f>IF(J309&lt;PuntoReorden,1,0)</f>
        <v>0</v>
      </c>
      <c r="M309" s="9">
        <f>PrecioVenta*H309</f>
        <v>4080000</v>
      </c>
      <c r="N309" s="9">
        <f>CostoUnitario*E309</f>
        <v>9000000</v>
      </c>
      <c r="O309" s="9">
        <f>IF(E309&gt;0,CostoPedido,0)</f>
        <v>40000</v>
      </c>
      <c r="P309" s="9">
        <f>CostoAlm*(F309+J309)/2</f>
        <v>1280</v>
      </c>
      <c r="Q309" s="9">
        <f>CostoFijo*D309</f>
        <v>0</v>
      </c>
      <c r="R309" s="9">
        <f>M309-N309-O309-P309-Q309</f>
        <v>-4961280</v>
      </c>
      <c r="S309" s="21">
        <f>PuntoReorden</f>
        <v>7</v>
      </c>
    </row>
    <row r="310">
      <c r="A310" s="5">
        <f>A309+1</f>
        <v>305</v>
      </c>
      <c r="B310" s="20">
        <f>B309+IF(WEEKDAY(B309,2)=6,2,1)</f>
        <v>46378</v>
      </c>
      <c r="C310" s="5">
        <f>MONTH(B310)</f>
        <v>12</v>
      </c>
      <c r="D310" s="5">
        <f>IF(C310&lt;&gt;C309,1,0)</f>
        <v>0</v>
      </c>
      <c r="E310" s="5">
        <f>IF(L309=1,CantPedido,0)</f>
        <v>0</v>
      </c>
      <c r="F310" s="5">
        <f>J309+E310</f>
        <v>13</v>
      </c>
      <c r="G310" s="5">
        <f>RANDBETWEEN(3,7)</f>
        <v>5</v>
      </c>
      <c r="H310" s="5">
        <f>MIN(F310,G310)</f>
        <v>5</v>
      </c>
      <c r="I310" s="5">
        <f>G310-H310</f>
        <v>0</v>
      </c>
      <c r="J310" s="5">
        <f>F310-H310</f>
        <v>8</v>
      </c>
      <c r="K310" s="5">
        <f>IF(I310&gt;0,1,0)</f>
        <v>0</v>
      </c>
      <c r="L310" s="5">
        <f>IF(J310&lt;PuntoReorden,1,0)</f>
        <v>0</v>
      </c>
      <c r="M310" s="9">
        <f>PrecioVenta*H310</f>
        <v>3400000</v>
      </c>
      <c r="N310" s="9">
        <f>CostoUnitario*E310</f>
        <v>0</v>
      </c>
      <c r="O310" s="9">
        <f>IF(E310&gt;0,CostoPedido,0)</f>
        <v>0</v>
      </c>
      <c r="P310" s="9">
        <f>CostoAlm*(F310+J310)/2</f>
        <v>840</v>
      </c>
      <c r="Q310" s="9">
        <f>CostoFijo*D310</f>
        <v>0</v>
      </c>
      <c r="R310" s="9">
        <f>M310-N310-O310-P310-Q310</f>
        <v>3399160</v>
      </c>
      <c r="S310" s="21">
        <f>PuntoReorden</f>
        <v>7</v>
      </c>
    </row>
    <row r="311">
      <c r="A311" s="5">
        <f>A310+1</f>
        <v>306</v>
      </c>
      <c r="B311" s="20">
        <f>B310+IF(WEEKDAY(B310,2)=6,2,1)</f>
        <v>46379</v>
      </c>
      <c r="C311" s="5">
        <f>MONTH(B311)</f>
        <v>12</v>
      </c>
      <c r="D311" s="5">
        <f>IF(C311&lt;&gt;C310,1,0)</f>
        <v>0</v>
      </c>
      <c r="E311" s="5">
        <f>IF(L310=1,CantPedido,0)</f>
        <v>0</v>
      </c>
      <c r="F311" s="5">
        <f>J310+E311</f>
        <v>8</v>
      </c>
      <c r="G311" s="5">
        <f>RANDBETWEEN(3,7)</f>
        <v>5</v>
      </c>
      <c r="H311" s="5">
        <f>MIN(F311,G311)</f>
        <v>5</v>
      </c>
      <c r="I311" s="5">
        <f>G311-H311</f>
        <v>0</v>
      </c>
      <c r="J311" s="5">
        <f>F311-H311</f>
        <v>3</v>
      </c>
      <c r="K311" s="5">
        <f>IF(I311&gt;0,1,0)</f>
        <v>0</v>
      </c>
      <c r="L311" s="5">
        <f>IF(J311&lt;PuntoReorden,1,0)</f>
        <v>1</v>
      </c>
      <c r="M311" s="9">
        <f>PrecioVenta*H311</f>
        <v>3400000</v>
      </c>
      <c r="N311" s="9">
        <f>CostoUnitario*E311</f>
        <v>0</v>
      </c>
      <c r="O311" s="9">
        <f>IF(E311&gt;0,CostoPedido,0)</f>
        <v>0</v>
      </c>
      <c r="P311" s="9">
        <f>CostoAlm*(F311+J311)/2</f>
        <v>440</v>
      </c>
      <c r="Q311" s="9">
        <f>CostoFijo*D311</f>
        <v>0</v>
      </c>
      <c r="R311" s="9">
        <f>M311-N311-O311-P311-Q311</f>
        <v>3399560</v>
      </c>
      <c r="S311" s="21">
        <f>PuntoReorden</f>
        <v>7</v>
      </c>
    </row>
    <row r="312">
      <c r="A312" s="5">
        <f>A311+1</f>
        <v>307</v>
      </c>
      <c r="B312" s="20">
        <f>B311+IF(WEEKDAY(B311,2)=6,2,1)</f>
        <v>46380</v>
      </c>
      <c r="C312" s="5">
        <f>MONTH(B312)</f>
        <v>12</v>
      </c>
      <c r="D312" s="5">
        <f>IF(C312&lt;&gt;C311,1,0)</f>
        <v>0</v>
      </c>
      <c r="E312" s="5">
        <f>IF(L311=1,CantPedido,0)</f>
        <v>15</v>
      </c>
      <c r="F312" s="5">
        <f>J311+E312</f>
        <v>18</v>
      </c>
      <c r="G312" s="5">
        <f>RANDBETWEEN(3,7)</f>
        <v>3</v>
      </c>
      <c r="H312" s="5">
        <f>MIN(F312,G312)</f>
        <v>3</v>
      </c>
      <c r="I312" s="5">
        <f>G312-H312</f>
        <v>0</v>
      </c>
      <c r="J312" s="5">
        <f>F312-H312</f>
        <v>15</v>
      </c>
      <c r="K312" s="5">
        <f>IF(I312&gt;0,1,0)</f>
        <v>0</v>
      </c>
      <c r="L312" s="5">
        <f>IF(J312&lt;PuntoReorden,1,0)</f>
        <v>0</v>
      </c>
      <c r="M312" s="9">
        <f>PrecioVenta*H312</f>
        <v>2040000</v>
      </c>
      <c r="N312" s="9">
        <f>CostoUnitario*E312</f>
        <v>9000000</v>
      </c>
      <c r="O312" s="9">
        <f>IF(E312&gt;0,CostoPedido,0)</f>
        <v>40000</v>
      </c>
      <c r="P312" s="9">
        <f>CostoAlm*(F312+J312)/2</f>
        <v>1320</v>
      </c>
      <c r="Q312" s="9">
        <f>CostoFijo*D312</f>
        <v>0</v>
      </c>
      <c r="R312" s="9">
        <f>M312-N312-O312-P312-Q312</f>
        <v>-7001320</v>
      </c>
      <c r="S312" s="21">
        <f>PuntoReorden</f>
        <v>7</v>
      </c>
    </row>
    <row r="313">
      <c r="A313" s="5">
        <f>A312+1</f>
        <v>308</v>
      </c>
      <c r="B313" s="20">
        <f>B312+IF(WEEKDAY(B312,2)=6,2,1)</f>
        <v>46381</v>
      </c>
      <c r="C313" s="5">
        <f>MONTH(B313)</f>
        <v>12</v>
      </c>
      <c r="D313" s="5">
        <f>IF(C313&lt;&gt;C312,1,0)</f>
        <v>0</v>
      </c>
      <c r="E313" s="5">
        <f>IF(L312=1,CantPedido,0)</f>
        <v>0</v>
      </c>
      <c r="F313" s="5">
        <f>J312+E313</f>
        <v>15</v>
      </c>
      <c r="G313" s="5">
        <f>RANDBETWEEN(3,7)</f>
        <v>3</v>
      </c>
      <c r="H313" s="5">
        <f>MIN(F313,G313)</f>
        <v>3</v>
      </c>
      <c r="I313" s="5">
        <f>G313-H313</f>
        <v>0</v>
      </c>
      <c r="J313" s="5">
        <f>F313-H313</f>
        <v>12</v>
      </c>
      <c r="K313" s="5">
        <f>IF(I313&gt;0,1,0)</f>
        <v>0</v>
      </c>
      <c r="L313" s="5">
        <f>IF(J313&lt;PuntoReorden,1,0)</f>
        <v>0</v>
      </c>
      <c r="M313" s="9">
        <f>PrecioVenta*H313</f>
        <v>2040000</v>
      </c>
      <c r="N313" s="9">
        <f>CostoUnitario*E313</f>
        <v>0</v>
      </c>
      <c r="O313" s="9">
        <f>IF(E313&gt;0,CostoPedido,0)</f>
        <v>0</v>
      </c>
      <c r="P313" s="9">
        <f>CostoAlm*(F313+J313)/2</f>
        <v>1080</v>
      </c>
      <c r="Q313" s="9">
        <f>CostoFijo*D313</f>
        <v>0</v>
      </c>
      <c r="R313" s="9">
        <f>M313-N313-O313-P313-Q313</f>
        <v>2038920</v>
      </c>
      <c r="S313" s="21">
        <f>PuntoReorden</f>
        <v>7</v>
      </c>
    </row>
    <row r="314">
      <c r="A314" s="5">
        <f>A313+1</f>
        <v>309</v>
      </c>
      <c r="B314" s="20">
        <f>B313+IF(WEEKDAY(B313,2)=6,2,1)</f>
        <v>46382</v>
      </c>
      <c r="C314" s="5">
        <f>MONTH(B314)</f>
        <v>12</v>
      </c>
      <c r="D314" s="5">
        <f>IF(C314&lt;&gt;C313,1,0)</f>
        <v>0</v>
      </c>
      <c r="E314" s="5">
        <f>IF(L313=1,CantPedido,0)</f>
        <v>0</v>
      </c>
      <c r="F314" s="5">
        <f>J313+E314</f>
        <v>12</v>
      </c>
      <c r="G314" s="5">
        <f>RANDBETWEEN(3,7)</f>
        <v>7</v>
      </c>
      <c r="H314" s="5">
        <f>MIN(F314,G314)</f>
        <v>7</v>
      </c>
      <c r="I314" s="5">
        <f>G314-H314</f>
        <v>0</v>
      </c>
      <c r="J314" s="5">
        <f>F314-H314</f>
        <v>5</v>
      </c>
      <c r="K314" s="5">
        <f>IF(I314&gt;0,1,0)</f>
        <v>0</v>
      </c>
      <c r="L314" s="5">
        <f>IF(J314&lt;PuntoReorden,1,0)</f>
        <v>1</v>
      </c>
      <c r="M314" s="9">
        <f>PrecioVenta*H314</f>
        <v>4760000</v>
      </c>
      <c r="N314" s="9">
        <f>CostoUnitario*E314</f>
        <v>0</v>
      </c>
      <c r="O314" s="9">
        <f>IF(E314&gt;0,CostoPedido,0)</f>
        <v>0</v>
      </c>
      <c r="P314" s="9">
        <f>CostoAlm*(F314+J314)/2</f>
        <v>680</v>
      </c>
      <c r="Q314" s="9">
        <f>CostoFijo*D314</f>
        <v>0</v>
      </c>
      <c r="R314" s="9">
        <f>M314-N314-O314-P314-Q314</f>
        <v>4759320</v>
      </c>
      <c r="S314" s="21">
        <f>PuntoReorden</f>
        <v>7</v>
      </c>
    </row>
    <row r="315">
      <c r="A315" s="5">
        <f>A314+1</f>
        <v>310</v>
      </c>
      <c r="B315" s="20">
        <f>B314+IF(WEEKDAY(B314,2)=6,2,1)</f>
        <v>46384</v>
      </c>
      <c r="C315" s="5">
        <f>MONTH(B315)</f>
        <v>12</v>
      </c>
      <c r="D315" s="5">
        <f>IF(C315&lt;&gt;C314,1,0)</f>
        <v>0</v>
      </c>
      <c r="E315" s="5">
        <f>IF(L314=1,CantPedido,0)</f>
        <v>15</v>
      </c>
      <c r="F315" s="5">
        <f>J314+E315</f>
        <v>20</v>
      </c>
      <c r="G315" s="5">
        <f>RANDBETWEEN(3,7)</f>
        <v>6</v>
      </c>
      <c r="H315" s="5">
        <f>MIN(F315,G315)</f>
        <v>6</v>
      </c>
      <c r="I315" s="5">
        <f>G315-H315</f>
        <v>0</v>
      </c>
      <c r="J315" s="5">
        <f>F315-H315</f>
        <v>14</v>
      </c>
      <c r="K315" s="5">
        <f>IF(I315&gt;0,1,0)</f>
        <v>0</v>
      </c>
      <c r="L315" s="5">
        <f>IF(J315&lt;PuntoReorden,1,0)</f>
        <v>0</v>
      </c>
      <c r="M315" s="9">
        <f>PrecioVenta*H315</f>
        <v>4080000</v>
      </c>
      <c r="N315" s="9">
        <f>CostoUnitario*E315</f>
        <v>9000000</v>
      </c>
      <c r="O315" s="9">
        <f>IF(E315&gt;0,CostoPedido,0)</f>
        <v>40000</v>
      </c>
      <c r="P315" s="9">
        <f>CostoAlm*(F315+J315)/2</f>
        <v>1360</v>
      </c>
      <c r="Q315" s="9">
        <f>CostoFijo*D315</f>
        <v>0</v>
      </c>
      <c r="R315" s="9">
        <f>M315-N315-O315-P315-Q315</f>
        <v>-4961360</v>
      </c>
      <c r="S315" s="21">
        <f>PuntoReorden</f>
        <v>7</v>
      </c>
    </row>
    <row r="316">
      <c r="A316" s="5">
        <f>A315+1</f>
        <v>311</v>
      </c>
      <c r="B316" s="20">
        <f>B315+IF(WEEKDAY(B315,2)=6,2,1)</f>
        <v>46385</v>
      </c>
      <c r="C316" s="5">
        <f>MONTH(B316)</f>
        <v>12</v>
      </c>
      <c r="D316" s="5">
        <f>IF(C316&lt;&gt;C315,1,0)</f>
        <v>0</v>
      </c>
      <c r="E316" s="5">
        <f>IF(L315=1,CantPedido,0)</f>
        <v>0</v>
      </c>
      <c r="F316" s="5">
        <f>J315+E316</f>
        <v>14</v>
      </c>
      <c r="G316" s="5">
        <f>RANDBETWEEN(3,7)</f>
        <v>7</v>
      </c>
      <c r="H316" s="5">
        <f>MIN(F316,G316)</f>
        <v>7</v>
      </c>
      <c r="I316" s="5">
        <f>G316-H316</f>
        <v>0</v>
      </c>
      <c r="J316" s="5">
        <f>F316-H316</f>
        <v>7</v>
      </c>
      <c r="K316" s="5">
        <f>IF(I316&gt;0,1,0)</f>
        <v>0</v>
      </c>
      <c r="L316" s="5">
        <f>IF(J316&lt;PuntoReorden,1,0)</f>
        <v>0</v>
      </c>
      <c r="M316" s="9">
        <f>PrecioVenta*H316</f>
        <v>4760000</v>
      </c>
      <c r="N316" s="9">
        <f>CostoUnitario*E316</f>
        <v>0</v>
      </c>
      <c r="O316" s="9">
        <f>IF(E316&gt;0,CostoPedido,0)</f>
        <v>0</v>
      </c>
      <c r="P316" s="9">
        <f>CostoAlm*(F316+J316)/2</f>
        <v>840</v>
      </c>
      <c r="Q316" s="9">
        <f>CostoFijo*D316</f>
        <v>0</v>
      </c>
      <c r="R316" s="9">
        <f>M316-N316-O316-P316-Q316</f>
        <v>4759160</v>
      </c>
      <c r="S316" s="21">
        <f>PuntoReorden</f>
        <v>7</v>
      </c>
    </row>
    <row r="317">
      <c r="A317" s="5">
        <f>A316+1</f>
        <v>312</v>
      </c>
      <c r="B317" s="20">
        <f>B316+IF(WEEKDAY(B316,2)=6,2,1)</f>
        <v>46386</v>
      </c>
      <c r="C317" s="5">
        <f>MONTH(B317)</f>
        <v>12</v>
      </c>
      <c r="D317" s="5">
        <f>IF(C317&lt;&gt;C316,1,0)</f>
        <v>0</v>
      </c>
      <c r="E317" s="5">
        <f>IF(L316=1,CantPedido,0)</f>
        <v>0</v>
      </c>
      <c r="F317" s="5">
        <f>J316+E317</f>
        <v>7</v>
      </c>
      <c r="G317" s="5">
        <f>RANDBETWEEN(3,7)</f>
        <v>5</v>
      </c>
      <c r="H317" s="5">
        <f>MIN(F317,G317)</f>
        <v>5</v>
      </c>
      <c r="I317" s="5">
        <f>G317-H317</f>
        <v>0</v>
      </c>
      <c r="J317" s="5">
        <f>F317-H317</f>
        <v>2</v>
      </c>
      <c r="K317" s="5">
        <f>IF(I317&gt;0,1,0)</f>
        <v>0</v>
      </c>
      <c r="L317" s="5">
        <f>IF(J317&lt;PuntoReorden,1,0)</f>
        <v>1</v>
      </c>
      <c r="M317" s="9">
        <f>PrecioVenta*H317</f>
        <v>3400000</v>
      </c>
      <c r="N317" s="9">
        <f>CostoUnitario*E317</f>
        <v>0</v>
      </c>
      <c r="O317" s="9">
        <f>IF(E317&gt;0,CostoPedido,0)</f>
        <v>0</v>
      </c>
      <c r="P317" s="9">
        <f>CostoAlm*(F317+J317)/2</f>
        <v>360</v>
      </c>
      <c r="Q317" s="9">
        <f>CostoFijo*D317</f>
        <v>0</v>
      </c>
      <c r="R317" s="9">
        <f>M317-N317-O317-P317-Q317</f>
        <v>3399640</v>
      </c>
      <c r="S317" s="21">
        <f>PuntoReorden</f>
        <v>7</v>
      </c>
    </row>
    <row r="318">
      <c r="A318" s="5">
        <f>A317+1</f>
        <v>313</v>
      </c>
      <c r="B318" s="20">
        <f>B317+IF(WEEKDAY(B317,2)=6,2,1)</f>
        <v>46387</v>
      </c>
      <c r="C318" s="5">
        <f>MONTH(B318)</f>
        <v>12</v>
      </c>
      <c r="D318" s="5">
        <f>IF(C318&lt;&gt;C317,1,0)</f>
        <v>0</v>
      </c>
      <c r="E318" s="5">
        <f>IF(L317=1,CantPedido,0)</f>
        <v>15</v>
      </c>
      <c r="F318" s="5">
        <f>J317+E318</f>
        <v>17</v>
      </c>
      <c r="G318" s="5">
        <f>RANDBETWEEN(3,7)</f>
        <v>4</v>
      </c>
      <c r="H318" s="5">
        <f>MIN(F318,G318)</f>
        <v>4</v>
      </c>
      <c r="I318" s="5">
        <f>G318-H318</f>
        <v>0</v>
      </c>
      <c r="J318" s="5">
        <f>F318-H318</f>
        <v>13</v>
      </c>
      <c r="K318" s="5">
        <f>IF(I318&gt;0,1,0)</f>
        <v>0</v>
      </c>
      <c r="L318" s="5">
        <f>IF(J318&lt;PuntoReorden,1,0)</f>
        <v>0</v>
      </c>
      <c r="M318" s="9">
        <f>PrecioVenta*H318</f>
        <v>2720000</v>
      </c>
      <c r="N318" s="9">
        <f>CostoUnitario*E318</f>
        <v>9000000</v>
      </c>
      <c r="O318" s="9">
        <f>IF(E318&gt;0,CostoPedido,0)</f>
        <v>40000</v>
      </c>
      <c r="P318" s="9">
        <f>CostoAlm*(F318+J318)/2</f>
        <v>1200</v>
      </c>
      <c r="Q318" s="9">
        <f>CostoFijo*D318</f>
        <v>0</v>
      </c>
      <c r="R318" s="9">
        <f>M318-N318-O318-P318-Q318</f>
        <v>-6321200</v>
      </c>
      <c r="S318" s="21">
        <f>PuntoReorden</f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" customWidth="1" min="3" max="3"/>
    <col width="8" customWidth="1" min="4" max="4"/>
    <col width="10" customWidth="1" min="5" max="5"/>
    <col width="10" customWidth="1" min="6" max="6"/>
    <col width="9" customWidth="1" min="7" max="7"/>
    <col width="8" customWidth="1" min="8" max="8"/>
    <col width="9" customWidth="1" min="9" max="9"/>
    <col width="10" customWidth="1" min="10" max="10"/>
    <col width="9" customWidth="1" min="11" max="11"/>
    <col width="9" customWidth="1" min="12" max="12"/>
    <col width="13" customWidth="1" min="13" max="13"/>
    <col width="13" customWidth="1" min="14" max="14"/>
    <col width="11" customWidth="1" min="15" max="15"/>
    <col width="12" customWidth="1" min="16" max="16"/>
    <col width="12" customWidth="1" min="17" max="17"/>
    <col width="14" customWidth="1" min="18" max="18"/>
    <col width="9" customWidth="1" min="19" max="19"/>
    <col width="33" customWidth="1" min="20" max="20"/>
    <col width="15" customWidth="1" min="21" max="21"/>
    <col width="8" customWidth="1" min="23" max="23"/>
    <col width="15" customWidth="1" min="24" max="24"/>
    <col width="11" customWidth="1" min="25" max="25"/>
    <col width="11" customWidth="1" min="26" max="26"/>
    <col width="10" customWidth="1" min="27" max="27"/>
    <col width="36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 ht="24" customHeight="1">
      <c r="A1" s="1" t="inlineStr">
        <is>
          <t>Un año simulado · demanda empírica</t>
        </is>
      </c>
      <c r="W1" s="2" t="inlineStr">
        <is>
          <t>W2 = celda de entrada de la tabla de datos (debe quedar vacía).</t>
        </is>
      </c>
    </row>
    <row r="2">
      <c r="A2" s="2" t="inlineStr">
        <is>
          <t>313 días hábiles de 2026 (lunes a sábado). Fila 6 = día 1; la fila 7 se copia hasta la 318. Cada recálculo (F9) es una réplica distinta.</t>
        </is>
      </c>
      <c r="W2" s="16" t="n"/>
    </row>
    <row r="3">
      <c r="A3" s="2" t="inlineStr">
        <is>
          <t>Demanda (columna G): BUSCARV(ALEATORIO();TablaEmpirica;2;VERDADERO), transformada inversa</t>
        </is>
      </c>
    </row>
    <row r="4">
      <c r="T4" s="17" t="inlineStr">
        <is>
          <t>Resumen de la réplica</t>
        </is>
      </c>
      <c r="AB4" s="17" t="inlineStr">
        <is>
          <t>Estadísticos de las 100 réplicas</t>
        </is>
      </c>
    </row>
    <row r="5" ht="40" customHeight="1">
      <c r="A5" s="4" t="inlineStr">
        <is>
          <t>Día</t>
        </is>
      </c>
      <c r="B5" s="3" t="inlineStr">
        <is>
          <t>Fecha</t>
        </is>
      </c>
      <c r="C5" s="4" t="inlineStr">
        <is>
          <t>Mes</t>
        </is>
      </c>
      <c r="D5" s="4" t="inlineStr">
        <is>
          <t>Inicio de mes (1/0)</t>
        </is>
      </c>
      <c r="E5" s="4" t="inlineStr">
        <is>
          <t>Unidades recibidas</t>
        </is>
      </c>
      <c r="F5" s="4" t="inlineStr">
        <is>
          <t>Inventario inicial</t>
        </is>
      </c>
      <c r="G5" s="4" t="inlineStr">
        <is>
          <t>Demanda</t>
        </is>
      </c>
      <c r="H5" s="4" t="inlineStr">
        <is>
          <t>Ventas</t>
        </is>
      </c>
      <c r="I5" s="4" t="inlineStr">
        <is>
          <t>Ventas perdidas</t>
        </is>
      </c>
      <c r="J5" s="4" t="inlineStr">
        <is>
          <t>Inventario final</t>
        </is>
      </c>
      <c r="K5" s="4" t="inlineStr">
        <is>
          <t>Día con faltante (1/0)</t>
        </is>
      </c>
      <c r="L5" s="4" t="inlineStr">
        <is>
          <t>Pedido al cierre (1/0)</t>
        </is>
      </c>
      <c r="M5" s="4" t="inlineStr">
        <is>
          <t>Ingresos</t>
        </is>
      </c>
      <c r="N5" s="4" t="inlineStr">
        <is>
          <t>Costo de compra</t>
        </is>
      </c>
      <c r="O5" s="4" t="inlineStr">
        <is>
          <t>Costo de pedido</t>
        </is>
      </c>
      <c r="P5" s="4" t="inlineStr">
        <is>
          <t>Costo de almacena-miento</t>
        </is>
      </c>
      <c r="Q5" s="4" t="inlineStr">
        <is>
          <t>Costo fijo</t>
        </is>
      </c>
      <c r="R5" s="4" t="inlineStr">
        <is>
          <t>Utilidad del día</t>
        </is>
      </c>
      <c r="S5" s="4" t="inlineStr">
        <is>
          <t>Punto de reorden s</t>
        </is>
      </c>
      <c r="W5" s="4" t="inlineStr">
        <is>
          <t>Réplica</t>
        </is>
      </c>
      <c r="X5" s="4" t="inlineStr">
        <is>
          <t>Ganancia anual</t>
        </is>
      </c>
      <c r="Y5" s="4" t="inlineStr">
        <is>
          <t>Fracción días con faltante</t>
        </is>
      </c>
      <c r="Z5" s="4" t="inlineStr">
        <is>
          <t>Ventas perdidas por día</t>
        </is>
      </c>
      <c r="AA5" s="4" t="inlineStr">
        <is>
          <t>Inventario final 31/12</t>
        </is>
      </c>
      <c r="AB5" s="18" t="inlineStr">
        <is>
          <t>Ganancia promedio</t>
        </is>
      </c>
      <c r="AC5" s="19">
        <f>AVERAGE(X7:X106)</f>
        <v>102872550.4</v>
      </c>
    </row>
    <row r="6">
      <c r="A6" s="5" t="n">
        <v>1</v>
      </c>
      <c r="B6" s="20">
        <f>DATE(AnioSim,1,1)</f>
        <v>46023</v>
      </c>
      <c r="C6" s="5">
        <f>MONTH(B6)</f>
        <v>1</v>
      </c>
      <c r="D6" s="5" t="n">
        <v>1</v>
      </c>
      <c r="E6" s="5">
        <f>CantPedido</f>
        <v>15</v>
      </c>
      <c r="F6" s="5">
        <f>E6</f>
        <v>15</v>
      </c>
      <c r="G6" s="5">
        <f>VLOOKUP(RAND(),TablaEmpirica,2,TRUE)</f>
        <v>5</v>
      </c>
      <c r="H6" s="5">
        <f>MIN(F6,G6)</f>
        <v>5</v>
      </c>
      <c r="I6" s="5">
        <f>G6-H6</f>
        <v>0</v>
      </c>
      <c r="J6" s="5">
        <f>F6-H6</f>
        <v>10</v>
      </c>
      <c r="K6" s="5">
        <f>IF(I6&gt;0,1,0)</f>
        <v>0</v>
      </c>
      <c r="L6" s="5">
        <f>IF(J6&lt;PuntoReorden,1,0)</f>
        <v>0</v>
      </c>
      <c r="M6" s="9">
        <f>PrecioVenta*H6</f>
        <v>3400000</v>
      </c>
      <c r="N6" s="9">
        <f>CostoUnitario*E6</f>
        <v>9000000</v>
      </c>
      <c r="O6" s="9">
        <f>IF(E6&gt;0,CostoPedido,0)</f>
        <v>40000</v>
      </c>
      <c r="P6" s="9">
        <f>CostoAlm*(F6+J6)/2</f>
        <v>1000</v>
      </c>
      <c r="Q6" s="9">
        <f>CostoFijo*D6</f>
        <v>1000000</v>
      </c>
      <c r="R6" s="9">
        <f>M6-N6-O6-P6-Q6</f>
        <v>-6641000</v>
      </c>
      <c r="S6" s="21">
        <f>PuntoReorden</f>
        <v>7</v>
      </c>
      <c r="T6" s="18" t="inlineStr">
        <is>
          <t>Ganancia anual</t>
        </is>
      </c>
      <c r="U6" s="19">
        <f>SUM(R6:R318)</f>
        <v>98835920</v>
      </c>
      <c r="X6" s="22">
        <f>U6</f>
        <v>98835920</v>
      </c>
      <c r="Y6" s="23">
        <f>U7</f>
        <v>0</v>
      </c>
      <c r="Z6" s="23">
        <f>U8</f>
        <v>0</v>
      </c>
      <c r="AA6" s="24">
        <f>U9</f>
        <v>14</v>
      </c>
      <c r="AB6" s="18" t="inlineStr">
        <is>
          <t>Desviación estándar de la ganancia</t>
        </is>
      </c>
      <c r="AC6" s="25">
        <f>_xlfn.STDEV.S(X7:X106)</f>
        <v>3148471.391292882</v>
      </c>
    </row>
    <row r="7">
      <c r="A7" s="5">
        <f>A6+1</f>
        <v>2</v>
      </c>
      <c r="B7" s="20">
        <f>B6+IF(WEEKDAY(B6,2)=6,2,1)</f>
        <v>46024</v>
      </c>
      <c r="C7" s="5">
        <f>MONTH(B7)</f>
        <v>1</v>
      </c>
      <c r="D7" s="5">
        <f>IF(C7&lt;&gt;C6,1,0)</f>
        <v>0</v>
      </c>
      <c r="E7" s="5">
        <f>IF(L6=1,CantPedido,0)</f>
        <v>0</v>
      </c>
      <c r="F7" s="5">
        <f>J6+E7</f>
        <v>10</v>
      </c>
      <c r="G7" s="5">
        <f>VLOOKUP(RAND(),TablaEmpirica,2,TRUE)</f>
        <v>6</v>
      </c>
      <c r="H7" s="5">
        <f>MIN(F7,G7)</f>
        <v>6</v>
      </c>
      <c r="I7" s="5">
        <f>G7-H7</f>
        <v>0</v>
      </c>
      <c r="J7" s="5">
        <f>F7-H7</f>
        <v>4</v>
      </c>
      <c r="K7" s="5">
        <f>IF(I7&gt;0,1,0)</f>
        <v>0</v>
      </c>
      <c r="L7" s="5">
        <f>IF(J7&lt;PuntoReorden,1,0)</f>
        <v>1</v>
      </c>
      <c r="M7" s="9">
        <f>PrecioVenta*H7</f>
        <v>4080000</v>
      </c>
      <c r="N7" s="9">
        <f>CostoUnitario*E7</f>
        <v>0</v>
      </c>
      <c r="O7" s="9">
        <f>IF(E7&gt;0,CostoPedido,0)</f>
        <v>0</v>
      </c>
      <c r="P7" s="9">
        <f>CostoAlm*(F7+J7)/2</f>
        <v>560</v>
      </c>
      <c r="Q7" s="9">
        <f>CostoFijo*D7</f>
        <v>0</v>
      </c>
      <c r="R7" s="9">
        <f>M7-N7-O7-P7-Q7</f>
        <v>4079440</v>
      </c>
      <c r="S7" s="21">
        <f>PuntoReorden</f>
        <v>7</v>
      </c>
      <c r="T7" s="18" t="inlineStr">
        <is>
          <t>Fracción de días con faltante</t>
        </is>
      </c>
      <c r="U7" s="26">
        <f>SUM(K6:K318)/COUNT(A6:A318)</f>
        <v>0</v>
      </c>
      <c r="W7" s="7" t="n">
        <v>1</v>
      </c>
      <c r="X7" s="9">
        <f t="dataTable" ref="X7:AA106" r1="W2"/>
        <v>109991240</v>
      </c>
      <c r="Y7" s="27" t="n">
        <v>0</v>
      </c>
      <c r="Z7" s="27" t="n">
        <v>0</v>
      </c>
      <c r="AA7" s="12" t="n">
        <v>1</v>
      </c>
      <c r="AB7" s="18" t="inlineStr">
        <is>
          <t>Probabilidad de ventas perdidas</t>
        </is>
      </c>
      <c r="AC7" s="28">
        <f>AVERAGE(Y7:Y106)</f>
        <v>0</v>
      </c>
    </row>
    <row r="8">
      <c r="A8" s="5">
        <f>A7+1</f>
        <v>3</v>
      </c>
      <c r="B8" s="20">
        <f>B7+IF(WEEKDAY(B7,2)=6,2,1)</f>
        <v>46025</v>
      </c>
      <c r="C8" s="5">
        <f>MONTH(B8)</f>
        <v>1</v>
      </c>
      <c r="D8" s="5">
        <f>IF(C8&lt;&gt;C7,1,0)</f>
        <v>0</v>
      </c>
      <c r="E8" s="5">
        <f>IF(L7=1,CantPedido,0)</f>
        <v>15</v>
      </c>
      <c r="F8" s="5">
        <f>J7+E8</f>
        <v>19</v>
      </c>
      <c r="G8" s="5">
        <f>VLOOKUP(RAND(),TablaEmpirica,2,TRUE)</f>
        <v>5</v>
      </c>
      <c r="H8" s="5">
        <f>MIN(F8,G8)</f>
        <v>5</v>
      </c>
      <c r="I8" s="5">
        <f>G8-H8</f>
        <v>0</v>
      </c>
      <c r="J8" s="5">
        <f>F8-H8</f>
        <v>14</v>
      </c>
      <c r="K8" s="5">
        <f>IF(I8&gt;0,1,0)</f>
        <v>0</v>
      </c>
      <c r="L8" s="5">
        <f>IF(J8&lt;PuntoReorden,1,0)</f>
        <v>0</v>
      </c>
      <c r="M8" s="9">
        <f>PrecioVenta*H8</f>
        <v>3400000</v>
      </c>
      <c r="N8" s="9">
        <f>CostoUnitario*E8</f>
        <v>9000000</v>
      </c>
      <c r="O8" s="9">
        <f>IF(E8&gt;0,CostoPedido,0)</f>
        <v>40000</v>
      </c>
      <c r="P8" s="9">
        <f>CostoAlm*(F8+J8)/2</f>
        <v>1320</v>
      </c>
      <c r="Q8" s="9">
        <f>CostoFijo*D8</f>
        <v>0</v>
      </c>
      <c r="R8" s="9">
        <f>M8-N8-O8-P8-Q8</f>
        <v>-5641320</v>
      </c>
      <c r="S8" s="21">
        <f>PuntoReorden</f>
        <v>7</v>
      </c>
      <c r="T8" s="18" t="inlineStr">
        <is>
          <t>Ventas perdidas promedio por día</t>
        </is>
      </c>
      <c r="U8" s="26">
        <f>AVERAGE(I6:I318)</f>
        <v>0</v>
      </c>
      <c r="W8" s="7" t="n">
        <v>2</v>
      </c>
      <c r="X8" s="9" t="n">
        <v>98625720</v>
      </c>
      <c r="Y8" s="27" t="n">
        <v>0</v>
      </c>
      <c r="Z8" s="27" t="n">
        <v>0</v>
      </c>
      <c r="AA8" s="12" t="n">
        <v>16</v>
      </c>
      <c r="AB8" s="18" t="inlineStr">
        <is>
          <t>Ventas perdidas promedio por día</t>
        </is>
      </c>
      <c r="AC8" s="28">
        <f>AVERAGE(Z7:Z106)</f>
        <v>0</v>
      </c>
    </row>
    <row r="9">
      <c r="A9" s="5">
        <f>A8+1</f>
        <v>4</v>
      </c>
      <c r="B9" s="20">
        <f>B8+IF(WEEKDAY(B8,2)=6,2,1)</f>
        <v>46027</v>
      </c>
      <c r="C9" s="5">
        <f>MONTH(B9)</f>
        <v>1</v>
      </c>
      <c r="D9" s="5">
        <f>IF(C9&lt;&gt;C8,1,0)</f>
        <v>0</v>
      </c>
      <c r="E9" s="5">
        <f>IF(L8=1,CantPedido,0)</f>
        <v>0</v>
      </c>
      <c r="F9" s="5">
        <f>J8+E9</f>
        <v>14</v>
      </c>
      <c r="G9" s="5">
        <f>VLOOKUP(RAND(),TablaEmpirica,2,TRUE)</f>
        <v>3</v>
      </c>
      <c r="H9" s="5">
        <f>MIN(F9,G9)</f>
        <v>3</v>
      </c>
      <c r="I9" s="5">
        <f>G9-H9</f>
        <v>0</v>
      </c>
      <c r="J9" s="5">
        <f>F9-H9</f>
        <v>11</v>
      </c>
      <c r="K9" s="5">
        <f>IF(I9&gt;0,1,0)</f>
        <v>0</v>
      </c>
      <c r="L9" s="5">
        <f>IF(J9&lt;PuntoReorden,1,0)</f>
        <v>0</v>
      </c>
      <c r="M9" s="9">
        <f>PrecioVenta*H9</f>
        <v>2040000</v>
      </c>
      <c r="N9" s="9">
        <f>CostoUnitario*E9</f>
        <v>0</v>
      </c>
      <c r="O9" s="9">
        <f>IF(E9&gt;0,CostoPedido,0)</f>
        <v>0</v>
      </c>
      <c r="P9" s="9">
        <f>CostoAlm*(F9+J9)/2</f>
        <v>1000</v>
      </c>
      <c r="Q9" s="9">
        <f>CostoFijo*D9</f>
        <v>0</v>
      </c>
      <c r="R9" s="9">
        <f>M9-N9-O9-P9-Q9</f>
        <v>2039000</v>
      </c>
      <c r="S9" s="21">
        <f>PuntoReorden</f>
        <v>7</v>
      </c>
      <c r="T9" s="18" t="inlineStr">
        <is>
          <t>Inventario final al 31/12/2026</t>
        </is>
      </c>
      <c r="U9" s="29">
        <f>J318</f>
        <v>14</v>
      </c>
      <c r="W9" s="7" t="n">
        <v>3</v>
      </c>
      <c r="X9" s="9" t="n">
        <v>105427000</v>
      </c>
      <c r="Y9" s="27" t="n">
        <v>0</v>
      </c>
      <c r="Z9" s="27" t="n">
        <v>0</v>
      </c>
      <c r="AA9" s="12" t="n">
        <v>6</v>
      </c>
      <c r="AB9" s="18" t="inlineStr">
        <is>
          <t>Error estándar de la media</t>
        </is>
      </c>
      <c r="AC9" s="25">
        <f>AC6/SQRT(COUNT(X7:X106))</f>
        <v>314847.1391292882</v>
      </c>
    </row>
    <row r="10">
      <c r="A10" s="5">
        <f>A9+1</f>
        <v>5</v>
      </c>
      <c r="B10" s="20">
        <f>B9+IF(WEEKDAY(B9,2)=6,2,1)</f>
        <v>46028</v>
      </c>
      <c r="C10" s="5">
        <f>MONTH(B10)</f>
        <v>1</v>
      </c>
      <c r="D10" s="5">
        <f>IF(C10&lt;&gt;C9,1,0)</f>
        <v>0</v>
      </c>
      <c r="E10" s="5">
        <f>IF(L9=1,CantPedido,0)</f>
        <v>0</v>
      </c>
      <c r="F10" s="5">
        <f>J9+E10</f>
        <v>11</v>
      </c>
      <c r="G10" s="5">
        <f>VLOOKUP(RAND(),TablaEmpirica,2,TRUE)</f>
        <v>3</v>
      </c>
      <c r="H10" s="5">
        <f>MIN(F10,G10)</f>
        <v>3</v>
      </c>
      <c r="I10" s="5">
        <f>G10-H10</f>
        <v>0</v>
      </c>
      <c r="J10" s="5">
        <f>F10-H10</f>
        <v>8</v>
      </c>
      <c r="K10" s="5">
        <f>IF(I10&gt;0,1,0)</f>
        <v>0</v>
      </c>
      <c r="L10" s="5">
        <f>IF(J10&lt;PuntoReorden,1,0)</f>
        <v>0</v>
      </c>
      <c r="M10" s="9">
        <f>PrecioVenta*H10</f>
        <v>2040000</v>
      </c>
      <c r="N10" s="9">
        <f>CostoUnitario*E10</f>
        <v>0</v>
      </c>
      <c r="O10" s="9">
        <f>IF(E10&gt;0,CostoPedido,0)</f>
        <v>0</v>
      </c>
      <c r="P10" s="9">
        <f>CostoAlm*(F10+J10)/2</f>
        <v>760</v>
      </c>
      <c r="Q10" s="9">
        <f>CostoFijo*D10</f>
        <v>0</v>
      </c>
      <c r="R10" s="9">
        <f>M10-N10-O10-P10-Q10</f>
        <v>2039240</v>
      </c>
      <c r="S10" s="21">
        <f>PuntoReorden</f>
        <v>7</v>
      </c>
      <c r="T10" s="30" t="inlineStr">
        <is>
          <t>Comprobación (B318, A318, suma de D)</t>
        </is>
      </c>
      <c r="U10" s="2" t="str">
        <f>IF(AND(B318=DATE(AnioSim,12,31),A318=313,SUM(D6:D318)=12),"Correcta","Revisar")</f>
        <v>Correcta</v>
      </c>
      <c r="W10" s="7" t="n">
        <v>4</v>
      </c>
      <c r="X10" s="9" t="n">
        <v>103394480</v>
      </c>
      <c r="Y10" s="27" t="n">
        <v>0</v>
      </c>
      <c r="Z10" s="27" t="n">
        <v>0</v>
      </c>
      <c r="AA10" s="12" t="n">
        <v>9</v>
      </c>
    </row>
    <row r="11">
      <c r="A11" s="5">
        <f>A10+1</f>
        <v>6</v>
      </c>
      <c r="B11" s="20">
        <f>B10+IF(WEEKDAY(B10,2)=6,2,1)</f>
        <v>46029</v>
      </c>
      <c r="C11" s="5">
        <f>MONTH(B11)</f>
        <v>1</v>
      </c>
      <c r="D11" s="5">
        <f>IF(C11&lt;&gt;C10,1,0)</f>
        <v>0</v>
      </c>
      <c r="E11" s="5">
        <f>IF(L10=1,CantPedido,0)</f>
        <v>0</v>
      </c>
      <c r="F11" s="5">
        <f>J10+E11</f>
        <v>8</v>
      </c>
      <c r="G11" s="5">
        <f>VLOOKUP(RAND(),TablaEmpirica,2,TRUE)</f>
        <v>4</v>
      </c>
      <c r="H11" s="5">
        <f>MIN(F11,G11)</f>
        <v>4</v>
      </c>
      <c r="I11" s="5">
        <f>G11-H11</f>
        <v>0</v>
      </c>
      <c r="J11" s="5">
        <f>F11-H11</f>
        <v>4</v>
      </c>
      <c r="K11" s="5">
        <f>IF(I11&gt;0,1,0)</f>
        <v>0</v>
      </c>
      <c r="L11" s="5">
        <f>IF(J11&lt;PuntoReorden,1,0)</f>
        <v>1</v>
      </c>
      <c r="M11" s="9">
        <f>PrecioVenta*H11</f>
        <v>2720000</v>
      </c>
      <c r="N11" s="9">
        <f>CostoUnitario*E11</f>
        <v>0</v>
      </c>
      <c r="O11" s="9">
        <f>IF(E11&gt;0,CostoPedido,0)</f>
        <v>0</v>
      </c>
      <c r="P11" s="9">
        <f>CostoAlm*(F11+J11)/2</f>
        <v>480</v>
      </c>
      <c r="Q11" s="9">
        <f>CostoFijo*D11</f>
        <v>0</v>
      </c>
      <c r="R11" s="9">
        <f>M11-N11-O11-P11-Q11</f>
        <v>2719520</v>
      </c>
      <c r="S11" s="21">
        <f>PuntoReorden</f>
        <v>7</v>
      </c>
      <c r="W11" s="7" t="n">
        <v>5</v>
      </c>
      <c r="X11" s="9" t="n">
        <v>102311800</v>
      </c>
      <c r="Y11" s="27" t="n">
        <v>0</v>
      </c>
      <c r="Z11" s="27" t="n">
        <v>0</v>
      </c>
      <c r="AA11" s="12" t="n">
        <v>14</v>
      </c>
      <c r="AB11" s="17" t="inlineStr">
        <is>
          <t>Histograma: 10 clases de igual ancho</t>
        </is>
      </c>
    </row>
    <row r="12">
      <c r="A12" s="5">
        <f>A11+1</f>
        <v>7</v>
      </c>
      <c r="B12" s="20">
        <f>B11+IF(WEEKDAY(B11,2)=6,2,1)</f>
        <v>46030</v>
      </c>
      <c r="C12" s="5">
        <f>MONTH(B12)</f>
        <v>1</v>
      </c>
      <c r="D12" s="5">
        <f>IF(C12&lt;&gt;C11,1,0)</f>
        <v>0</v>
      </c>
      <c r="E12" s="5">
        <f>IF(L11=1,CantPedido,0)</f>
        <v>15</v>
      </c>
      <c r="F12" s="5">
        <f>J11+E12</f>
        <v>19</v>
      </c>
      <c r="G12" s="5">
        <f>VLOOKUP(RAND(),TablaEmpirica,2,TRUE)</f>
        <v>4</v>
      </c>
      <c r="H12" s="5">
        <f>MIN(F12,G12)</f>
        <v>4</v>
      </c>
      <c r="I12" s="5">
        <f>G12-H12</f>
        <v>0</v>
      </c>
      <c r="J12" s="5">
        <f>F12-H12</f>
        <v>15</v>
      </c>
      <c r="K12" s="5">
        <f>IF(I12&gt;0,1,0)</f>
        <v>0</v>
      </c>
      <c r="L12" s="5">
        <f>IF(J12&lt;PuntoReorden,1,0)</f>
        <v>0</v>
      </c>
      <c r="M12" s="9">
        <f>PrecioVenta*H12</f>
        <v>2720000</v>
      </c>
      <c r="N12" s="9">
        <f>CostoUnitario*E12</f>
        <v>9000000</v>
      </c>
      <c r="O12" s="9">
        <f>IF(E12&gt;0,CostoPedido,0)</f>
        <v>40000</v>
      </c>
      <c r="P12" s="9">
        <f>CostoAlm*(F12+J12)/2</f>
        <v>1360</v>
      </c>
      <c r="Q12" s="9">
        <f>CostoFijo*D12</f>
        <v>0</v>
      </c>
      <c r="R12" s="9">
        <f>M12-N12-O12-P12-Q12</f>
        <v>-6321360</v>
      </c>
      <c r="S12" s="21">
        <f>PuntoReorden</f>
        <v>7</v>
      </c>
      <c r="W12" s="7" t="n">
        <v>6</v>
      </c>
      <c r="X12" s="9" t="n">
        <v>102992640</v>
      </c>
      <c r="Y12" s="27" t="n">
        <v>0</v>
      </c>
      <c r="Z12" s="27" t="n">
        <v>0</v>
      </c>
      <c r="AA12" s="12" t="n">
        <v>13</v>
      </c>
      <c r="AB12" s="18" t="inlineStr">
        <is>
          <t>Mínimo</t>
        </is>
      </c>
      <c r="AC12" s="9">
        <f>MIN(X7:X106)</f>
        <v>96109120</v>
      </c>
    </row>
    <row r="13">
      <c r="A13" s="5">
        <f>A12+1</f>
        <v>8</v>
      </c>
      <c r="B13" s="20">
        <f>B12+IF(WEEKDAY(B12,2)=6,2,1)</f>
        <v>46031</v>
      </c>
      <c r="C13" s="5">
        <f>MONTH(B13)</f>
        <v>1</v>
      </c>
      <c r="D13" s="5">
        <f>IF(C13&lt;&gt;C12,1,0)</f>
        <v>0</v>
      </c>
      <c r="E13" s="5">
        <f>IF(L12=1,CantPedido,0)</f>
        <v>0</v>
      </c>
      <c r="F13" s="5">
        <f>J12+E13</f>
        <v>15</v>
      </c>
      <c r="G13" s="5">
        <f>VLOOKUP(RAND(),TablaEmpirica,2,TRUE)</f>
        <v>5</v>
      </c>
      <c r="H13" s="5">
        <f>MIN(F13,G13)</f>
        <v>5</v>
      </c>
      <c r="I13" s="5">
        <f>G13-H13</f>
        <v>0</v>
      </c>
      <c r="J13" s="5">
        <f>F13-H13</f>
        <v>10</v>
      </c>
      <c r="K13" s="5">
        <f>IF(I13&gt;0,1,0)</f>
        <v>0</v>
      </c>
      <c r="L13" s="5">
        <f>IF(J13&lt;PuntoReorden,1,0)</f>
        <v>0</v>
      </c>
      <c r="M13" s="9">
        <f>PrecioVenta*H13</f>
        <v>3400000</v>
      </c>
      <c r="N13" s="9">
        <f>CostoUnitario*E13</f>
        <v>0</v>
      </c>
      <c r="O13" s="9">
        <f>IF(E13&gt;0,CostoPedido,0)</f>
        <v>0</v>
      </c>
      <c r="P13" s="9">
        <f>CostoAlm*(F13+J13)/2</f>
        <v>1000</v>
      </c>
      <c r="Q13" s="9">
        <f>CostoFijo*D13</f>
        <v>0</v>
      </c>
      <c r="R13" s="9">
        <f>M13-N13-O13-P13-Q13</f>
        <v>3399000</v>
      </c>
      <c r="S13" s="21">
        <f>PuntoReorden</f>
        <v>7</v>
      </c>
      <c r="W13" s="7" t="n">
        <v>7</v>
      </c>
      <c r="X13" s="9" t="n">
        <v>103396000</v>
      </c>
      <c r="Y13" s="27" t="n">
        <v>0</v>
      </c>
      <c r="Z13" s="27" t="n">
        <v>0</v>
      </c>
      <c r="AA13" s="12" t="n">
        <v>9</v>
      </c>
      <c r="AB13" s="18" t="inlineStr">
        <is>
          <t>Máximo</t>
        </is>
      </c>
      <c r="AC13" s="9">
        <f>MAX(X7:X106)</f>
        <v>109991240</v>
      </c>
    </row>
    <row r="14">
      <c r="A14" s="5">
        <f>A13+1</f>
        <v>9</v>
      </c>
      <c r="B14" s="20">
        <f>B13+IF(WEEKDAY(B13,2)=6,2,1)</f>
        <v>46032</v>
      </c>
      <c r="C14" s="5">
        <f>MONTH(B14)</f>
        <v>1</v>
      </c>
      <c r="D14" s="5">
        <f>IF(C14&lt;&gt;C13,1,0)</f>
        <v>0</v>
      </c>
      <c r="E14" s="5">
        <f>IF(L13=1,CantPedido,0)</f>
        <v>0</v>
      </c>
      <c r="F14" s="5">
        <f>J13+E14</f>
        <v>10</v>
      </c>
      <c r="G14" s="5">
        <f>VLOOKUP(RAND(),TablaEmpirica,2,TRUE)</f>
        <v>5</v>
      </c>
      <c r="H14" s="5">
        <f>MIN(F14,G14)</f>
        <v>5</v>
      </c>
      <c r="I14" s="5">
        <f>G14-H14</f>
        <v>0</v>
      </c>
      <c r="J14" s="5">
        <f>F14-H14</f>
        <v>5</v>
      </c>
      <c r="K14" s="5">
        <f>IF(I14&gt;0,1,0)</f>
        <v>0</v>
      </c>
      <c r="L14" s="5">
        <f>IF(J14&lt;PuntoReorden,1,0)</f>
        <v>1</v>
      </c>
      <c r="M14" s="9">
        <f>PrecioVenta*H14</f>
        <v>3400000</v>
      </c>
      <c r="N14" s="9">
        <f>CostoUnitario*E14</f>
        <v>0</v>
      </c>
      <c r="O14" s="9">
        <f>IF(E14&gt;0,CostoPedido,0)</f>
        <v>0</v>
      </c>
      <c r="P14" s="9">
        <f>CostoAlm*(F14+J14)/2</f>
        <v>600</v>
      </c>
      <c r="Q14" s="9">
        <f>CostoFijo*D14</f>
        <v>0</v>
      </c>
      <c r="R14" s="9">
        <f>M14-N14-O14-P14-Q14</f>
        <v>3399400</v>
      </c>
      <c r="S14" s="21">
        <f>PuntoReorden</f>
        <v>7</v>
      </c>
      <c r="W14" s="7" t="n">
        <v>8</v>
      </c>
      <c r="X14" s="9" t="n">
        <v>100475800</v>
      </c>
      <c r="Y14" s="27" t="n">
        <v>0</v>
      </c>
      <c r="Z14" s="27" t="n">
        <v>0</v>
      </c>
      <c r="AA14" s="12" t="n">
        <v>15</v>
      </c>
      <c r="AB14" s="18" t="inlineStr">
        <is>
          <t>Ancho de clase</t>
        </is>
      </c>
      <c r="AC14" s="9">
        <f>(AC13-AC12)/10</f>
        <v>1388212</v>
      </c>
    </row>
    <row r="15">
      <c r="A15" s="5">
        <f>A14+1</f>
        <v>10</v>
      </c>
      <c r="B15" s="20">
        <f>B14+IF(WEEKDAY(B14,2)=6,2,1)</f>
        <v>46034</v>
      </c>
      <c r="C15" s="5">
        <f>MONTH(B15)</f>
        <v>1</v>
      </c>
      <c r="D15" s="5">
        <f>IF(C15&lt;&gt;C14,1,0)</f>
        <v>0</v>
      </c>
      <c r="E15" s="5">
        <f>IF(L14=1,CantPedido,0)</f>
        <v>15</v>
      </c>
      <c r="F15" s="5">
        <f>J14+E15</f>
        <v>20</v>
      </c>
      <c r="G15" s="5">
        <f>VLOOKUP(RAND(),TablaEmpirica,2,TRUE)</f>
        <v>5</v>
      </c>
      <c r="H15" s="5">
        <f>MIN(F15,G15)</f>
        <v>5</v>
      </c>
      <c r="I15" s="5">
        <f>G15-H15</f>
        <v>0</v>
      </c>
      <c r="J15" s="5">
        <f>F15-H15</f>
        <v>15</v>
      </c>
      <c r="K15" s="5">
        <f>IF(I15&gt;0,1,0)</f>
        <v>0</v>
      </c>
      <c r="L15" s="5">
        <f>IF(J15&lt;PuntoReorden,1,0)</f>
        <v>0</v>
      </c>
      <c r="M15" s="9">
        <f>PrecioVenta*H15</f>
        <v>3400000</v>
      </c>
      <c r="N15" s="9">
        <f>CostoUnitario*E15</f>
        <v>9000000</v>
      </c>
      <c r="O15" s="9">
        <f>IF(E15&gt;0,CostoPedido,0)</f>
        <v>40000</v>
      </c>
      <c r="P15" s="9">
        <f>CostoAlm*(F15+J15)/2</f>
        <v>1400</v>
      </c>
      <c r="Q15" s="9">
        <f>CostoFijo*D15</f>
        <v>0</v>
      </c>
      <c r="R15" s="9">
        <f>M15-N15-O15-P15-Q15</f>
        <v>-5641400</v>
      </c>
      <c r="S15" s="21">
        <f>PuntoReorden</f>
        <v>7</v>
      </c>
      <c r="W15" s="7" t="n">
        <v>9</v>
      </c>
      <c r="X15" s="9" t="n">
        <v>99996680</v>
      </c>
      <c r="Y15" s="27" t="n">
        <v>0</v>
      </c>
      <c r="Z15" s="27" t="n">
        <v>0</v>
      </c>
      <c r="AA15" s="12" t="n">
        <v>14</v>
      </c>
    </row>
    <row r="16" ht="15" customHeight="1">
      <c r="A16" s="5">
        <f>A15+1</f>
        <v>11</v>
      </c>
      <c r="B16" s="20">
        <f>B15+IF(WEEKDAY(B15,2)=6,2,1)</f>
        <v>46035</v>
      </c>
      <c r="C16" s="5">
        <f>MONTH(B16)</f>
        <v>1</v>
      </c>
      <c r="D16" s="5">
        <f>IF(C16&lt;&gt;C15,1,0)</f>
        <v>0</v>
      </c>
      <c r="E16" s="5">
        <f>IF(L15=1,CantPedido,0)</f>
        <v>0</v>
      </c>
      <c r="F16" s="5">
        <f>J15+E16</f>
        <v>15</v>
      </c>
      <c r="G16" s="5">
        <f>VLOOKUP(RAND(),TablaEmpirica,2,TRUE)</f>
        <v>7</v>
      </c>
      <c r="H16" s="5">
        <f>MIN(F16,G16)</f>
        <v>7</v>
      </c>
      <c r="I16" s="5">
        <f>G16-H16</f>
        <v>0</v>
      </c>
      <c r="J16" s="5">
        <f>F16-H16</f>
        <v>8</v>
      </c>
      <c r="K16" s="5">
        <f>IF(I16&gt;0,1,0)</f>
        <v>0</v>
      </c>
      <c r="L16" s="5">
        <f>IF(J16&lt;PuntoReorden,1,0)</f>
        <v>0</v>
      </c>
      <c r="M16" s="9">
        <f>PrecioVenta*H16</f>
        <v>4760000</v>
      </c>
      <c r="N16" s="9">
        <f>CostoUnitario*E16</f>
        <v>0</v>
      </c>
      <c r="O16" s="9">
        <f>IF(E16&gt;0,CostoPedido,0)</f>
        <v>0</v>
      </c>
      <c r="P16" s="9">
        <f>CostoAlm*(F16+J16)/2</f>
        <v>920</v>
      </c>
      <c r="Q16" s="9">
        <f>CostoFijo*D16</f>
        <v>0</v>
      </c>
      <c r="R16" s="9">
        <f>M16-N16-O16-P16-Q16</f>
        <v>4759080</v>
      </c>
      <c r="S16" s="21">
        <f>PuntoReorden</f>
        <v>7</v>
      </c>
      <c r="W16" s="7" t="n">
        <v>10</v>
      </c>
      <c r="X16" s="9" t="n">
        <v>103675400</v>
      </c>
      <c r="Y16" s="27" t="n">
        <v>0</v>
      </c>
      <c r="Z16" s="27" t="n">
        <v>0</v>
      </c>
      <c r="AA16" s="12" t="n">
        <v>12</v>
      </c>
      <c r="AB16" s="31" t="inlineStr">
        <is>
          <t>Clase k</t>
        </is>
      </c>
      <c r="AC16" s="32" t="inlineStr">
        <is>
          <t>Límite inferior</t>
        </is>
      </c>
      <c r="AD16" s="32" t="inlineStr">
        <is>
          <t>Límite superior</t>
        </is>
      </c>
      <c r="AE16" s="32" t="inlineStr">
        <is>
          <t>Marca (millones)</t>
        </is>
      </c>
      <c r="AF16" s="32" t="inlineStr">
        <is>
          <t>Frecuencia</t>
        </is>
      </c>
    </row>
    <row r="17">
      <c r="A17" s="5">
        <f>A16+1</f>
        <v>12</v>
      </c>
      <c r="B17" s="20">
        <f>B16+IF(WEEKDAY(B16,2)=6,2,1)</f>
        <v>46036</v>
      </c>
      <c r="C17" s="5">
        <f>MONTH(B17)</f>
        <v>1</v>
      </c>
      <c r="D17" s="5">
        <f>IF(C17&lt;&gt;C16,1,0)</f>
        <v>0</v>
      </c>
      <c r="E17" s="5">
        <f>IF(L16=1,CantPedido,0)</f>
        <v>0</v>
      </c>
      <c r="F17" s="5">
        <f>J16+E17</f>
        <v>8</v>
      </c>
      <c r="G17" s="5">
        <f>VLOOKUP(RAND(),TablaEmpirica,2,TRUE)</f>
        <v>6</v>
      </c>
      <c r="H17" s="5">
        <f>MIN(F17,G17)</f>
        <v>6</v>
      </c>
      <c r="I17" s="5">
        <f>G17-H17</f>
        <v>0</v>
      </c>
      <c r="J17" s="5">
        <f>F17-H17</f>
        <v>2</v>
      </c>
      <c r="K17" s="5">
        <f>IF(I17&gt;0,1,0)</f>
        <v>0</v>
      </c>
      <c r="L17" s="5">
        <f>IF(J17&lt;PuntoReorden,1,0)</f>
        <v>1</v>
      </c>
      <c r="M17" s="9">
        <f>PrecioVenta*H17</f>
        <v>4080000</v>
      </c>
      <c r="N17" s="9">
        <f>CostoUnitario*E17</f>
        <v>0</v>
      </c>
      <c r="O17" s="9">
        <f>IF(E17&gt;0,CostoPedido,0)</f>
        <v>0</v>
      </c>
      <c r="P17" s="9">
        <f>CostoAlm*(F17+J17)/2</f>
        <v>400</v>
      </c>
      <c r="Q17" s="9">
        <f>CostoFijo*D17</f>
        <v>0</v>
      </c>
      <c r="R17" s="9">
        <f>M17-N17-O17-P17-Q17</f>
        <v>4079600</v>
      </c>
      <c r="S17" s="21">
        <f>PuntoReorden</f>
        <v>7</v>
      </c>
      <c r="W17" s="7" t="n">
        <v>11</v>
      </c>
      <c r="X17" s="9" t="n">
        <v>96109120</v>
      </c>
      <c r="Y17" s="27" t="n">
        <v>0</v>
      </c>
      <c r="Z17" s="27" t="n">
        <v>0</v>
      </c>
      <c r="AA17" s="12" t="n">
        <v>18</v>
      </c>
      <c r="AB17" s="21" t="n">
        <v>1</v>
      </c>
      <c r="AC17" s="9">
        <f>$AC$12+(AB17-1)*$AC$14</f>
        <v>96109120</v>
      </c>
      <c r="AD17" s="9">
        <f>AC17+$AC$14</f>
        <v>97497332</v>
      </c>
      <c r="AE17" s="8">
        <f>(AC17+AD17)/2/1000000</f>
        <v>96.803226</v>
      </c>
      <c r="AF17" s="33">
        <f>COUNTIFS($X$7:$X$106,"&gt;="&amp;AC17,$X$7:$X$106,"&lt;"&amp;AD17)</f>
        <v>2</v>
      </c>
    </row>
    <row r="18">
      <c r="A18" s="5">
        <f>A17+1</f>
        <v>13</v>
      </c>
      <c r="B18" s="20">
        <f>B17+IF(WEEKDAY(B17,2)=6,2,1)</f>
        <v>46037</v>
      </c>
      <c r="C18" s="5">
        <f>MONTH(B18)</f>
        <v>1</v>
      </c>
      <c r="D18" s="5">
        <f>IF(C18&lt;&gt;C17,1,0)</f>
        <v>0</v>
      </c>
      <c r="E18" s="5">
        <f>IF(L17=1,CantPedido,0)</f>
        <v>15</v>
      </c>
      <c r="F18" s="5">
        <f>J17+E18</f>
        <v>17</v>
      </c>
      <c r="G18" s="5">
        <f>VLOOKUP(RAND(),TablaEmpirica,2,TRUE)</f>
        <v>7</v>
      </c>
      <c r="H18" s="5">
        <f>MIN(F18,G18)</f>
        <v>7</v>
      </c>
      <c r="I18" s="5">
        <f>G18-H18</f>
        <v>0</v>
      </c>
      <c r="J18" s="5">
        <f>F18-H18</f>
        <v>10</v>
      </c>
      <c r="K18" s="5">
        <f>IF(I18&gt;0,1,0)</f>
        <v>0</v>
      </c>
      <c r="L18" s="5">
        <f>IF(J18&lt;PuntoReorden,1,0)</f>
        <v>0</v>
      </c>
      <c r="M18" s="9">
        <f>PrecioVenta*H18</f>
        <v>4760000</v>
      </c>
      <c r="N18" s="9">
        <f>CostoUnitario*E18</f>
        <v>9000000</v>
      </c>
      <c r="O18" s="9">
        <f>IF(E18&gt;0,CostoPedido,0)</f>
        <v>40000</v>
      </c>
      <c r="P18" s="9">
        <f>CostoAlm*(F18+J18)/2</f>
        <v>1080</v>
      </c>
      <c r="Q18" s="9">
        <f>CostoFijo*D18</f>
        <v>0</v>
      </c>
      <c r="R18" s="9">
        <f>M18-N18-O18-P18-Q18</f>
        <v>-4281080</v>
      </c>
      <c r="S18" s="21">
        <f>PuntoReorden</f>
        <v>7</v>
      </c>
      <c r="W18" s="7" t="n">
        <v>12</v>
      </c>
      <c r="X18" s="9" t="n">
        <v>101071280</v>
      </c>
      <c r="Y18" s="27" t="n">
        <v>0</v>
      </c>
      <c r="Z18" s="27" t="n">
        <v>0</v>
      </c>
      <c r="AA18" s="12" t="n">
        <v>9</v>
      </c>
      <c r="AB18" s="21" t="n">
        <v>2</v>
      </c>
      <c r="AC18" s="9">
        <f>$AC$12+(AB18-1)*$AC$14</f>
        <v>97497332</v>
      </c>
      <c r="AD18" s="9">
        <f>AC18+$AC$14</f>
        <v>98885544</v>
      </c>
      <c r="AE18" s="8">
        <f>(AC18+AD18)/2/1000000</f>
        <v>98.191438</v>
      </c>
      <c r="AF18" s="33">
        <f>COUNTIFS($X$7:$X$106,"&gt;="&amp;AC18,$X$7:$X$106,"&lt;"&amp;AD18)</f>
        <v>11</v>
      </c>
    </row>
    <row r="19">
      <c r="A19" s="5">
        <f>A18+1</f>
        <v>14</v>
      </c>
      <c r="B19" s="20">
        <f>B18+IF(WEEKDAY(B18,2)=6,2,1)</f>
        <v>46038</v>
      </c>
      <c r="C19" s="5">
        <f>MONTH(B19)</f>
        <v>1</v>
      </c>
      <c r="D19" s="5">
        <f>IF(C19&lt;&gt;C18,1,0)</f>
        <v>0</v>
      </c>
      <c r="E19" s="5">
        <f>IF(L18=1,CantPedido,0)</f>
        <v>0</v>
      </c>
      <c r="F19" s="5">
        <f>J18+E19</f>
        <v>10</v>
      </c>
      <c r="G19" s="5">
        <f>VLOOKUP(RAND(),TablaEmpirica,2,TRUE)</f>
        <v>5</v>
      </c>
      <c r="H19" s="5">
        <f>MIN(F19,G19)</f>
        <v>5</v>
      </c>
      <c r="I19" s="5">
        <f>G19-H19</f>
        <v>0</v>
      </c>
      <c r="J19" s="5">
        <f>F19-H19</f>
        <v>5</v>
      </c>
      <c r="K19" s="5">
        <f>IF(I19&gt;0,1,0)</f>
        <v>0</v>
      </c>
      <c r="L19" s="5">
        <f>IF(J19&lt;PuntoReorden,1,0)</f>
        <v>1</v>
      </c>
      <c r="M19" s="9">
        <f>PrecioVenta*H19</f>
        <v>3400000</v>
      </c>
      <c r="N19" s="9">
        <f>CostoUnitario*E19</f>
        <v>0</v>
      </c>
      <c r="O19" s="9">
        <f>IF(E19&gt;0,CostoPedido,0)</f>
        <v>0</v>
      </c>
      <c r="P19" s="9">
        <f>CostoAlm*(F19+J19)/2</f>
        <v>600</v>
      </c>
      <c r="Q19" s="9">
        <f>CostoFijo*D19</f>
        <v>0</v>
      </c>
      <c r="R19" s="9">
        <f>M19-N19-O19-P19-Q19</f>
        <v>3399400</v>
      </c>
      <c r="S19" s="21">
        <f>PuntoReorden</f>
        <v>7</v>
      </c>
      <c r="W19" s="7" t="n">
        <v>13</v>
      </c>
      <c r="X19" s="9" t="n">
        <v>107467840</v>
      </c>
      <c r="Y19" s="27" t="n">
        <v>0</v>
      </c>
      <c r="Z19" s="27" t="n">
        <v>0</v>
      </c>
      <c r="AA19" s="12" t="n">
        <v>3</v>
      </c>
      <c r="AB19" s="21" t="n">
        <v>3</v>
      </c>
      <c r="AC19" s="9">
        <f>$AC$12+(AB19-1)*$AC$14</f>
        <v>98885544</v>
      </c>
      <c r="AD19" s="9">
        <f>AC19+$AC$14</f>
        <v>100273756</v>
      </c>
      <c r="AE19" s="8">
        <f>(AC19+AD19)/2/1000000</f>
        <v>99.57965</v>
      </c>
      <c r="AF19" s="33">
        <f>COUNTIFS($X$7:$X$106,"&gt;="&amp;AC19,$X$7:$X$106,"&lt;"&amp;AD19)</f>
        <v>9</v>
      </c>
    </row>
    <row r="20">
      <c r="A20" s="5">
        <f>A19+1</f>
        <v>15</v>
      </c>
      <c r="B20" s="20">
        <f>B19+IF(WEEKDAY(B19,2)=6,2,1)</f>
        <v>46039</v>
      </c>
      <c r="C20" s="5">
        <f>MONTH(B20)</f>
        <v>1</v>
      </c>
      <c r="D20" s="5">
        <f>IF(C20&lt;&gt;C19,1,0)</f>
        <v>0</v>
      </c>
      <c r="E20" s="5">
        <f>IF(L19=1,CantPedido,0)</f>
        <v>15</v>
      </c>
      <c r="F20" s="5">
        <f>J19+E20</f>
        <v>20</v>
      </c>
      <c r="G20" s="5">
        <f>VLOOKUP(RAND(),TablaEmpirica,2,TRUE)</f>
        <v>5</v>
      </c>
      <c r="H20" s="5">
        <f>MIN(F20,G20)</f>
        <v>5</v>
      </c>
      <c r="I20" s="5">
        <f>G20-H20</f>
        <v>0</v>
      </c>
      <c r="J20" s="5">
        <f>F20-H20</f>
        <v>15</v>
      </c>
      <c r="K20" s="5">
        <f>IF(I20&gt;0,1,0)</f>
        <v>0</v>
      </c>
      <c r="L20" s="5">
        <f>IF(J20&lt;PuntoReorden,1,0)</f>
        <v>0</v>
      </c>
      <c r="M20" s="9">
        <f>PrecioVenta*H20</f>
        <v>3400000</v>
      </c>
      <c r="N20" s="9">
        <f>CostoUnitario*E20</f>
        <v>9000000</v>
      </c>
      <c r="O20" s="9">
        <f>IF(E20&gt;0,CostoPedido,0)</f>
        <v>40000</v>
      </c>
      <c r="P20" s="9">
        <f>CostoAlm*(F20+J20)/2</f>
        <v>1400</v>
      </c>
      <c r="Q20" s="9">
        <f>CostoFijo*D20</f>
        <v>0</v>
      </c>
      <c r="R20" s="9">
        <f>M20-N20-O20-P20-Q20</f>
        <v>-5641400</v>
      </c>
      <c r="S20" s="21">
        <f>PuntoReorden</f>
        <v>7</v>
      </c>
      <c r="W20" s="7" t="n">
        <v>14</v>
      </c>
      <c r="X20" s="9" t="n">
        <v>104468200</v>
      </c>
      <c r="Y20" s="27" t="n">
        <v>0</v>
      </c>
      <c r="Z20" s="27" t="n">
        <v>0</v>
      </c>
      <c r="AA20" s="12" t="n">
        <v>4</v>
      </c>
      <c r="AB20" s="21" t="n">
        <v>4</v>
      </c>
      <c r="AC20" s="9">
        <f>$AC$12+(AB20-1)*$AC$14</f>
        <v>100273756</v>
      </c>
      <c r="AD20" s="9">
        <f>AC20+$AC$14</f>
        <v>101661968</v>
      </c>
      <c r="AE20" s="8">
        <f>(AC20+AD20)/2/1000000</f>
        <v>100.967862</v>
      </c>
      <c r="AF20" s="33">
        <f>COUNTIFS($X$7:$X$106,"&gt;="&amp;AC20,$X$7:$X$106,"&lt;"&amp;AD20)</f>
        <v>15</v>
      </c>
    </row>
    <row r="21">
      <c r="A21" s="5">
        <f>A20+1</f>
        <v>16</v>
      </c>
      <c r="B21" s="20">
        <f>B20+IF(WEEKDAY(B20,2)=6,2,1)</f>
        <v>46041</v>
      </c>
      <c r="C21" s="5">
        <f>MONTH(B21)</f>
        <v>1</v>
      </c>
      <c r="D21" s="5">
        <f>IF(C21&lt;&gt;C20,1,0)</f>
        <v>0</v>
      </c>
      <c r="E21" s="5">
        <f>IF(L20=1,CantPedido,0)</f>
        <v>0</v>
      </c>
      <c r="F21" s="5">
        <f>J20+E21</f>
        <v>15</v>
      </c>
      <c r="G21" s="5">
        <f>VLOOKUP(RAND(),TablaEmpirica,2,TRUE)</f>
        <v>6</v>
      </c>
      <c r="H21" s="5">
        <f>MIN(F21,G21)</f>
        <v>6</v>
      </c>
      <c r="I21" s="5">
        <f>G21-H21</f>
        <v>0</v>
      </c>
      <c r="J21" s="5">
        <f>F21-H21</f>
        <v>9</v>
      </c>
      <c r="K21" s="5">
        <f>IF(I21&gt;0,1,0)</f>
        <v>0</v>
      </c>
      <c r="L21" s="5">
        <f>IF(J21&lt;PuntoReorden,1,0)</f>
        <v>0</v>
      </c>
      <c r="M21" s="9">
        <f>PrecioVenta*H21</f>
        <v>4080000</v>
      </c>
      <c r="N21" s="9">
        <f>CostoUnitario*E21</f>
        <v>0</v>
      </c>
      <c r="O21" s="9">
        <f>IF(E21&gt;0,CostoPedido,0)</f>
        <v>0</v>
      </c>
      <c r="P21" s="9">
        <f>CostoAlm*(F21+J21)/2</f>
        <v>960</v>
      </c>
      <c r="Q21" s="9">
        <f>CostoFijo*D21</f>
        <v>0</v>
      </c>
      <c r="R21" s="9">
        <f>M21-N21-O21-P21-Q21</f>
        <v>4079040</v>
      </c>
      <c r="S21" s="21">
        <f>PuntoReorden</f>
        <v>7</v>
      </c>
      <c r="W21" s="7" t="n">
        <v>15</v>
      </c>
      <c r="X21" s="9" t="n">
        <v>102915120</v>
      </c>
      <c r="Y21" s="27" t="n">
        <v>0</v>
      </c>
      <c r="Z21" s="27" t="n">
        <v>0</v>
      </c>
      <c r="AA21" s="12" t="n">
        <v>8</v>
      </c>
      <c r="AB21" s="21" t="n">
        <v>5</v>
      </c>
      <c r="AC21" s="9">
        <f>$AC$12+(AB21-1)*$AC$14</f>
        <v>101661968</v>
      </c>
      <c r="AD21" s="9">
        <f>AC21+$AC$14</f>
        <v>103050180</v>
      </c>
      <c r="AE21" s="8">
        <f>(AC21+AD21)/2/1000000</f>
        <v>102.356074</v>
      </c>
      <c r="AF21" s="33">
        <f>COUNTIFS($X$7:$X$106,"&gt;="&amp;AC21,$X$7:$X$106,"&lt;"&amp;AD21)</f>
        <v>18</v>
      </c>
    </row>
    <row r="22">
      <c r="A22" s="5">
        <f>A21+1</f>
        <v>17</v>
      </c>
      <c r="B22" s="20">
        <f>B21+IF(WEEKDAY(B21,2)=6,2,1)</f>
        <v>46042</v>
      </c>
      <c r="C22" s="5">
        <f>MONTH(B22)</f>
        <v>1</v>
      </c>
      <c r="D22" s="5">
        <f>IF(C22&lt;&gt;C21,1,0)</f>
        <v>0</v>
      </c>
      <c r="E22" s="5">
        <f>IF(L21=1,CantPedido,0)</f>
        <v>0</v>
      </c>
      <c r="F22" s="5">
        <f>J21+E22</f>
        <v>9</v>
      </c>
      <c r="G22" s="5">
        <f>VLOOKUP(RAND(),TablaEmpirica,2,TRUE)</f>
        <v>6</v>
      </c>
      <c r="H22" s="5">
        <f>MIN(F22,G22)</f>
        <v>6</v>
      </c>
      <c r="I22" s="5">
        <f>G22-H22</f>
        <v>0</v>
      </c>
      <c r="J22" s="5">
        <f>F22-H22</f>
        <v>3</v>
      </c>
      <c r="K22" s="5">
        <f>IF(I22&gt;0,1,0)</f>
        <v>0</v>
      </c>
      <c r="L22" s="5">
        <f>IF(J22&lt;PuntoReorden,1,0)</f>
        <v>1</v>
      </c>
      <c r="M22" s="9">
        <f>PrecioVenta*H22</f>
        <v>4080000</v>
      </c>
      <c r="N22" s="9">
        <f>CostoUnitario*E22</f>
        <v>0</v>
      </c>
      <c r="O22" s="9">
        <f>IF(E22&gt;0,CostoPedido,0)</f>
        <v>0</v>
      </c>
      <c r="P22" s="9">
        <f>CostoAlm*(F22+J22)/2</f>
        <v>480</v>
      </c>
      <c r="Q22" s="9">
        <f>CostoFijo*D22</f>
        <v>0</v>
      </c>
      <c r="R22" s="9">
        <f>M22-N22-O22-P22-Q22</f>
        <v>4079520</v>
      </c>
      <c r="S22" s="21">
        <f>PuntoReorden</f>
        <v>7</v>
      </c>
      <c r="W22" s="7" t="n">
        <v>16</v>
      </c>
      <c r="X22" s="9" t="n">
        <v>104471240</v>
      </c>
      <c r="Y22" s="27" t="n">
        <v>0</v>
      </c>
      <c r="Z22" s="27" t="n">
        <v>0</v>
      </c>
      <c r="AA22" s="12" t="n">
        <v>4</v>
      </c>
      <c r="AB22" s="21" t="n">
        <v>6</v>
      </c>
      <c r="AC22" s="9">
        <f>$AC$12+(AB22-1)*$AC$14</f>
        <v>103050180</v>
      </c>
      <c r="AD22" s="9">
        <f>AC22+$AC$14</f>
        <v>104438392</v>
      </c>
      <c r="AE22" s="8">
        <f>(AC22+AD22)/2/1000000</f>
        <v>103.744286</v>
      </c>
      <c r="AF22" s="33">
        <f>COUNTIFS($X$7:$X$106,"&gt;="&amp;AC22,$X$7:$X$106,"&lt;"&amp;AD22)</f>
        <v>15</v>
      </c>
    </row>
    <row r="23">
      <c r="A23" s="5">
        <f>A22+1</f>
        <v>18</v>
      </c>
      <c r="B23" s="20">
        <f>B22+IF(WEEKDAY(B22,2)=6,2,1)</f>
        <v>46043</v>
      </c>
      <c r="C23" s="5">
        <f>MONTH(B23)</f>
        <v>1</v>
      </c>
      <c r="D23" s="5">
        <f>IF(C23&lt;&gt;C22,1,0)</f>
        <v>0</v>
      </c>
      <c r="E23" s="5">
        <f>IF(L22=1,CantPedido,0)</f>
        <v>15</v>
      </c>
      <c r="F23" s="5">
        <f>J22+E23</f>
        <v>18</v>
      </c>
      <c r="G23" s="5">
        <f>VLOOKUP(RAND(),TablaEmpirica,2,TRUE)</f>
        <v>3</v>
      </c>
      <c r="H23" s="5">
        <f>MIN(F23,G23)</f>
        <v>3</v>
      </c>
      <c r="I23" s="5">
        <f>G23-H23</f>
        <v>0</v>
      </c>
      <c r="J23" s="5">
        <f>F23-H23</f>
        <v>15</v>
      </c>
      <c r="K23" s="5">
        <f>IF(I23&gt;0,1,0)</f>
        <v>0</v>
      </c>
      <c r="L23" s="5">
        <f>IF(J23&lt;PuntoReorden,1,0)</f>
        <v>0</v>
      </c>
      <c r="M23" s="9">
        <f>PrecioVenta*H23</f>
        <v>2040000</v>
      </c>
      <c r="N23" s="9">
        <f>CostoUnitario*E23</f>
        <v>9000000</v>
      </c>
      <c r="O23" s="9">
        <f>IF(E23&gt;0,CostoPedido,0)</f>
        <v>40000</v>
      </c>
      <c r="P23" s="9">
        <f>CostoAlm*(F23+J23)/2</f>
        <v>1320</v>
      </c>
      <c r="Q23" s="9">
        <f>CostoFijo*D23</f>
        <v>0</v>
      </c>
      <c r="R23" s="9">
        <f>M23-N23-O23-P23-Q23</f>
        <v>-7001320</v>
      </c>
      <c r="S23" s="21">
        <f>PuntoReorden</f>
        <v>7</v>
      </c>
      <c r="W23" s="7" t="n">
        <v>17</v>
      </c>
      <c r="X23" s="9" t="n">
        <v>102709320</v>
      </c>
      <c r="Y23" s="27" t="n">
        <v>0</v>
      </c>
      <c r="Z23" s="27" t="n">
        <v>0</v>
      </c>
      <c r="AA23" s="12" t="n">
        <v>10</v>
      </c>
      <c r="AB23" s="21" t="n">
        <v>7</v>
      </c>
      <c r="AC23" s="9">
        <f>$AC$12+(AB23-1)*$AC$14</f>
        <v>104438392</v>
      </c>
      <c r="AD23" s="9">
        <f>AC23+$AC$14</f>
        <v>105826604</v>
      </c>
      <c r="AE23" s="8">
        <f>(AC23+AD23)/2/1000000</f>
        <v>105.132498</v>
      </c>
      <c r="AF23" s="33">
        <f>COUNTIFS($X$7:$X$106,"&gt;="&amp;AC23,$X$7:$X$106,"&lt;"&amp;AD23)</f>
        <v>13</v>
      </c>
    </row>
    <row r="24">
      <c r="A24" s="5">
        <f>A23+1</f>
        <v>19</v>
      </c>
      <c r="B24" s="20">
        <f>B23+IF(WEEKDAY(B23,2)=6,2,1)</f>
        <v>46044</v>
      </c>
      <c r="C24" s="5">
        <f>MONTH(B24)</f>
        <v>1</v>
      </c>
      <c r="D24" s="5">
        <f>IF(C24&lt;&gt;C23,1,0)</f>
        <v>0</v>
      </c>
      <c r="E24" s="5">
        <f>IF(L23=1,CantPedido,0)</f>
        <v>0</v>
      </c>
      <c r="F24" s="5">
        <f>J23+E24</f>
        <v>15</v>
      </c>
      <c r="G24" s="5">
        <f>VLOOKUP(RAND(),TablaEmpirica,2,TRUE)</f>
        <v>7</v>
      </c>
      <c r="H24" s="5">
        <f>MIN(F24,G24)</f>
        <v>7</v>
      </c>
      <c r="I24" s="5">
        <f>G24-H24</f>
        <v>0</v>
      </c>
      <c r="J24" s="5">
        <f>F24-H24</f>
        <v>8</v>
      </c>
      <c r="K24" s="5">
        <f>IF(I24&gt;0,1,0)</f>
        <v>0</v>
      </c>
      <c r="L24" s="5">
        <f>IF(J24&lt;PuntoReorden,1,0)</f>
        <v>0</v>
      </c>
      <c r="M24" s="9">
        <f>PrecioVenta*H24</f>
        <v>4760000</v>
      </c>
      <c r="N24" s="9">
        <f>CostoUnitario*E24</f>
        <v>0</v>
      </c>
      <c r="O24" s="9">
        <f>IF(E24&gt;0,CostoPedido,0)</f>
        <v>0</v>
      </c>
      <c r="P24" s="9">
        <f>CostoAlm*(F24+J24)/2</f>
        <v>920</v>
      </c>
      <c r="Q24" s="9">
        <f>CostoFijo*D24</f>
        <v>0</v>
      </c>
      <c r="R24" s="9">
        <f>M24-N24-O24-P24-Q24</f>
        <v>4759080</v>
      </c>
      <c r="S24" s="21">
        <f>PuntoReorden</f>
        <v>7</v>
      </c>
      <c r="W24" s="7" t="n">
        <v>18</v>
      </c>
      <c r="X24" s="9" t="n">
        <v>102515440</v>
      </c>
      <c r="Y24" s="27" t="n">
        <v>0</v>
      </c>
      <c r="Z24" s="27" t="n">
        <v>0</v>
      </c>
      <c r="AA24" s="12" t="n">
        <v>12</v>
      </c>
      <c r="AB24" s="21" t="n">
        <v>8</v>
      </c>
      <c r="AC24" s="9">
        <f>$AC$12+(AB24-1)*$AC$14</f>
        <v>105826604</v>
      </c>
      <c r="AD24" s="9">
        <f>AC24+$AC$14</f>
        <v>107214816</v>
      </c>
      <c r="AE24" s="8">
        <f>(AC24+AD24)/2/1000000</f>
        <v>106.52071</v>
      </c>
      <c r="AF24" s="33">
        <f>COUNTIFS($X$7:$X$106,"&gt;="&amp;AC24,$X$7:$X$106,"&lt;"&amp;AD24)</f>
        <v>5</v>
      </c>
    </row>
    <row r="25">
      <c r="A25" s="5">
        <f>A24+1</f>
        <v>20</v>
      </c>
      <c r="B25" s="20">
        <f>B24+IF(WEEKDAY(B24,2)=6,2,1)</f>
        <v>46045</v>
      </c>
      <c r="C25" s="5">
        <f>MONTH(B25)</f>
        <v>1</v>
      </c>
      <c r="D25" s="5">
        <f>IF(C25&lt;&gt;C24,1,0)</f>
        <v>0</v>
      </c>
      <c r="E25" s="5">
        <f>IF(L24=1,CantPedido,0)</f>
        <v>0</v>
      </c>
      <c r="F25" s="5">
        <f>J24+E25</f>
        <v>8</v>
      </c>
      <c r="G25" s="5">
        <f>VLOOKUP(RAND(),TablaEmpirica,2,TRUE)</f>
        <v>3</v>
      </c>
      <c r="H25" s="5">
        <f>MIN(F25,G25)</f>
        <v>3</v>
      </c>
      <c r="I25" s="5">
        <f>G25-H25</f>
        <v>0</v>
      </c>
      <c r="J25" s="5">
        <f>F25-H25</f>
        <v>5</v>
      </c>
      <c r="K25" s="5">
        <f>IF(I25&gt;0,1,0)</f>
        <v>0</v>
      </c>
      <c r="L25" s="5">
        <f>IF(J25&lt;PuntoReorden,1,0)</f>
        <v>1</v>
      </c>
      <c r="M25" s="9">
        <f>PrecioVenta*H25</f>
        <v>2040000</v>
      </c>
      <c r="N25" s="9">
        <f>CostoUnitario*E25</f>
        <v>0</v>
      </c>
      <c r="O25" s="9">
        <f>IF(E25&gt;0,CostoPedido,0)</f>
        <v>0</v>
      </c>
      <c r="P25" s="9">
        <f>CostoAlm*(F25+J25)/2</f>
        <v>520</v>
      </c>
      <c r="Q25" s="9">
        <f>CostoFijo*D25</f>
        <v>0</v>
      </c>
      <c r="R25" s="9">
        <f>M25-N25-O25-P25-Q25</f>
        <v>2039480</v>
      </c>
      <c r="S25" s="21">
        <f>PuntoReorden</f>
        <v>7</v>
      </c>
      <c r="W25" s="7" t="n">
        <v>19</v>
      </c>
      <c r="X25" s="9" t="n">
        <v>97389680</v>
      </c>
      <c r="Y25" s="27" t="n">
        <v>0</v>
      </c>
      <c r="Z25" s="27" t="n">
        <v>0</v>
      </c>
      <c r="AA25" s="12" t="n">
        <v>11</v>
      </c>
      <c r="AB25" s="21" t="n">
        <v>9</v>
      </c>
      <c r="AC25" s="9">
        <f>$AC$12+(AB25-1)*$AC$14</f>
        <v>107214816</v>
      </c>
      <c r="AD25" s="9">
        <f>AC25+$AC$14</f>
        <v>108603028</v>
      </c>
      <c r="AE25" s="8">
        <f>(AC25+AD25)/2/1000000</f>
        <v>107.908922</v>
      </c>
      <c r="AF25" s="33">
        <f>COUNTIFS($X$7:$X$106,"&gt;="&amp;AC25,$X$7:$X$106,"&lt;"&amp;AD25)</f>
        <v>7</v>
      </c>
    </row>
    <row r="26">
      <c r="A26" s="5">
        <f>A25+1</f>
        <v>21</v>
      </c>
      <c r="B26" s="20">
        <f>B25+IF(WEEKDAY(B25,2)=6,2,1)</f>
        <v>46046</v>
      </c>
      <c r="C26" s="5">
        <f>MONTH(B26)</f>
        <v>1</v>
      </c>
      <c r="D26" s="5">
        <f>IF(C26&lt;&gt;C25,1,0)</f>
        <v>0</v>
      </c>
      <c r="E26" s="5">
        <f>IF(L25=1,CantPedido,0)</f>
        <v>15</v>
      </c>
      <c r="F26" s="5">
        <f>J25+E26</f>
        <v>20</v>
      </c>
      <c r="G26" s="5">
        <f>VLOOKUP(RAND(),TablaEmpirica,2,TRUE)</f>
        <v>5</v>
      </c>
      <c r="H26" s="5">
        <f>MIN(F26,G26)</f>
        <v>5</v>
      </c>
      <c r="I26" s="5">
        <f>G26-H26</f>
        <v>0</v>
      </c>
      <c r="J26" s="5">
        <f>F26-H26</f>
        <v>15</v>
      </c>
      <c r="K26" s="5">
        <f>IF(I26&gt;0,1,0)</f>
        <v>0</v>
      </c>
      <c r="L26" s="5">
        <f>IF(J26&lt;PuntoReorden,1,0)</f>
        <v>0</v>
      </c>
      <c r="M26" s="9">
        <f>PrecioVenta*H26</f>
        <v>3400000</v>
      </c>
      <c r="N26" s="9">
        <f>CostoUnitario*E26</f>
        <v>9000000</v>
      </c>
      <c r="O26" s="9">
        <f>IF(E26&gt;0,CostoPedido,0)</f>
        <v>40000</v>
      </c>
      <c r="P26" s="9">
        <f>CostoAlm*(F26+J26)/2</f>
        <v>1400</v>
      </c>
      <c r="Q26" s="9">
        <f>CostoFijo*D26</f>
        <v>0</v>
      </c>
      <c r="R26" s="9">
        <f>M26-N26-O26-P26-Q26</f>
        <v>-5641400</v>
      </c>
      <c r="S26" s="21">
        <f>PuntoReorden</f>
        <v>7</v>
      </c>
      <c r="W26" s="7" t="n">
        <v>20</v>
      </c>
      <c r="X26" s="9" t="n">
        <v>101359000</v>
      </c>
      <c r="Y26" s="27" t="n">
        <v>0</v>
      </c>
      <c r="Z26" s="27" t="n">
        <v>0</v>
      </c>
      <c r="AA26" s="12" t="n">
        <v>12</v>
      </c>
      <c r="AB26" s="21" t="n">
        <v>10</v>
      </c>
      <c r="AC26" s="9">
        <f>$AC$12+(AB26-1)*$AC$14</f>
        <v>108603028</v>
      </c>
      <c r="AD26" s="9">
        <f>AC26+$AC$14</f>
        <v>109991240</v>
      </c>
      <c r="AE26" s="8">
        <f>(AC26+AD26)/2/1000000</f>
        <v>109.297134</v>
      </c>
      <c r="AF26" s="33">
        <f>COUNTIFS($X$7:$X$106,"&gt;="&amp;AC26,$X$7:$X$106,"&lt;="&amp;AD26)</f>
        <v>5</v>
      </c>
    </row>
    <row r="27">
      <c r="A27" s="5">
        <f>A26+1</f>
        <v>22</v>
      </c>
      <c r="B27" s="20">
        <f>B26+IF(WEEKDAY(B26,2)=6,2,1)</f>
        <v>46048</v>
      </c>
      <c r="C27" s="5">
        <f>MONTH(B27)</f>
        <v>1</v>
      </c>
      <c r="D27" s="5">
        <f>IF(C27&lt;&gt;C26,1,0)</f>
        <v>0</v>
      </c>
      <c r="E27" s="5">
        <f>IF(L26=1,CantPedido,0)</f>
        <v>0</v>
      </c>
      <c r="F27" s="5">
        <f>J26+E27</f>
        <v>15</v>
      </c>
      <c r="G27" s="5">
        <f>VLOOKUP(RAND(),TablaEmpirica,2,TRUE)</f>
        <v>3</v>
      </c>
      <c r="H27" s="5">
        <f>MIN(F27,G27)</f>
        <v>3</v>
      </c>
      <c r="I27" s="5">
        <f>G27-H27</f>
        <v>0</v>
      </c>
      <c r="J27" s="5">
        <f>F27-H27</f>
        <v>12</v>
      </c>
      <c r="K27" s="5">
        <f>IF(I27&gt;0,1,0)</f>
        <v>0</v>
      </c>
      <c r="L27" s="5">
        <f>IF(J27&lt;PuntoReorden,1,0)</f>
        <v>0</v>
      </c>
      <c r="M27" s="9">
        <f>PrecioVenta*H27</f>
        <v>2040000</v>
      </c>
      <c r="N27" s="9">
        <f>CostoUnitario*E27</f>
        <v>0</v>
      </c>
      <c r="O27" s="9">
        <f>IF(E27&gt;0,CostoPedido,0)</f>
        <v>0</v>
      </c>
      <c r="P27" s="9">
        <f>CostoAlm*(F27+J27)/2</f>
        <v>1080</v>
      </c>
      <c r="Q27" s="9">
        <f>CostoFijo*D27</f>
        <v>0</v>
      </c>
      <c r="R27" s="9">
        <f>M27-N27-O27-P27-Q27</f>
        <v>2038920</v>
      </c>
      <c r="S27" s="21">
        <f>PuntoReorden</f>
        <v>7</v>
      </c>
      <c r="W27" s="7" t="n">
        <v>21</v>
      </c>
      <c r="X27" s="9" t="n">
        <v>107948640</v>
      </c>
      <c r="Y27" s="27" t="n">
        <v>0</v>
      </c>
      <c r="Z27" s="27" t="n">
        <v>0</v>
      </c>
      <c r="AA27" s="12" t="n">
        <v>4</v>
      </c>
      <c r="AE27" s="34" t="inlineStr">
        <is>
          <t>Total</t>
        </is>
      </c>
      <c r="AF27" s="13">
        <f>SUM(AF17:AF26)</f>
        <v>100</v>
      </c>
    </row>
    <row r="28">
      <c r="A28" s="5">
        <f>A27+1</f>
        <v>23</v>
      </c>
      <c r="B28" s="20">
        <f>B27+IF(WEEKDAY(B27,2)=6,2,1)</f>
        <v>46049</v>
      </c>
      <c r="C28" s="5">
        <f>MONTH(B28)</f>
        <v>1</v>
      </c>
      <c r="D28" s="5">
        <f>IF(C28&lt;&gt;C27,1,0)</f>
        <v>0</v>
      </c>
      <c r="E28" s="5">
        <f>IF(L27=1,CantPedido,0)</f>
        <v>0</v>
      </c>
      <c r="F28" s="5">
        <f>J27+E28</f>
        <v>12</v>
      </c>
      <c r="G28" s="5">
        <f>VLOOKUP(RAND(),TablaEmpirica,2,TRUE)</f>
        <v>6</v>
      </c>
      <c r="H28" s="5">
        <f>MIN(F28,G28)</f>
        <v>6</v>
      </c>
      <c r="I28" s="5">
        <f>G28-H28</f>
        <v>0</v>
      </c>
      <c r="J28" s="5">
        <f>F28-H28</f>
        <v>6</v>
      </c>
      <c r="K28" s="5">
        <f>IF(I28&gt;0,1,0)</f>
        <v>0</v>
      </c>
      <c r="L28" s="5">
        <f>IF(J28&lt;PuntoReorden,1,0)</f>
        <v>1</v>
      </c>
      <c r="M28" s="9">
        <f>PrecioVenta*H28</f>
        <v>4080000</v>
      </c>
      <c r="N28" s="9">
        <f>CostoUnitario*E28</f>
        <v>0</v>
      </c>
      <c r="O28" s="9">
        <f>IF(E28&gt;0,CostoPedido,0)</f>
        <v>0</v>
      </c>
      <c r="P28" s="9">
        <f>CostoAlm*(F28+J28)/2</f>
        <v>720</v>
      </c>
      <c r="Q28" s="9">
        <f>CostoFijo*D28</f>
        <v>0</v>
      </c>
      <c r="R28" s="9">
        <f>M28-N28-O28-P28-Q28</f>
        <v>4079280</v>
      </c>
      <c r="S28" s="21">
        <f>PuntoReorden</f>
        <v>7</v>
      </c>
      <c r="W28" s="7" t="n">
        <v>22</v>
      </c>
      <c r="X28" s="9" t="n">
        <v>100675760</v>
      </c>
      <c r="Y28" s="27" t="n">
        <v>0</v>
      </c>
      <c r="Z28" s="27" t="n">
        <v>0</v>
      </c>
      <c r="AA28" s="12" t="n">
        <v>13</v>
      </c>
    </row>
    <row r="29">
      <c r="A29" s="5">
        <f>A28+1</f>
        <v>24</v>
      </c>
      <c r="B29" s="20">
        <f>B28+IF(WEEKDAY(B28,2)=6,2,1)</f>
        <v>46050</v>
      </c>
      <c r="C29" s="5">
        <f>MONTH(B29)</f>
        <v>1</v>
      </c>
      <c r="D29" s="5">
        <f>IF(C29&lt;&gt;C28,1,0)</f>
        <v>0</v>
      </c>
      <c r="E29" s="5">
        <f>IF(L28=1,CantPedido,0)</f>
        <v>15</v>
      </c>
      <c r="F29" s="5">
        <f>J28+E29</f>
        <v>21</v>
      </c>
      <c r="G29" s="5">
        <f>VLOOKUP(RAND(),TablaEmpirica,2,TRUE)</f>
        <v>5</v>
      </c>
      <c r="H29" s="5">
        <f>MIN(F29,G29)</f>
        <v>5</v>
      </c>
      <c r="I29" s="5">
        <f>G29-H29</f>
        <v>0</v>
      </c>
      <c r="J29" s="5">
        <f>F29-H29</f>
        <v>16</v>
      </c>
      <c r="K29" s="5">
        <f>IF(I29&gt;0,1,0)</f>
        <v>0</v>
      </c>
      <c r="L29" s="5">
        <f>IF(J29&lt;PuntoReorden,1,0)</f>
        <v>0</v>
      </c>
      <c r="M29" s="9">
        <f>PrecioVenta*H29</f>
        <v>3400000</v>
      </c>
      <c r="N29" s="9">
        <f>CostoUnitario*E29</f>
        <v>9000000</v>
      </c>
      <c r="O29" s="9">
        <f>IF(E29&gt;0,CostoPedido,0)</f>
        <v>40000</v>
      </c>
      <c r="P29" s="9">
        <f>CostoAlm*(F29+J29)/2</f>
        <v>1480</v>
      </c>
      <c r="Q29" s="9">
        <f>CostoFijo*D29</f>
        <v>0</v>
      </c>
      <c r="R29" s="9">
        <f>M29-N29-O29-P29-Q29</f>
        <v>-5641480</v>
      </c>
      <c r="S29" s="21">
        <f>PuntoReorden</f>
        <v>7</v>
      </c>
      <c r="W29" s="7" t="n">
        <v>23</v>
      </c>
      <c r="X29" s="9" t="n">
        <v>104466680</v>
      </c>
      <c r="Y29" s="27" t="n">
        <v>0</v>
      </c>
      <c r="Z29" s="27" t="n">
        <v>0</v>
      </c>
      <c r="AA29" s="12" t="n">
        <v>4</v>
      </c>
      <c r="AB29" s="17" t="inlineStr">
        <is>
          <t>Ganancia vs. inventario sobrante al 31/12</t>
        </is>
      </c>
    </row>
    <row r="30">
      <c r="A30" s="5">
        <f>A29+1</f>
        <v>25</v>
      </c>
      <c r="B30" s="20">
        <f>B29+IF(WEEKDAY(B29,2)=6,2,1)</f>
        <v>46051</v>
      </c>
      <c r="C30" s="5">
        <f>MONTH(B30)</f>
        <v>1</v>
      </c>
      <c r="D30" s="5">
        <f>IF(C30&lt;&gt;C29,1,0)</f>
        <v>0</v>
      </c>
      <c r="E30" s="5">
        <f>IF(L29=1,CantPedido,0)</f>
        <v>0</v>
      </c>
      <c r="F30" s="5">
        <f>J29+E30</f>
        <v>16</v>
      </c>
      <c r="G30" s="5">
        <f>VLOOKUP(RAND(),TablaEmpirica,2,TRUE)</f>
        <v>7</v>
      </c>
      <c r="H30" s="5">
        <f>MIN(F30,G30)</f>
        <v>7</v>
      </c>
      <c r="I30" s="5">
        <f>G30-H30</f>
        <v>0</v>
      </c>
      <c r="J30" s="5">
        <f>F30-H30</f>
        <v>9</v>
      </c>
      <c r="K30" s="5">
        <f>IF(I30&gt;0,1,0)</f>
        <v>0</v>
      </c>
      <c r="L30" s="5">
        <f>IF(J30&lt;PuntoReorden,1,0)</f>
        <v>0</v>
      </c>
      <c r="M30" s="9">
        <f>PrecioVenta*H30</f>
        <v>4760000</v>
      </c>
      <c r="N30" s="9">
        <f>CostoUnitario*E30</f>
        <v>0</v>
      </c>
      <c r="O30" s="9">
        <f>IF(E30&gt;0,CostoPedido,0)</f>
        <v>0</v>
      </c>
      <c r="P30" s="9">
        <f>CostoAlm*(F30+J30)/2</f>
        <v>1000</v>
      </c>
      <c r="Q30" s="9">
        <f>CostoFijo*D30</f>
        <v>0</v>
      </c>
      <c r="R30" s="9">
        <f>M30-N30-O30-P30-Q30</f>
        <v>4759000</v>
      </c>
      <c r="S30" s="21">
        <f>PuntoReorden</f>
        <v>7</v>
      </c>
      <c r="W30" s="7" t="n">
        <v>24</v>
      </c>
      <c r="X30" s="9" t="n">
        <v>98633400</v>
      </c>
      <c r="Y30" s="27" t="n">
        <v>0</v>
      </c>
      <c r="Z30" s="27" t="n">
        <v>0</v>
      </c>
      <c r="AA30" s="12" t="n">
        <v>16</v>
      </c>
      <c r="AB30" s="18" t="inlineStr">
        <is>
          <t>Inventario final promedio (unidades)</t>
        </is>
      </c>
      <c r="AC30" s="8">
        <f>AVERAGE(AA7:AA106)</f>
        <v>9.61</v>
      </c>
    </row>
    <row r="31">
      <c r="A31" s="5">
        <f>A30+1</f>
        <v>26</v>
      </c>
      <c r="B31" s="20">
        <f>B30+IF(WEEKDAY(B30,2)=6,2,1)</f>
        <v>46052</v>
      </c>
      <c r="C31" s="5">
        <f>MONTH(B31)</f>
        <v>1</v>
      </c>
      <c r="D31" s="5">
        <f>IF(C31&lt;&gt;C30,1,0)</f>
        <v>0</v>
      </c>
      <c r="E31" s="5">
        <f>IF(L30=1,CantPedido,0)</f>
        <v>0</v>
      </c>
      <c r="F31" s="5">
        <f>J30+E31</f>
        <v>9</v>
      </c>
      <c r="G31" s="5">
        <f>VLOOKUP(RAND(),TablaEmpirica,2,TRUE)</f>
        <v>5</v>
      </c>
      <c r="H31" s="5">
        <f>MIN(F31,G31)</f>
        <v>5</v>
      </c>
      <c r="I31" s="5">
        <f>G31-H31</f>
        <v>0</v>
      </c>
      <c r="J31" s="5">
        <f>F31-H31</f>
        <v>4</v>
      </c>
      <c r="K31" s="5">
        <f>IF(I31&gt;0,1,0)</f>
        <v>0</v>
      </c>
      <c r="L31" s="5">
        <f>IF(J31&lt;PuntoReorden,1,0)</f>
        <v>1</v>
      </c>
      <c r="M31" s="9">
        <f>PrecioVenta*H31</f>
        <v>3400000</v>
      </c>
      <c r="N31" s="9">
        <f>CostoUnitario*E31</f>
        <v>0</v>
      </c>
      <c r="O31" s="9">
        <f>IF(E31&gt;0,CostoPedido,0)</f>
        <v>0</v>
      </c>
      <c r="P31" s="9">
        <f>CostoAlm*(F31+J31)/2</f>
        <v>520</v>
      </c>
      <c r="Q31" s="9">
        <f>CostoFijo*D31</f>
        <v>0</v>
      </c>
      <c r="R31" s="9">
        <f>M31-N31-O31-P31-Q31</f>
        <v>3399480</v>
      </c>
      <c r="S31" s="21">
        <f>PuntoReorden</f>
        <v>7</v>
      </c>
      <c r="W31" s="7" t="n">
        <v>25</v>
      </c>
      <c r="X31" s="9" t="n">
        <v>101836760</v>
      </c>
      <c r="Y31" s="27" t="n">
        <v>0</v>
      </c>
      <c r="Z31" s="27" t="n">
        <v>0</v>
      </c>
      <c r="AA31" s="12" t="n">
        <v>13</v>
      </c>
      <c r="AB31" s="18" t="inlineStr">
        <is>
          <t>Correlación ganancia – inventario final</t>
        </is>
      </c>
      <c r="AC31" s="15">
        <f>CORREL(X7:X106,AA7:AA106)</f>
        <v>-0.865239122381165</v>
      </c>
    </row>
    <row r="32">
      <c r="A32" s="5">
        <f>A31+1</f>
        <v>27</v>
      </c>
      <c r="B32" s="20">
        <f>B31+IF(WEEKDAY(B31,2)=6,2,1)</f>
        <v>46053</v>
      </c>
      <c r="C32" s="5">
        <f>MONTH(B32)</f>
        <v>1</v>
      </c>
      <c r="D32" s="5">
        <f>IF(C32&lt;&gt;C31,1,0)</f>
        <v>0</v>
      </c>
      <c r="E32" s="5">
        <f>IF(L31=1,CantPedido,0)</f>
        <v>15</v>
      </c>
      <c r="F32" s="5">
        <f>J31+E32</f>
        <v>19</v>
      </c>
      <c r="G32" s="5">
        <f>VLOOKUP(RAND(),TablaEmpirica,2,TRUE)</f>
        <v>5</v>
      </c>
      <c r="H32" s="5">
        <f>MIN(F32,G32)</f>
        <v>5</v>
      </c>
      <c r="I32" s="5">
        <f>G32-H32</f>
        <v>0</v>
      </c>
      <c r="J32" s="5">
        <f>F32-H32</f>
        <v>14</v>
      </c>
      <c r="K32" s="5">
        <f>IF(I32&gt;0,1,0)</f>
        <v>0</v>
      </c>
      <c r="L32" s="5">
        <f>IF(J32&lt;PuntoReorden,1,0)</f>
        <v>0</v>
      </c>
      <c r="M32" s="9">
        <f>PrecioVenta*H32</f>
        <v>3400000</v>
      </c>
      <c r="N32" s="9">
        <f>CostoUnitario*E32</f>
        <v>9000000</v>
      </c>
      <c r="O32" s="9">
        <f>IF(E32&gt;0,CostoPedido,0)</f>
        <v>40000</v>
      </c>
      <c r="P32" s="9">
        <f>CostoAlm*(F32+J32)/2</f>
        <v>1320</v>
      </c>
      <c r="Q32" s="9">
        <f>CostoFijo*D32</f>
        <v>0</v>
      </c>
      <c r="R32" s="9">
        <f>M32-N32-O32-P32-Q32</f>
        <v>-5641320</v>
      </c>
      <c r="S32" s="21">
        <f>PuntoReorden</f>
        <v>7</v>
      </c>
      <c r="W32" s="7" t="n">
        <v>26</v>
      </c>
      <c r="X32" s="9" t="n">
        <v>107949600</v>
      </c>
      <c r="Y32" s="27" t="n">
        <v>0</v>
      </c>
      <c r="Z32" s="27" t="n">
        <v>0</v>
      </c>
      <c r="AA32" s="12" t="n">
        <v>4</v>
      </c>
      <c r="AB32" s="18" t="inlineStr">
        <is>
          <t>Pendiente ($ por unidad sobrante)</t>
        </is>
      </c>
      <c r="AC32" s="9">
        <f>SLOPE(X7:X106,AA7:AA106)</f>
        <v>-572985.7647053567</v>
      </c>
    </row>
    <row r="33">
      <c r="A33" s="5">
        <f>A32+1</f>
        <v>28</v>
      </c>
      <c r="B33" s="20">
        <f>B32+IF(WEEKDAY(B32,2)=6,2,1)</f>
        <v>46055</v>
      </c>
      <c r="C33" s="5">
        <f>MONTH(B33)</f>
        <v>2</v>
      </c>
      <c r="D33" s="5">
        <f>IF(C33&lt;&gt;C32,1,0)</f>
        <v>1</v>
      </c>
      <c r="E33" s="5">
        <f>IF(L32=1,CantPedido,0)</f>
        <v>0</v>
      </c>
      <c r="F33" s="5">
        <f>J32+E33</f>
        <v>14</v>
      </c>
      <c r="G33" s="5">
        <f>VLOOKUP(RAND(),TablaEmpirica,2,TRUE)</f>
        <v>6</v>
      </c>
      <c r="H33" s="5">
        <f>MIN(F33,G33)</f>
        <v>6</v>
      </c>
      <c r="I33" s="5">
        <f>G33-H33</f>
        <v>0</v>
      </c>
      <c r="J33" s="5">
        <f>F33-H33</f>
        <v>8</v>
      </c>
      <c r="K33" s="5">
        <f>IF(I33&gt;0,1,0)</f>
        <v>0</v>
      </c>
      <c r="L33" s="5">
        <f>IF(J33&lt;PuntoReorden,1,0)</f>
        <v>0</v>
      </c>
      <c r="M33" s="9">
        <f>PrecioVenta*H33</f>
        <v>4080000</v>
      </c>
      <c r="N33" s="9">
        <f>CostoUnitario*E33</f>
        <v>0</v>
      </c>
      <c r="O33" s="9">
        <f>IF(E33&gt;0,CostoPedido,0)</f>
        <v>0</v>
      </c>
      <c r="P33" s="9">
        <f>CostoAlm*(F33+J33)/2</f>
        <v>880</v>
      </c>
      <c r="Q33" s="9">
        <f>CostoFijo*D33</f>
        <v>1000000</v>
      </c>
      <c r="R33" s="9">
        <f>M33-N33-O33-P33-Q33</f>
        <v>3079120</v>
      </c>
      <c r="S33" s="21">
        <f>PuntoReorden</f>
        <v>7</v>
      </c>
      <c r="W33" s="7" t="n">
        <v>27</v>
      </c>
      <c r="X33" s="9" t="n">
        <v>104267760</v>
      </c>
      <c r="Y33" s="27" t="n">
        <v>0</v>
      </c>
      <c r="Z33" s="27" t="n">
        <v>0</v>
      </c>
      <c r="AA33" s="12" t="n">
        <v>6</v>
      </c>
      <c r="AB33" s="18" t="inlineStr">
        <is>
          <t>R² (variabilidad explicada)</t>
        </is>
      </c>
      <c r="AC33" s="15">
        <f>AC31^2</f>
        <v>0.7486387388989285</v>
      </c>
    </row>
    <row r="34">
      <c r="A34" s="5">
        <f>A33+1</f>
        <v>29</v>
      </c>
      <c r="B34" s="20">
        <f>B33+IF(WEEKDAY(B33,2)=6,2,1)</f>
        <v>46056</v>
      </c>
      <c r="C34" s="5">
        <f>MONTH(B34)</f>
        <v>2</v>
      </c>
      <c r="D34" s="5">
        <f>IF(C34&lt;&gt;C33,1,0)</f>
        <v>0</v>
      </c>
      <c r="E34" s="5">
        <f>IF(L33=1,CantPedido,0)</f>
        <v>0</v>
      </c>
      <c r="F34" s="5">
        <f>J33+E34</f>
        <v>8</v>
      </c>
      <c r="G34" s="5">
        <f>VLOOKUP(RAND(),TablaEmpirica,2,TRUE)</f>
        <v>3</v>
      </c>
      <c r="H34" s="5">
        <f>MIN(F34,G34)</f>
        <v>3</v>
      </c>
      <c r="I34" s="5">
        <f>G34-H34</f>
        <v>0</v>
      </c>
      <c r="J34" s="5">
        <f>F34-H34</f>
        <v>5</v>
      </c>
      <c r="K34" s="5">
        <f>IF(I34&gt;0,1,0)</f>
        <v>0</v>
      </c>
      <c r="L34" s="5">
        <f>IF(J34&lt;PuntoReorden,1,0)</f>
        <v>1</v>
      </c>
      <c r="M34" s="9">
        <f>PrecioVenta*H34</f>
        <v>2040000</v>
      </c>
      <c r="N34" s="9">
        <f>CostoUnitario*E34</f>
        <v>0</v>
      </c>
      <c r="O34" s="9">
        <f>IF(E34&gt;0,CostoPedido,0)</f>
        <v>0</v>
      </c>
      <c r="P34" s="9">
        <f>CostoAlm*(F34+J34)/2</f>
        <v>520</v>
      </c>
      <c r="Q34" s="9">
        <f>CostoFijo*D34</f>
        <v>0</v>
      </c>
      <c r="R34" s="9">
        <f>M34-N34-O34-P34-Q34</f>
        <v>2039480</v>
      </c>
      <c r="S34" s="21">
        <f>PuntoReorden</f>
        <v>7</v>
      </c>
      <c r="W34" s="7" t="n">
        <v>28</v>
      </c>
      <c r="X34" s="9" t="n">
        <v>102222040</v>
      </c>
      <c r="Y34" s="27" t="n">
        <v>0</v>
      </c>
      <c r="Z34" s="27" t="n">
        <v>0</v>
      </c>
      <c r="AA34" s="12" t="n">
        <v>9</v>
      </c>
    </row>
    <row r="35">
      <c r="A35" s="5">
        <f>A34+1</f>
        <v>30</v>
      </c>
      <c r="B35" s="20">
        <f>B34+IF(WEEKDAY(B34,2)=6,2,1)</f>
        <v>46057</v>
      </c>
      <c r="C35" s="5">
        <f>MONTH(B35)</f>
        <v>2</v>
      </c>
      <c r="D35" s="5">
        <f>IF(C35&lt;&gt;C34,1,0)</f>
        <v>0</v>
      </c>
      <c r="E35" s="5">
        <f>IF(L34=1,CantPedido,0)</f>
        <v>15</v>
      </c>
      <c r="F35" s="5">
        <f>J34+E35</f>
        <v>20</v>
      </c>
      <c r="G35" s="5">
        <f>VLOOKUP(RAND(),TablaEmpirica,2,TRUE)</f>
        <v>5</v>
      </c>
      <c r="H35" s="5">
        <f>MIN(F35,G35)</f>
        <v>5</v>
      </c>
      <c r="I35" s="5">
        <f>G35-H35</f>
        <v>0</v>
      </c>
      <c r="J35" s="5">
        <f>F35-H35</f>
        <v>15</v>
      </c>
      <c r="K35" s="5">
        <f>IF(I35&gt;0,1,0)</f>
        <v>0</v>
      </c>
      <c r="L35" s="5">
        <f>IF(J35&lt;PuntoReorden,1,0)</f>
        <v>0</v>
      </c>
      <c r="M35" s="9">
        <f>PrecioVenta*H35</f>
        <v>3400000</v>
      </c>
      <c r="N35" s="9">
        <f>CostoUnitario*E35</f>
        <v>9000000</v>
      </c>
      <c r="O35" s="9">
        <f>IF(E35&gt;0,CostoPedido,0)</f>
        <v>40000</v>
      </c>
      <c r="P35" s="9">
        <f>CostoAlm*(F35+J35)/2</f>
        <v>1400</v>
      </c>
      <c r="Q35" s="9">
        <f>CostoFijo*D35</f>
        <v>0</v>
      </c>
      <c r="R35" s="9">
        <f>M35-N35-O35-P35-Q35</f>
        <v>-5641400</v>
      </c>
      <c r="S35" s="21">
        <f>PuntoReorden</f>
        <v>7</v>
      </c>
      <c r="W35" s="7" t="n">
        <v>29</v>
      </c>
      <c r="X35" s="9" t="n">
        <v>98434640</v>
      </c>
      <c r="Y35" s="27" t="n">
        <v>0</v>
      </c>
      <c r="Z35" s="27" t="n">
        <v>0</v>
      </c>
      <c r="AA35" s="12" t="n">
        <v>18</v>
      </c>
    </row>
    <row r="36">
      <c r="A36" s="5">
        <f>A35+1</f>
        <v>31</v>
      </c>
      <c r="B36" s="20">
        <f>B35+IF(WEEKDAY(B35,2)=6,2,1)</f>
        <v>46058</v>
      </c>
      <c r="C36" s="5">
        <f>MONTH(B36)</f>
        <v>2</v>
      </c>
      <c r="D36" s="5">
        <f>IF(C36&lt;&gt;C35,1,0)</f>
        <v>0</v>
      </c>
      <c r="E36" s="5">
        <f>IF(L35=1,CantPedido,0)</f>
        <v>0</v>
      </c>
      <c r="F36" s="5">
        <f>J35+E36</f>
        <v>15</v>
      </c>
      <c r="G36" s="5">
        <f>VLOOKUP(RAND(),TablaEmpirica,2,TRUE)</f>
        <v>5</v>
      </c>
      <c r="H36" s="5">
        <f>MIN(F36,G36)</f>
        <v>5</v>
      </c>
      <c r="I36" s="5">
        <f>G36-H36</f>
        <v>0</v>
      </c>
      <c r="J36" s="5">
        <f>F36-H36</f>
        <v>10</v>
      </c>
      <c r="K36" s="5">
        <f>IF(I36&gt;0,1,0)</f>
        <v>0</v>
      </c>
      <c r="L36" s="5">
        <f>IF(J36&lt;PuntoReorden,1,0)</f>
        <v>0</v>
      </c>
      <c r="M36" s="9">
        <f>PrecioVenta*H36</f>
        <v>3400000</v>
      </c>
      <c r="N36" s="9">
        <f>CostoUnitario*E36</f>
        <v>0</v>
      </c>
      <c r="O36" s="9">
        <f>IF(E36&gt;0,CostoPedido,0)</f>
        <v>0</v>
      </c>
      <c r="P36" s="9">
        <f>CostoAlm*(F36+J36)/2</f>
        <v>1000</v>
      </c>
      <c r="Q36" s="9">
        <f>CostoFijo*D36</f>
        <v>0</v>
      </c>
      <c r="R36" s="9">
        <f>M36-N36-O36-P36-Q36</f>
        <v>3399000</v>
      </c>
      <c r="S36" s="21">
        <f>PuntoReorden</f>
        <v>7</v>
      </c>
      <c r="W36" s="7" t="n">
        <v>30</v>
      </c>
      <c r="X36" s="9" t="n">
        <v>102426720</v>
      </c>
      <c r="Y36" s="27" t="n">
        <v>0</v>
      </c>
      <c r="Z36" s="27" t="n">
        <v>0</v>
      </c>
      <c r="AA36" s="12" t="n">
        <v>7</v>
      </c>
    </row>
    <row r="37">
      <c r="A37" s="5">
        <f>A36+1</f>
        <v>32</v>
      </c>
      <c r="B37" s="20">
        <f>B36+IF(WEEKDAY(B36,2)=6,2,1)</f>
        <v>46059</v>
      </c>
      <c r="C37" s="5">
        <f>MONTH(B37)</f>
        <v>2</v>
      </c>
      <c r="D37" s="5">
        <f>IF(C37&lt;&gt;C36,1,0)</f>
        <v>0</v>
      </c>
      <c r="E37" s="5">
        <f>IF(L36=1,CantPedido,0)</f>
        <v>0</v>
      </c>
      <c r="F37" s="5">
        <f>J36+E37</f>
        <v>10</v>
      </c>
      <c r="G37" s="5">
        <f>VLOOKUP(RAND(),TablaEmpirica,2,TRUE)</f>
        <v>6</v>
      </c>
      <c r="H37" s="5">
        <f>MIN(F37,G37)</f>
        <v>6</v>
      </c>
      <c r="I37" s="5">
        <f>G37-H37</f>
        <v>0</v>
      </c>
      <c r="J37" s="5">
        <f>F37-H37</f>
        <v>4</v>
      </c>
      <c r="K37" s="5">
        <f>IF(I37&gt;0,1,0)</f>
        <v>0</v>
      </c>
      <c r="L37" s="5">
        <f>IF(J37&lt;PuntoReorden,1,0)</f>
        <v>1</v>
      </c>
      <c r="M37" s="9">
        <f>PrecioVenta*H37</f>
        <v>4080000</v>
      </c>
      <c r="N37" s="9">
        <f>CostoUnitario*E37</f>
        <v>0</v>
      </c>
      <c r="O37" s="9">
        <f>IF(E37&gt;0,CostoPedido,0)</f>
        <v>0</v>
      </c>
      <c r="P37" s="9">
        <f>CostoAlm*(F37+J37)/2</f>
        <v>560</v>
      </c>
      <c r="Q37" s="9">
        <f>CostoFijo*D37</f>
        <v>0</v>
      </c>
      <c r="R37" s="9">
        <f>M37-N37-O37-P37-Q37</f>
        <v>4079440</v>
      </c>
      <c r="S37" s="21">
        <f>PuntoReorden</f>
        <v>7</v>
      </c>
      <c r="W37" s="7" t="n">
        <v>31</v>
      </c>
      <c r="X37" s="9" t="n">
        <v>109316240</v>
      </c>
      <c r="Y37" s="27" t="n">
        <v>0</v>
      </c>
      <c r="Z37" s="27" t="n">
        <v>0</v>
      </c>
      <c r="AA37" s="12" t="n">
        <v>2</v>
      </c>
    </row>
    <row r="38">
      <c r="A38" s="5">
        <f>A37+1</f>
        <v>33</v>
      </c>
      <c r="B38" s="20">
        <f>B37+IF(WEEKDAY(B37,2)=6,2,1)</f>
        <v>46060</v>
      </c>
      <c r="C38" s="5">
        <f>MONTH(B38)</f>
        <v>2</v>
      </c>
      <c r="D38" s="5">
        <f>IF(C38&lt;&gt;C37,1,0)</f>
        <v>0</v>
      </c>
      <c r="E38" s="5">
        <f>IF(L37=1,CantPedido,0)</f>
        <v>15</v>
      </c>
      <c r="F38" s="5">
        <f>J37+E38</f>
        <v>19</v>
      </c>
      <c r="G38" s="5">
        <f>VLOOKUP(RAND(),TablaEmpirica,2,TRUE)</f>
        <v>4</v>
      </c>
      <c r="H38" s="5">
        <f>MIN(F38,G38)</f>
        <v>4</v>
      </c>
      <c r="I38" s="5">
        <f>G38-H38</f>
        <v>0</v>
      </c>
      <c r="J38" s="5">
        <f>F38-H38</f>
        <v>15</v>
      </c>
      <c r="K38" s="5">
        <f>IF(I38&gt;0,1,0)</f>
        <v>0</v>
      </c>
      <c r="L38" s="5">
        <f>IF(J38&lt;PuntoReorden,1,0)</f>
        <v>0</v>
      </c>
      <c r="M38" s="9">
        <f>PrecioVenta*H38</f>
        <v>2720000</v>
      </c>
      <c r="N38" s="9">
        <f>CostoUnitario*E38</f>
        <v>9000000</v>
      </c>
      <c r="O38" s="9">
        <f>IF(E38&gt;0,CostoPedido,0)</f>
        <v>40000</v>
      </c>
      <c r="P38" s="9">
        <f>CostoAlm*(F38+J38)/2</f>
        <v>1360</v>
      </c>
      <c r="Q38" s="9">
        <f>CostoFijo*D38</f>
        <v>0</v>
      </c>
      <c r="R38" s="9">
        <f>M38-N38-O38-P38-Q38</f>
        <v>-6321360</v>
      </c>
      <c r="S38" s="21">
        <f>PuntoReorden</f>
        <v>7</v>
      </c>
      <c r="W38" s="7" t="n">
        <v>32</v>
      </c>
      <c r="X38" s="9" t="n">
        <v>102036880</v>
      </c>
      <c r="Y38" s="27" t="n">
        <v>0</v>
      </c>
      <c r="Z38" s="27" t="n">
        <v>0</v>
      </c>
      <c r="AA38" s="12" t="n">
        <v>11</v>
      </c>
    </row>
    <row r="39">
      <c r="A39" s="5">
        <f>A38+1</f>
        <v>34</v>
      </c>
      <c r="B39" s="20">
        <f>B38+IF(WEEKDAY(B38,2)=6,2,1)</f>
        <v>46062</v>
      </c>
      <c r="C39" s="5">
        <f>MONTH(B39)</f>
        <v>2</v>
      </c>
      <c r="D39" s="5">
        <f>IF(C39&lt;&gt;C38,1,0)</f>
        <v>0</v>
      </c>
      <c r="E39" s="5">
        <f>IF(L38=1,CantPedido,0)</f>
        <v>0</v>
      </c>
      <c r="F39" s="5">
        <f>J38+E39</f>
        <v>15</v>
      </c>
      <c r="G39" s="5">
        <f>VLOOKUP(RAND(),TablaEmpirica,2,TRUE)</f>
        <v>6</v>
      </c>
      <c r="H39" s="5">
        <f>MIN(F39,G39)</f>
        <v>6</v>
      </c>
      <c r="I39" s="5">
        <f>G39-H39</f>
        <v>0</v>
      </c>
      <c r="J39" s="5">
        <f>F39-H39</f>
        <v>9</v>
      </c>
      <c r="K39" s="5">
        <f>IF(I39&gt;0,1,0)</f>
        <v>0</v>
      </c>
      <c r="L39" s="5">
        <f>IF(J39&lt;PuntoReorden,1,0)</f>
        <v>0</v>
      </c>
      <c r="M39" s="9">
        <f>PrecioVenta*H39</f>
        <v>4080000</v>
      </c>
      <c r="N39" s="9">
        <f>CostoUnitario*E39</f>
        <v>0</v>
      </c>
      <c r="O39" s="9">
        <f>IF(E39&gt;0,CostoPedido,0)</f>
        <v>0</v>
      </c>
      <c r="P39" s="9">
        <f>CostoAlm*(F39+J39)/2</f>
        <v>960</v>
      </c>
      <c r="Q39" s="9">
        <f>CostoFijo*D39</f>
        <v>0</v>
      </c>
      <c r="R39" s="9">
        <f>M39-N39-O39-P39-Q39</f>
        <v>4079040</v>
      </c>
      <c r="S39" s="21">
        <f>PuntoReorden</f>
        <v>7</v>
      </c>
      <c r="W39" s="7" t="n">
        <v>33</v>
      </c>
      <c r="X39" s="9" t="n">
        <v>102509120</v>
      </c>
      <c r="Y39" s="27" t="n">
        <v>0</v>
      </c>
      <c r="Z39" s="27" t="n">
        <v>0</v>
      </c>
      <c r="AA39" s="12" t="n">
        <v>12</v>
      </c>
    </row>
    <row r="40">
      <c r="A40" s="5">
        <f>A39+1</f>
        <v>35</v>
      </c>
      <c r="B40" s="20">
        <f>B39+IF(WEEKDAY(B39,2)=6,2,1)</f>
        <v>46063</v>
      </c>
      <c r="C40" s="5">
        <f>MONTH(B40)</f>
        <v>2</v>
      </c>
      <c r="D40" s="5">
        <f>IF(C40&lt;&gt;C39,1,0)</f>
        <v>0</v>
      </c>
      <c r="E40" s="5">
        <f>IF(L39=1,CantPedido,0)</f>
        <v>0</v>
      </c>
      <c r="F40" s="5">
        <f>J39+E40</f>
        <v>9</v>
      </c>
      <c r="G40" s="5">
        <f>VLOOKUP(RAND(),TablaEmpirica,2,TRUE)</f>
        <v>6</v>
      </c>
      <c r="H40" s="5">
        <f>MIN(F40,G40)</f>
        <v>6</v>
      </c>
      <c r="I40" s="5">
        <f>G40-H40</f>
        <v>0</v>
      </c>
      <c r="J40" s="5">
        <f>F40-H40</f>
        <v>3</v>
      </c>
      <c r="K40" s="5">
        <f>IF(I40&gt;0,1,0)</f>
        <v>0</v>
      </c>
      <c r="L40" s="5">
        <f>IF(J40&lt;PuntoReorden,1,0)</f>
        <v>1</v>
      </c>
      <c r="M40" s="9">
        <f>PrecioVenta*H40</f>
        <v>4080000</v>
      </c>
      <c r="N40" s="9">
        <f>CostoUnitario*E40</f>
        <v>0</v>
      </c>
      <c r="O40" s="9">
        <f>IF(E40&gt;0,CostoPedido,0)</f>
        <v>0</v>
      </c>
      <c r="P40" s="9">
        <f>CostoAlm*(F40+J40)/2</f>
        <v>480</v>
      </c>
      <c r="Q40" s="9">
        <f>CostoFijo*D40</f>
        <v>0</v>
      </c>
      <c r="R40" s="9">
        <f>M40-N40-O40-P40-Q40</f>
        <v>4079520</v>
      </c>
      <c r="S40" s="21">
        <f>PuntoReorden</f>
        <v>7</v>
      </c>
      <c r="W40" s="7" t="n">
        <v>34</v>
      </c>
      <c r="X40" s="9" t="n">
        <v>101744920</v>
      </c>
      <c r="Y40" s="27" t="n">
        <v>0</v>
      </c>
      <c r="Z40" s="27" t="n">
        <v>0</v>
      </c>
      <c r="AA40" s="12" t="n">
        <v>8</v>
      </c>
    </row>
    <row r="41">
      <c r="A41" s="5">
        <f>A40+1</f>
        <v>36</v>
      </c>
      <c r="B41" s="20">
        <f>B40+IF(WEEKDAY(B40,2)=6,2,1)</f>
        <v>46064</v>
      </c>
      <c r="C41" s="5">
        <f>MONTH(B41)</f>
        <v>2</v>
      </c>
      <c r="D41" s="5">
        <f>IF(C41&lt;&gt;C40,1,0)</f>
        <v>0</v>
      </c>
      <c r="E41" s="5">
        <f>IF(L40=1,CantPedido,0)</f>
        <v>15</v>
      </c>
      <c r="F41" s="5">
        <f>J40+E41</f>
        <v>18</v>
      </c>
      <c r="G41" s="5">
        <f>VLOOKUP(RAND(),TablaEmpirica,2,TRUE)</f>
        <v>5</v>
      </c>
      <c r="H41" s="5">
        <f>MIN(F41,G41)</f>
        <v>5</v>
      </c>
      <c r="I41" s="5">
        <f>G41-H41</f>
        <v>0</v>
      </c>
      <c r="J41" s="5">
        <f>F41-H41</f>
        <v>13</v>
      </c>
      <c r="K41" s="5">
        <f>IF(I41&gt;0,1,0)</f>
        <v>0</v>
      </c>
      <c r="L41" s="5">
        <f>IF(J41&lt;PuntoReorden,1,0)</f>
        <v>0</v>
      </c>
      <c r="M41" s="9">
        <f>PrecioVenta*H41</f>
        <v>3400000</v>
      </c>
      <c r="N41" s="9">
        <f>CostoUnitario*E41</f>
        <v>9000000</v>
      </c>
      <c r="O41" s="9">
        <f>IF(E41&gt;0,CostoPedido,0)</f>
        <v>40000</v>
      </c>
      <c r="P41" s="9">
        <f>CostoAlm*(F41+J41)/2</f>
        <v>1240</v>
      </c>
      <c r="Q41" s="9">
        <f>CostoFijo*D41</f>
        <v>0</v>
      </c>
      <c r="R41" s="9">
        <f>M41-N41-O41-P41-Q41</f>
        <v>-5641240</v>
      </c>
      <c r="S41" s="21">
        <f>PuntoReorden</f>
        <v>7</v>
      </c>
      <c r="W41" s="7" t="n">
        <v>35</v>
      </c>
      <c r="X41" s="9" t="n">
        <v>100675680</v>
      </c>
      <c r="Y41" s="27" t="n">
        <v>0</v>
      </c>
      <c r="Z41" s="27" t="n">
        <v>0</v>
      </c>
      <c r="AA41" s="12" t="n">
        <v>13</v>
      </c>
    </row>
    <row r="42">
      <c r="A42" s="5">
        <f>A41+1</f>
        <v>37</v>
      </c>
      <c r="B42" s="20">
        <f>B41+IF(WEEKDAY(B41,2)=6,2,1)</f>
        <v>46065</v>
      </c>
      <c r="C42" s="5">
        <f>MONTH(B42)</f>
        <v>2</v>
      </c>
      <c r="D42" s="5">
        <f>IF(C42&lt;&gt;C41,1,0)</f>
        <v>0</v>
      </c>
      <c r="E42" s="5">
        <f>IF(L41=1,CantPedido,0)</f>
        <v>0</v>
      </c>
      <c r="F42" s="5">
        <f>J41+E42</f>
        <v>13</v>
      </c>
      <c r="G42" s="5">
        <f>VLOOKUP(RAND(),TablaEmpirica,2,TRUE)</f>
        <v>3</v>
      </c>
      <c r="H42" s="5">
        <f>MIN(F42,G42)</f>
        <v>3</v>
      </c>
      <c r="I42" s="5">
        <f>G42-H42</f>
        <v>0</v>
      </c>
      <c r="J42" s="5">
        <f>F42-H42</f>
        <v>10</v>
      </c>
      <c r="K42" s="5">
        <f>IF(I42&gt;0,1,0)</f>
        <v>0</v>
      </c>
      <c r="L42" s="5">
        <f>IF(J42&lt;PuntoReorden,1,0)</f>
        <v>0</v>
      </c>
      <c r="M42" s="9">
        <f>PrecioVenta*H42</f>
        <v>2040000</v>
      </c>
      <c r="N42" s="9">
        <f>CostoUnitario*E42</f>
        <v>0</v>
      </c>
      <c r="O42" s="9">
        <f>IF(E42&gt;0,CostoPedido,0)</f>
        <v>0</v>
      </c>
      <c r="P42" s="9">
        <f>CostoAlm*(F42+J42)/2</f>
        <v>920</v>
      </c>
      <c r="Q42" s="9">
        <f>CostoFijo*D42</f>
        <v>0</v>
      </c>
      <c r="R42" s="9">
        <f>M42-N42-O42-P42-Q42</f>
        <v>2039080</v>
      </c>
      <c r="S42" s="21">
        <f>PuntoReorden</f>
        <v>7</v>
      </c>
      <c r="W42" s="7" t="n">
        <v>36</v>
      </c>
      <c r="X42" s="9" t="n">
        <v>99230160</v>
      </c>
      <c r="Y42" s="27" t="n">
        <v>0</v>
      </c>
      <c r="Z42" s="27" t="n">
        <v>0</v>
      </c>
      <c r="AA42" s="12" t="n">
        <v>10</v>
      </c>
    </row>
    <row r="43">
      <c r="A43" s="5">
        <f>A42+1</f>
        <v>38</v>
      </c>
      <c r="B43" s="20">
        <f>B42+IF(WEEKDAY(B42,2)=6,2,1)</f>
        <v>46066</v>
      </c>
      <c r="C43" s="5">
        <f>MONTH(B43)</f>
        <v>2</v>
      </c>
      <c r="D43" s="5">
        <f>IF(C43&lt;&gt;C42,1,0)</f>
        <v>0</v>
      </c>
      <c r="E43" s="5">
        <f>IF(L42=1,CantPedido,0)</f>
        <v>0</v>
      </c>
      <c r="F43" s="5">
        <f>J42+E43</f>
        <v>10</v>
      </c>
      <c r="G43" s="5">
        <f>VLOOKUP(RAND(),TablaEmpirica,2,TRUE)</f>
        <v>3</v>
      </c>
      <c r="H43" s="5">
        <f>MIN(F43,G43)</f>
        <v>3</v>
      </c>
      <c r="I43" s="5">
        <f>G43-H43</f>
        <v>0</v>
      </c>
      <c r="J43" s="5">
        <f>F43-H43</f>
        <v>7</v>
      </c>
      <c r="K43" s="5">
        <f>IF(I43&gt;0,1,0)</f>
        <v>0</v>
      </c>
      <c r="L43" s="5">
        <f>IF(J43&lt;PuntoReorden,1,0)</f>
        <v>0</v>
      </c>
      <c r="M43" s="9">
        <f>PrecioVenta*H43</f>
        <v>2040000</v>
      </c>
      <c r="N43" s="9">
        <f>CostoUnitario*E43</f>
        <v>0</v>
      </c>
      <c r="O43" s="9">
        <f>IF(E43&gt;0,CostoPedido,0)</f>
        <v>0</v>
      </c>
      <c r="P43" s="9">
        <f>CostoAlm*(F43+J43)/2</f>
        <v>680</v>
      </c>
      <c r="Q43" s="9">
        <f>CostoFijo*D43</f>
        <v>0</v>
      </c>
      <c r="R43" s="9">
        <f>M43-N43-O43-P43-Q43</f>
        <v>2039320</v>
      </c>
      <c r="S43" s="21">
        <f>PuntoReorden</f>
        <v>7</v>
      </c>
      <c r="W43" s="7" t="n">
        <v>37</v>
      </c>
      <c r="X43" s="9" t="n">
        <v>109115800</v>
      </c>
      <c r="Y43" s="27" t="n">
        <v>0</v>
      </c>
      <c r="Z43" s="27" t="n">
        <v>0</v>
      </c>
      <c r="AA43" s="12" t="n">
        <v>4</v>
      </c>
    </row>
    <row r="44">
      <c r="A44" s="5">
        <f>A43+1</f>
        <v>39</v>
      </c>
      <c r="B44" s="20">
        <f>B43+IF(WEEKDAY(B43,2)=6,2,1)</f>
        <v>46067</v>
      </c>
      <c r="C44" s="5">
        <f>MONTH(B44)</f>
        <v>2</v>
      </c>
      <c r="D44" s="5">
        <f>IF(C44&lt;&gt;C43,1,0)</f>
        <v>0</v>
      </c>
      <c r="E44" s="5">
        <f>IF(L43=1,CantPedido,0)</f>
        <v>0</v>
      </c>
      <c r="F44" s="5">
        <f>J43+E44</f>
        <v>7</v>
      </c>
      <c r="G44" s="5">
        <f>VLOOKUP(RAND(),TablaEmpirica,2,TRUE)</f>
        <v>4</v>
      </c>
      <c r="H44" s="5">
        <f>MIN(F44,G44)</f>
        <v>4</v>
      </c>
      <c r="I44" s="5">
        <f>G44-H44</f>
        <v>0</v>
      </c>
      <c r="J44" s="5">
        <f>F44-H44</f>
        <v>3</v>
      </c>
      <c r="K44" s="5">
        <f>IF(I44&gt;0,1,0)</f>
        <v>0</v>
      </c>
      <c r="L44" s="5">
        <f>IF(J44&lt;PuntoReorden,1,0)</f>
        <v>1</v>
      </c>
      <c r="M44" s="9">
        <f>PrecioVenta*H44</f>
        <v>2720000</v>
      </c>
      <c r="N44" s="9">
        <f>CostoUnitario*E44</f>
        <v>0</v>
      </c>
      <c r="O44" s="9">
        <f>IF(E44&gt;0,CostoPedido,0)</f>
        <v>0</v>
      </c>
      <c r="P44" s="9">
        <f>CostoAlm*(F44+J44)/2</f>
        <v>400</v>
      </c>
      <c r="Q44" s="9">
        <f>CostoFijo*D44</f>
        <v>0</v>
      </c>
      <c r="R44" s="9">
        <f>M44-N44-O44-P44-Q44</f>
        <v>2719600</v>
      </c>
      <c r="S44" s="21">
        <f>PuntoReorden</f>
        <v>7</v>
      </c>
      <c r="W44" s="7" t="n">
        <v>38</v>
      </c>
      <c r="X44" s="9" t="n">
        <v>98149720</v>
      </c>
      <c r="Y44" s="27" t="n">
        <v>0</v>
      </c>
      <c r="Z44" s="27" t="n">
        <v>0</v>
      </c>
      <c r="AA44" s="12" t="n">
        <v>15</v>
      </c>
    </row>
    <row r="45">
      <c r="A45" s="5">
        <f>A44+1</f>
        <v>40</v>
      </c>
      <c r="B45" s="20">
        <f>B44+IF(WEEKDAY(B44,2)=6,2,1)</f>
        <v>46069</v>
      </c>
      <c r="C45" s="5">
        <f>MONTH(B45)</f>
        <v>2</v>
      </c>
      <c r="D45" s="5">
        <f>IF(C45&lt;&gt;C44,1,0)</f>
        <v>0</v>
      </c>
      <c r="E45" s="5">
        <f>IF(L44=1,CantPedido,0)</f>
        <v>15</v>
      </c>
      <c r="F45" s="5">
        <f>J44+E45</f>
        <v>18</v>
      </c>
      <c r="G45" s="5">
        <f>VLOOKUP(RAND(),TablaEmpirica,2,TRUE)</f>
        <v>3</v>
      </c>
      <c r="H45" s="5">
        <f>MIN(F45,G45)</f>
        <v>3</v>
      </c>
      <c r="I45" s="5">
        <f>G45-H45</f>
        <v>0</v>
      </c>
      <c r="J45" s="5">
        <f>F45-H45</f>
        <v>15</v>
      </c>
      <c r="K45" s="5">
        <f>IF(I45&gt;0,1,0)</f>
        <v>0</v>
      </c>
      <c r="L45" s="5">
        <f>IF(J45&lt;PuntoReorden,1,0)</f>
        <v>0</v>
      </c>
      <c r="M45" s="9">
        <f>PrecioVenta*H45</f>
        <v>2040000</v>
      </c>
      <c r="N45" s="9">
        <f>CostoUnitario*E45</f>
        <v>9000000</v>
      </c>
      <c r="O45" s="9">
        <f>IF(E45&gt;0,CostoPedido,0)</f>
        <v>40000</v>
      </c>
      <c r="P45" s="9">
        <f>CostoAlm*(F45+J45)/2</f>
        <v>1320</v>
      </c>
      <c r="Q45" s="9">
        <f>CostoFijo*D45</f>
        <v>0</v>
      </c>
      <c r="R45" s="9">
        <f>M45-N45-O45-P45-Q45</f>
        <v>-7001320</v>
      </c>
      <c r="S45" s="21">
        <f>PuntoReorden</f>
        <v>7</v>
      </c>
      <c r="W45" s="7" t="n">
        <v>39</v>
      </c>
      <c r="X45" s="9" t="n">
        <v>102707960</v>
      </c>
      <c r="Y45" s="27" t="n">
        <v>0</v>
      </c>
      <c r="Z45" s="27" t="n">
        <v>0</v>
      </c>
      <c r="AA45" s="12" t="n">
        <v>10</v>
      </c>
    </row>
    <row r="46">
      <c r="A46" s="5">
        <f>A45+1</f>
        <v>41</v>
      </c>
      <c r="B46" s="20">
        <f>B45+IF(WEEKDAY(B45,2)=6,2,1)</f>
        <v>46070</v>
      </c>
      <c r="C46" s="5">
        <f>MONTH(B46)</f>
        <v>2</v>
      </c>
      <c r="D46" s="5">
        <f>IF(C46&lt;&gt;C45,1,0)</f>
        <v>0</v>
      </c>
      <c r="E46" s="5">
        <f>IF(L45=1,CantPedido,0)</f>
        <v>0</v>
      </c>
      <c r="F46" s="5">
        <f>J45+E46</f>
        <v>15</v>
      </c>
      <c r="G46" s="5">
        <f>VLOOKUP(RAND(),TablaEmpirica,2,TRUE)</f>
        <v>5</v>
      </c>
      <c r="H46" s="5">
        <f>MIN(F46,G46)</f>
        <v>5</v>
      </c>
      <c r="I46" s="5">
        <f>G46-H46</f>
        <v>0</v>
      </c>
      <c r="J46" s="5">
        <f>F46-H46</f>
        <v>10</v>
      </c>
      <c r="K46" s="5">
        <f>IF(I46&gt;0,1,0)</f>
        <v>0</v>
      </c>
      <c r="L46" s="5">
        <f>IF(J46&lt;PuntoReorden,1,0)</f>
        <v>0</v>
      </c>
      <c r="M46" s="9">
        <f>PrecioVenta*H46</f>
        <v>3400000</v>
      </c>
      <c r="N46" s="9">
        <f>CostoUnitario*E46</f>
        <v>0</v>
      </c>
      <c r="O46" s="9">
        <f>IF(E46&gt;0,CostoPedido,0)</f>
        <v>0</v>
      </c>
      <c r="P46" s="9">
        <f>CostoAlm*(F46+J46)/2</f>
        <v>1000</v>
      </c>
      <c r="Q46" s="9">
        <f>CostoFijo*D46</f>
        <v>0</v>
      </c>
      <c r="R46" s="9">
        <f>M46-N46-O46-P46-Q46</f>
        <v>3399000</v>
      </c>
      <c r="S46" s="21">
        <f>PuntoReorden</f>
        <v>7</v>
      </c>
      <c r="W46" s="7" t="n">
        <v>40</v>
      </c>
      <c r="X46" s="9" t="n">
        <v>104271120</v>
      </c>
      <c r="Y46" s="27" t="n">
        <v>0</v>
      </c>
      <c r="Z46" s="27" t="n">
        <v>0</v>
      </c>
      <c r="AA46" s="12" t="n">
        <v>6</v>
      </c>
    </row>
    <row r="47">
      <c r="A47" s="5">
        <f>A46+1</f>
        <v>42</v>
      </c>
      <c r="B47" s="20">
        <f>B46+IF(WEEKDAY(B46,2)=6,2,1)</f>
        <v>46071</v>
      </c>
      <c r="C47" s="5">
        <f>MONTH(B47)</f>
        <v>2</v>
      </c>
      <c r="D47" s="5">
        <f>IF(C47&lt;&gt;C46,1,0)</f>
        <v>0</v>
      </c>
      <c r="E47" s="5">
        <f>IF(L46=1,CantPedido,0)</f>
        <v>0</v>
      </c>
      <c r="F47" s="5">
        <f>J46+E47</f>
        <v>10</v>
      </c>
      <c r="G47" s="5">
        <f>VLOOKUP(RAND(),TablaEmpirica,2,TRUE)</f>
        <v>3</v>
      </c>
      <c r="H47" s="5">
        <f>MIN(F47,G47)</f>
        <v>3</v>
      </c>
      <c r="I47" s="5">
        <f>G47-H47</f>
        <v>0</v>
      </c>
      <c r="J47" s="5">
        <f>F47-H47</f>
        <v>7</v>
      </c>
      <c r="K47" s="5">
        <f>IF(I47&gt;0,1,0)</f>
        <v>0</v>
      </c>
      <c r="L47" s="5">
        <f>IF(J47&lt;PuntoReorden,1,0)</f>
        <v>0</v>
      </c>
      <c r="M47" s="9">
        <f>PrecioVenta*H47</f>
        <v>2040000</v>
      </c>
      <c r="N47" s="9">
        <f>CostoUnitario*E47</f>
        <v>0</v>
      </c>
      <c r="O47" s="9">
        <f>IF(E47&gt;0,CostoPedido,0)</f>
        <v>0</v>
      </c>
      <c r="P47" s="9">
        <f>CostoAlm*(F47+J47)/2</f>
        <v>680</v>
      </c>
      <c r="Q47" s="9">
        <f>CostoFijo*D47</f>
        <v>0</v>
      </c>
      <c r="R47" s="9">
        <f>M47-N47-O47-P47-Q47</f>
        <v>2039320</v>
      </c>
      <c r="S47" s="21">
        <f>PuntoReorden</f>
        <v>7</v>
      </c>
      <c r="W47" s="7" t="n">
        <v>41</v>
      </c>
      <c r="X47" s="9" t="n">
        <v>100193840</v>
      </c>
      <c r="Y47" s="27" t="n">
        <v>0</v>
      </c>
      <c r="Z47" s="27" t="n">
        <v>0</v>
      </c>
      <c r="AA47" s="12" t="n">
        <v>12</v>
      </c>
    </row>
    <row r="48">
      <c r="A48" s="5">
        <f>A47+1</f>
        <v>43</v>
      </c>
      <c r="B48" s="20">
        <f>B47+IF(WEEKDAY(B47,2)=6,2,1)</f>
        <v>46072</v>
      </c>
      <c r="C48" s="5">
        <f>MONTH(B48)</f>
        <v>2</v>
      </c>
      <c r="D48" s="5">
        <f>IF(C48&lt;&gt;C47,1,0)</f>
        <v>0</v>
      </c>
      <c r="E48" s="5">
        <f>IF(L47=1,CantPedido,0)</f>
        <v>0</v>
      </c>
      <c r="F48" s="5">
        <f>J47+E48</f>
        <v>7</v>
      </c>
      <c r="G48" s="5">
        <f>VLOOKUP(RAND(),TablaEmpirica,2,TRUE)</f>
        <v>3</v>
      </c>
      <c r="H48" s="5">
        <f>MIN(F48,G48)</f>
        <v>3</v>
      </c>
      <c r="I48" s="5">
        <f>G48-H48</f>
        <v>0</v>
      </c>
      <c r="J48" s="5">
        <f>F48-H48</f>
        <v>4</v>
      </c>
      <c r="K48" s="5">
        <f>IF(I48&gt;0,1,0)</f>
        <v>0</v>
      </c>
      <c r="L48" s="5">
        <f>IF(J48&lt;PuntoReorden,1,0)</f>
        <v>1</v>
      </c>
      <c r="M48" s="9">
        <f>PrecioVenta*H48</f>
        <v>2040000</v>
      </c>
      <c r="N48" s="9">
        <f>CostoUnitario*E48</f>
        <v>0</v>
      </c>
      <c r="O48" s="9">
        <f>IF(E48&gt;0,CostoPedido,0)</f>
        <v>0</v>
      </c>
      <c r="P48" s="9">
        <f>CostoAlm*(F48+J48)/2</f>
        <v>440</v>
      </c>
      <c r="Q48" s="9">
        <f>CostoFijo*D48</f>
        <v>0</v>
      </c>
      <c r="R48" s="9">
        <f>M48-N48-O48-P48-Q48</f>
        <v>2039560</v>
      </c>
      <c r="S48" s="21">
        <f>PuntoReorden</f>
        <v>7</v>
      </c>
      <c r="W48" s="7" t="n">
        <v>42</v>
      </c>
      <c r="X48" s="9" t="n">
        <v>102788440</v>
      </c>
      <c r="Y48" s="27" t="n">
        <v>0</v>
      </c>
      <c r="Z48" s="27" t="n">
        <v>0</v>
      </c>
      <c r="AA48" s="12" t="n">
        <v>15</v>
      </c>
    </row>
    <row r="49">
      <c r="A49" s="5">
        <f>A48+1</f>
        <v>44</v>
      </c>
      <c r="B49" s="20">
        <f>B48+IF(WEEKDAY(B48,2)=6,2,1)</f>
        <v>46073</v>
      </c>
      <c r="C49" s="5">
        <f>MONTH(B49)</f>
        <v>2</v>
      </c>
      <c r="D49" s="5">
        <f>IF(C49&lt;&gt;C48,1,0)</f>
        <v>0</v>
      </c>
      <c r="E49" s="5">
        <f>IF(L48=1,CantPedido,0)</f>
        <v>15</v>
      </c>
      <c r="F49" s="5">
        <f>J48+E49</f>
        <v>19</v>
      </c>
      <c r="G49" s="5">
        <f>VLOOKUP(RAND(),TablaEmpirica,2,TRUE)</f>
        <v>6</v>
      </c>
      <c r="H49" s="5">
        <f>MIN(F49,G49)</f>
        <v>6</v>
      </c>
      <c r="I49" s="5">
        <f>G49-H49</f>
        <v>0</v>
      </c>
      <c r="J49" s="5">
        <f>F49-H49</f>
        <v>13</v>
      </c>
      <c r="K49" s="5">
        <f>IF(I49&gt;0,1,0)</f>
        <v>0</v>
      </c>
      <c r="L49" s="5">
        <f>IF(J49&lt;PuntoReorden,1,0)</f>
        <v>0</v>
      </c>
      <c r="M49" s="9">
        <f>PrecioVenta*H49</f>
        <v>4080000</v>
      </c>
      <c r="N49" s="9">
        <f>CostoUnitario*E49</f>
        <v>9000000</v>
      </c>
      <c r="O49" s="9">
        <f>IF(E49&gt;0,CostoPedido,0)</f>
        <v>40000</v>
      </c>
      <c r="P49" s="9">
        <f>CostoAlm*(F49+J49)/2</f>
        <v>1280</v>
      </c>
      <c r="Q49" s="9">
        <f>CostoFijo*D49</f>
        <v>0</v>
      </c>
      <c r="R49" s="9">
        <f>M49-N49-O49-P49-Q49</f>
        <v>-4961280</v>
      </c>
      <c r="S49" s="21">
        <f>PuntoReorden</f>
        <v>7</v>
      </c>
      <c r="W49" s="7" t="n">
        <v>43</v>
      </c>
      <c r="X49" s="9" t="n">
        <v>98631800</v>
      </c>
      <c r="Y49" s="27" t="n">
        <v>0</v>
      </c>
      <c r="Z49" s="27" t="n">
        <v>0</v>
      </c>
      <c r="AA49" s="12" t="n">
        <v>16</v>
      </c>
    </row>
    <row r="50">
      <c r="A50" s="5">
        <f>A49+1</f>
        <v>45</v>
      </c>
      <c r="B50" s="20">
        <f>B49+IF(WEEKDAY(B49,2)=6,2,1)</f>
        <v>46074</v>
      </c>
      <c r="C50" s="5">
        <f>MONTH(B50)</f>
        <v>2</v>
      </c>
      <c r="D50" s="5">
        <f>IF(C50&lt;&gt;C49,1,0)</f>
        <v>0</v>
      </c>
      <c r="E50" s="5">
        <f>IF(L49=1,CantPedido,0)</f>
        <v>0</v>
      </c>
      <c r="F50" s="5">
        <f>J49+E50</f>
        <v>13</v>
      </c>
      <c r="G50" s="5">
        <f>VLOOKUP(RAND(),TablaEmpirica,2,TRUE)</f>
        <v>3</v>
      </c>
      <c r="H50" s="5">
        <f>MIN(F50,G50)</f>
        <v>3</v>
      </c>
      <c r="I50" s="5">
        <f>G50-H50</f>
        <v>0</v>
      </c>
      <c r="J50" s="5">
        <f>F50-H50</f>
        <v>10</v>
      </c>
      <c r="K50" s="5">
        <f>IF(I50&gt;0,1,0)</f>
        <v>0</v>
      </c>
      <c r="L50" s="5">
        <f>IF(J50&lt;PuntoReorden,1,0)</f>
        <v>0</v>
      </c>
      <c r="M50" s="9">
        <f>PrecioVenta*H50</f>
        <v>2040000</v>
      </c>
      <c r="N50" s="9">
        <f>CostoUnitario*E50</f>
        <v>0</v>
      </c>
      <c r="O50" s="9">
        <f>IF(E50&gt;0,CostoPedido,0)</f>
        <v>0</v>
      </c>
      <c r="P50" s="9">
        <f>CostoAlm*(F50+J50)/2</f>
        <v>920</v>
      </c>
      <c r="Q50" s="9">
        <f>CostoFijo*D50</f>
        <v>0</v>
      </c>
      <c r="R50" s="9">
        <f>M50-N50-O50-P50-Q50</f>
        <v>2039080</v>
      </c>
      <c r="S50" s="21">
        <f>PuntoReorden</f>
        <v>7</v>
      </c>
      <c r="W50" s="7" t="n">
        <v>44</v>
      </c>
      <c r="X50" s="9" t="n">
        <v>107954160</v>
      </c>
      <c r="Y50" s="27" t="n">
        <v>0</v>
      </c>
      <c r="Z50" s="27" t="n">
        <v>0</v>
      </c>
      <c r="AA50" s="12" t="n">
        <v>4</v>
      </c>
    </row>
    <row r="51">
      <c r="A51" s="5">
        <f>A50+1</f>
        <v>46</v>
      </c>
      <c r="B51" s="20">
        <f>B50+IF(WEEKDAY(B50,2)=6,2,1)</f>
        <v>46076</v>
      </c>
      <c r="C51" s="5">
        <f>MONTH(B51)</f>
        <v>2</v>
      </c>
      <c r="D51" s="5">
        <f>IF(C51&lt;&gt;C50,1,0)</f>
        <v>0</v>
      </c>
      <c r="E51" s="5">
        <f>IF(L50=1,CantPedido,0)</f>
        <v>0</v>
      </c>
      <c r="F51" s="5">
        <f>J50+E51</f>
        <v>10</v>
      </c>
      <c r="G51" s="5">
        <f>VLOOKUP(RAND(),TablaEmpirica,2,TRUE)</f>
        <v>6</v>
      </c>
      <c r="H51" s="5">
        <f>MIN(F51,G51)</f>
        <v>6</v>
      </c>
      <c r="I51" s="5">
        <f>G51-H51</f>
        <v>0</v>
      </c>
      <c r="J51" s="5">
        <f>F51-H51</f>
        <v>4</v>
      </c>
      <c r="K51" s="5">
        <f>IF(I51&gt;0,1,0)</f>
        <v>0</v>
      </c>
      <c r="L51" s="5">
        <f>IF(J51&lt;PuntoReorden,1,0)</f>
        <v>1</v>
      </c>
      <c r="M51" s="9">
        <f>PrecioVenta*H51</f>
        <v>4080000</v>
      </c>
      <c r="N51" s="9">
        <f>CostoUnitario*E51</f>
        <v>0</v>
      </c>
      <c r="O51" s="9">
        <f>IF(E51&gt;0,CostoPedido,0)</f>
        <v>0</v>
      </c>
      <c r="P51" s="9">
        <f>CostoAlm*(F51+J51)/2</f>
        <v>560</v>
      </c>
      <c r="Q51" s="9">
        <f>CostoFijo*D51</f>
        <v>0</v>
      </c>
      <c r="R51" s="9">
        <f>M51-N51-O51-P51-Q51</f>
        <v>4079440</v>
      </c>
      <c r="S51" s="21">
        <f>PuntoReorden</f>
        <v>7</v>
      </c>
      <c r="W51" s="7" t="n">
        <v>45</v>
      </c>
      <c r="X51" s="9" t="n">
        <v>105431560</v>
      </c>
      <c r="Y51" s="27" t="n">
        <v>0</v>
      </c>
      <c r="Z51" s="27" t="n">
        <v>0</v>
      </c>
      <c r="AA51" s="12" t="n">
        <v>6</v>
      </c>
    </row>
    <row r="52">
      <c r="A52" s="5">
        <f>A51+1</f>
        <v>47</v>
      </c>
      <c r="B52" s="20">
        <f>B51+IF(WEEKDAY(B51,2)=6,2,1)</f>
        <v>46077</v>
      </c>
      <c r="C52" s="5">
        <f>MONTH(B52)</f>
        <v>2</v>
      </c>
      <c r="D52" s="5">
        <f>IF(C52&lt;&gt;C51,1,0)</f>
        <v>0</v>
      </c>
      <c r="E52" s="5">
        <f>IF(L51=1,CantPedido,0)</f>
        <v>15</v>
      </c>
      <c r="F52" s="5">
        <f>J51+E52</f>
        <v>19</v>
      </c>
      <c r="G52" s="5">
        <f>VLOOKUP(RAND(),TablaEmpirica,2,TRUE)</f>
        <v>6</v>
      </c>
      <c r="H52" s="5">
        <f>MIN(F52,G52)</f>
        <v>6</v>
      </c>
      <c r="I52" s="5">
        <f>G52-H52</f>
        <v>0</v>
      </c>
      <c r="J52" s="5">
        <f>F52-H52</f>
        <v>13</v>
      </c>
      <c r="K52" s="5">
        <f>IF(I52&gt;0,1,0)</f>
        <v>0</v>
      </c>
      <c r="L52" s="5">
        <f>IF(J52&lt;PuntoReorden,1,0)</f>
        <v>0</v>
      </c>
      <c r="M52" s="9">
        <f>PrecioVenta*H52</f>
        <v>4080000</v>
      </c>
      <c r="N52" s="9">
        <f>CostoUnitario*E52</f>
        <v>9000000</v>
      </c>
      <c r="O52" s="9">
        <f>IF(E52&gt;0,CostoPedido,0)</f>
        <v>40000</v>
      </c>
      <c r="P52" s="9">
        <f>CostoAlm*(F52+J52)/2</f>
        <v>1280</v>
      </c>
      <c r="Q52" s="9">
        <f>CostoFijo*D52</f>
        <v>0</v>
      </c>
      <c r="R52" s="9">
        <f>M52-N52-O52-P52-Q52</f>
        <v>-4961280</v>
      </c>
      <c r="S52" s="21">
        <f>PuntoReorden</f>
        <v>7</v>
      </c>
      <c r="W52" s="7" t="n">
        <v>46</v>
      </c>
      <c r="X52" s="9" t="n">
        <v>107468800</v>
      </c>
      <c r="Y52" s="27" t="n">
        <v>0</v>
      </c>
      <c r="Z52" s="27" t="n">
        <v>0</v>
      </c>
      <c r="AA52" s="12" t="n">
        <v>3</v>
      </c>
    </row>
    <row r="53">
      <c r="A53" s="5">
        <f>A52+1</f>
        <v>48</v>
      </c>
      <c r="B53" s="20">
        <f>B52+IF(WEEKDAY(B52,2)=6,2,1)</f>
        <v>46078</v>
      </c>
      <c r="C53" s="5">
        <f>MONTH(B53)</f>
        <v>2</v>
      </c>
      <c r="D53" s="5">
        <f>IF(C53&lt;&gt;C52,1,0)</f>
        <v>0</v>
      </c>
      <c r="E53" s="5">
        <f>IF(L52=1,CantPedido,0)</f>
        <v>0</v>
      </c>
      <c r="F53" s="5">
        <f>J52+E53</f>
        <v>13</v>
      </c>
      <c r="G53" s="5">
        <f>VLOOKUP(RAND(),TablaEmpirica,2,TRUE)</f>
        <v>5</v>
      </c>
      <c r="H53" s="5">
        <f>MIN(F53,G53)</f>
        <v>5</v>
      </c>
      <c r="I53" s="5">
        <f>G53-H53</f>
        <v>0</v>
      </c>
      <c r="J53" s="5">
        <f>F53-H53</f>
        <v>8</v>
      </c>
      <c r="K53" s="5">
        <f>IF(I53&gt;0,1,0)</f>
        <v>0</v>
      </c>
      <c r="L53" s="5">
        <f>IF(J53&lt;PuntoReorden,1,0)</f>
        <v>0</v>
      </c>
      <c r="M53" s="9">
        <f>PrecioVenta*H53</f>
        <v>3400000</v>
      </c>
      <c r="N53" s="9">
        <f>CostoUnitario*E53</f>
        <v>0</v>
      </c>
      <c r="O53" s="9">
        <f>IF(E53&gt;0,CostoPedido,0)</f>
        <v>0</v>
      </c>
      <c r="P53" s="9">
        <f>CostoAlm*(F53+J53)/2</f>
        <v>840</v>
      </c>
      <c r="Q53" s="9">
        <f>CostoFijo*D53</f>
        <v>0</v>
      </c>
      <c r="R53" s="9">
        <f>M53-N53-O53-P53-Q53</f>
        <v>3399160</v>
      </c>
      <c r="S53" s="21">
        <f>PuntoReorden</f>
        <v>7</v>
      </c>
      <c r="W53" s="7" t="n">
        <v>47</v>
      </c>
      <c r="X53" s="9" t="n">
        <v>103591240</v>
      </c>
      <c r="Y53" s="27" t="n">
        <v>0</v>
      </c>
      <c r="Z53" s="27" t="n">
        <v>0</v>
      </c>
      <c r="AA53" s="12" t="n">
        <v>7</v>
      </c>
    </row>
    <row r="54">
      <c r="A54" s="5">
        <f>A53+1</f>
        <v>49</v>
      </c>
      <c r="B54" s="20">
        <f>B53+IF(WEEKDAY(B53,2)=6,2,1)</f>
        <v>46079</v>
      </c>
      <c r="C54" s="5">
        <f>MONTH(B54)</f>
        <v>2</v>
      </c>
      <c r="D54" s="5">
        <f>IF(C54&lt;&gt;C53,1,0)</f>
        <v>0</v>
      </c>
      <c r="E54" s="5">
        <f>IF(L53=1,CantPedido,0)</f>
        <v>0</v>
      </c>
      <c r="F54" s="5">
        <f>J53+E54</f>
        <v>8</v>
      </c>
      <c r="G54" s="5">
        <f>VLOOKUP(RAND(),TablaEmpirica,2,TRUE)</f>
        <v>6</v>
      </c>
      <c r="H54" s="5">
        <f>MIN(F54,G54)</f>
        <v>6</v>
      </c>
      <c r="I54" s="5">
        <f>G54-H54</f>
        <v>0</v>
      </c>
      <c r="J54" s="5">
        <f>F54-H54</f>
        <v>2</v>
      </c>
      <c r="K54" s="5">
        <f>IF(I54&gt;0,1,0)</f>
        <v>0</v>
      </c>
      <c r="L54" s="5">
        <f>IF(J54&lt;PuntoReorden,1,0)</f>
        <v>1</v>
      </c>
      <c r="M54" s="9">
        <f>PrecioVenta*H54</f>
        <v>4080000</v>
      </c>
      <c r="N54" s="9">
        <f>CostoUnitario*E54</f>
        <v>0</v>
      </c>
      <c r="O54" s="9">
        <f>IF(E54&gt;0,CostoPedido,0)</f>
        <v>0</v>
      </c>
      <c r="P54" s="9">
        <f>CostoAlm*(F54+J54)/2</f>
        <v>400</v>
      </c>
      <c r="Q54" s="9">
        <f>CostoFijo*D54</f>
        <v>0</v>
      </c>
      <c r="R54" s="9">
        <f>M54-N54-O54-P54-Q54</f>
        <v>4079600</v>
      </c>
      <c r="S54" s="21">
        <f>PuntoReorden</f>
        <v>7</v>
      </c>
      <c r="W54" s="7" t="n">
        <v>48</v>
      </c>
      <c r="X54" s="9" t="n">
        <v>107755800</v>
      </c>
      <c r="Y54" s="27" t="n">
        <v>0</v>
      </c>
      <c r="Z54" s="27" t="n">
        <v>0</v>
      </c>
      <c r="AA54" s="12" t="n">
        <v>6</v>
      </c>
    </row>
    <row r="55">
      <c r="A55" s="5">
        <f>A54+1</f>
        <v>50</v>
      </c>
      <c r="B55" s="20">
        <f>B54+IF(WEEKDAY(B54,2)=6,2,1)</f>
        <v>46080</v>
      </c>
      <c r="C55" s="5">
        <f>MONTH(B55)</f>
        <v>2</v>
      </c>
      <c r="D55" s="5">
        <f>IF(C55&lt;&gt;C54,1,0)</f>
        <v>0</v>
      </c>
      <c r="E55" s="5">
        <f>IF(L54=1,CantPedido,0)</f>
        <v>15</v>
      </c>
      <c r="F55" s="5">
        <f>J54+E55</f>
        <v>17</v>
      </c>
      <c r="G55" s="5">
        <f>VLOOKUP(RAND(),TablaEmpirica,2,TRUE)</f>
        <v>5</v>
      </c>
      <c r="H55" s="5">
        <f>MIN(F55,G55)</f>
        <v>5</v>
      </c>
      <c r="I55" s="5">
        <f>G55-H55</f>
        <v>0</v>
      </c>
      <c r="J55" s="5">
        <f>F55-H55</f>
        <v>12</v>
      </c>
      <c r="K55" s="5">
        <f>IF(I55&gt;0,1,0)</f>
        <v>0</v>
      </c>
      <c r="L55" s="5">
        <f>IF(J55&lt;PuntoReorden,1,0)</f>
        <v>0</v>
      </c>
      <c r="M55" s="9">
        <f>PrecioVenta*H55</f>
        <v>3400000</v>
      </c>
      <c r="N55" s="9">
        <f>CostoUnitario*E55</f>
        <v>9000000</v>
      </c>
      <c r="O55" s="9">
        <f>IF(E55&gt;0,CostoPedido,0)</f>
        <v>40000</v>
      </c>
      <c r="P55" s="9">
        <f>CostoAlm*(F55+J55)/2</f>
        <v>1160</v>
      </c>
      <c r="Q55" s="9">
        <f>CostoFijo*D55</f>
        <v>0</v>
      </c>
      <c r="R55" s="9">
        <f>M55-N55-O55-P55-Q55</f>
        <v>-5641160</v>
      </c>
      <c r="S55" s="21">
        <f>PuntoReorden</f>
        <v>7</v>
      </c>
      <c r="W55" s="7" t="n">
        <v>49</v>
      </c>
      <c r="X55" s="9" t="n">
        <v>98834000</v>
      </c>
      <c r="Y55" s="27" t="n">
        <v>0</v>
      </c>
      <c r="Z55" s="27" t="n">
        <v>0</v>
      </c>
      <c r="AA55" s="12" t="n">
        <v>14</v>
      </c>
    </row>
    <row r="56">
      <c r="A56" s="5">
        <f>A55+1</f>
        <v>51</v>
      </c>
      <c r="B56" s="20">
        <f>B55+IF(WEEKDAY(B55,2)=6,2,1)</f>
        <v>46081</v>
      </c>
      <c r="C56" s="5">
        <f>MONTH(B56)</f>
        <v>2</v>
      </c>
      <c r="D56" s="5">
        <f>IF(C56&lt;&gt;C55,1,0)</f>
        <v>0</v>
      </c>
      <c r="E56" s="5">
        <f>IF(L55=1,CantPedido,0)</f>
        <v>0</v>
      </c>
      <c r="F56" s="5">
        <f>J55+E56</f>
        <v>12</v>
      </c>
      <c r="G56" s="5">
        <f>VLOOKUP(RAND(),TablaEmpirica,2,TRUE)</f>
        <v>4</v>
      </c>
      <c r="H56" s="5">
        <f>MIN(F56,G56)</f>
        <v>4</v>
      </c>
      <c r="I56" s="5">
        <f>G56-H56</f>
        <v>0</v>
      </c>
      <c r="J56" s="5">
        <f>F56-H56</f>
        <v>8</v>
      </c>
      <c r="K56" s="5">
        <f>IF(I56&gt;0,1,0)</f>
        <v>0</v>
      </c>
      <c r="L56" s="5">
        <f>IF(J56&lt;PuntoReorden,1,0)</f>
        <v>0</v>
      </c>
      <c r="M56" s="9">
        <f>PrecioVenta*H56</f>
        <v>2720000</v>
      </c>
      <c r="N56" s="9">
        <f>CostoUnitario*E56</f>
        <v>0</v>
      </c>
      <c r="O56" s="9">
        <f>IF(E56&gt;0,CostoPedido,0)</f>
        <v>0</v>
      </c>
      <c r="P56" s="9">
        <f>CostoAlm*(F56+J56)/2</f>
        <v>800</v>
      </c>
      <c r="Q56" s="9">
        <f>CostoFijo*D56</f>
        <v>0</v>
      </c>
      <c r="R56" s="9">
        <f>M56-N56-O56-P56-Q56</f>
        <v>2719200</v>
      </c>
      <c r="S56" s="21">
        <f>PuntoReorden</f>
        <v>7</v>
      </c>
      <c r="W56" s="7" t="n">
        <v>50</v>
      </c>
      <c r="X56" s="9" t="n">
        <v>103867200</v>
      </c>
      <c r="Y56" s="27" t="n">
        <v>0</v>
      </c>
      <c r="Z56" s="27" t="n">
        <v>0</v>
      </c>
      <c r="AA56" s="12" t="n">
        <v>10</v>
      </c>
    </row>
    <row r="57">
      <c r="A57" s="5">
        <f>A56+1</f>
        <v>52</v>
      </c>
      <c r="B57" s="20">
        <f>B56+IF(WEEKDAY(B56,2)=6,2,1)</f>
        <v>46083</v>
      </c>
      <c r="C57" s="5">
        <f>MONTH(B57)</f>
        <v>3</v>
      </c>
      <c r="D57" s="5">
        <f>IF(C57&lt;&gt;C56,1,0)</f>
        <v>1</v>
      </c>
      <c r="E57" s="5">
        <f>IF(L56=1,CantPedido,0)</f>
        <v>0</v>
      </c>
      <c r="F57" s="5">
        <f>J56+E57</f>
        <v>8</v>
      </c>
      <c r="G57" s="5">
        <f>VLOOKUP(RAND(),TablaEmpirica,2,TRUE)</f>
        <v>5</v>
      </c>
      <c r="H57" s="5">
        <f>MIN(F57,G57)</f>
        <v>5</v>
      </c>
      <c r="I57" s="5">
        <f>G57-H57</f>
        <v>0</v>
      </c>
      <c r="J57" s="5">
        <f>F57-H57</f>
        <v>3</v>
      </c>
      <c r="K57" s="5">
        <f>IF(I57&gt;0,1,0)</f>
        <v>0</v>
      </c>
      <c r="L57" s="5">
        <f>IF(J57&lt;PuntoReorden,1,0)</f>
        <v>1</v>
      </c>
      <c r="M57" s="9">
        <f>PrecioVenta*H57</f>
        <v>3400000</v>
      </c>
      <c r="N57" s="9">
        <f>CostoUnitario*E57</f>
        <v>0</v>
      </c>
      <c r="O57" s="9">
        <f>IF(E57&gt;0,CostoPedido,0)</f>
        <v>0</v>
      </c>
      <c r="P57" s="9">
        <f>CostoAlm*(F57+J57)/2</f>
        <v>440</v>
      </c>
      <c r="Q57" s="9">
        <f>CostoFijo*D57</f>
        <v>1000000</v>
      </c>
      <c r="R57" s="9">
        <f>M57-N57-O57-P57-Q57</f>
        <v>2399560</v>
      </c>
      <c r="S57" s="21">
        <f>PuntoReorden</f>
        <v>7</v>
      </c>
      <c r="W57" s="7" t="n">
        <v>51</v>
      </c>
      <c r="X57" s="9" t="n">
        <v>106791480</v>
      </c>
      <c r="Y57" s="27" t="n">
        <v>0</v>
      </c>
      <c r="Z57" s="27" t="n">
        <v>0</v>
      </c>
      <c r="AA57" s="12" t="n">
        <v>4</v>
      </c>
    </row>
    <row r="58">
      <c r="A58" s="5">
        <f>A57+1</f>
        <v>53</v>
      </c>
      <c r="B58" s="20">
        <f>B57+IF(WEEKDAY(B57,2)=6,2,1)</f>
        <v>46084</v>
      </c>
      <c r="C58" s="5">
        <f>MONTH(B58)</f>
        <v>3</v>
      </c>
      <c r="D58" s="5">
        <f>IF(C58&lt;&gt;C57,1,0)</f>
        <v>0</v>
      </c>
      <c r="E58" s="5">
        <f>IF(L57=1,CantPedido,0)</f>
        <v>15</v>
      </c>
      <c r="F58" s="5">
        <f>J57+E58</f>
        <v>18</v>
      </c>
      <c r="G58" s="5">
        <f>VLOOKUP(RAND(),TablaEmpirica,2,TRUE)</f>
        <v>6</v>
      </c>
      <c r="H58" s="5">
        <f>MIN(F58,G58)</f>
        <v>6</v>
      </c>
      <c r="I58" s="5">
        <f>G58-H58</f>
        <v>0</v>
      </c>
      <c r="J58" s="5">
        <f>F58-H58</f>
        <v>12</v>
      </c>
      <c r="K58" s="5">
        <f>IF(I58&gt;0,1,0)</f>
        <v>0</v>
      </c>
      <c r="L58" s="5">
        <f>IF(J58&lt;PuntoReorden,1,0)</f>
        <v>0</v>
      </c>
      <c r="M58" s="9">
        <f>PrecioVenta*H58</f>
        <v>4080000</v>
      </c>
      <c r="N58" s="9">
        <f>CostoUnitario*E58</f>
        <v>9000000</v>
      </c>
      <c r="O58" s="9">
        <f>IF(E58&gt;0,CostoPedido,0)</f>
        <v>40000</v>
      </c>
      <c r="P58" s="9">
        <f>CostoAlm*(F58+J58)/2</f>
        <v>1200</v>
      </c>
      <c r="Q58" s="9">
        <f>CostoFijo*D58</f>
        <v>0</v>
      </c>
      <c r="R58" s="9">
        <f>M58-N58-O58-P58-Q58</f>
        <v>-4961200</v>
      </c>
      <c r="S58" s="21">
        <f>PuntoReorden</f>
        <v>7</v>
      </c>
      <c r="W58" s="7" t="n">
        <v>52</v>
      </c>
      <c r="X58" s="9" t="n">
        <v>101348600</v>
      </c>
      <c r="Y58" s="27" t="n">
        <v>0</v>
      </c>
      <c r="Z58" s="27" t="n">
        <v>0</v>
      </c>
      <c r="AA58" s="12" t="n">
        <v>12</v>
      </c>
    </row>
    <row r="59">
      <c r="A59" s="5">
        <f>A58+1</f>
        <v>54</v>
      </c>
      <c r="B59" s="20">
        <f>B58+IF(WEEKDAY(B58,2)=6,2,1)</f>
        <v>46085</v>
      </c>
      <c r="C59" s="5">
        <f>MONTH(B59)</f>
        <v>3</v>
      </c>
      <c r="D59" s="5">
        <f>IF(C59&lt;&gt;C58,1,0)</f>
        <v>0</v>
      </c>
      <c r="E59" s="5">
        <f>IF(L58=1,CantPedido,0)</f>
        <v>0</v>
      </c>
      <c r="F59" s="5">
        <f>J58+E59</f>
        <v>12</v>
      </c>
      <c r="G59" s="5">
        <f>VLOOKUP(RAND(),TablaEmpirica,2,TRUE)</f>
        <v>3</v>
      </c>
      <c r="H59" s="5">
        <f>MIN(F59,G59)</f>
        <v>3</v>
      </c>
      <c r="I59" s="5">
        <f>G59-H59</f>
        <v>0</v>
      </c>
      <c r="J59" s="5">
        <f>F59-H59</f>
        <v>9</v>
      </c>
      <c r="K59" s="5">
        <f>IF(I59&gt;0,1,0)</f>
        <v>0</v>
      </c>
      <c r="L59" s="5">
        <f>IF(J59&lt;PuntoReorden,1,0)</f>
        <v>0</v>
      </c>
      <c r="M59" s="9">
        <f>PrecioVenta*H59</f>
        <v>2040000</v>
      </c>
      <c r="N59" s="9">
        <f>CostoUnitario*E59</f>
        <v>0</v>
      </c>
      <c r="O59" s="9">
        <f>IF(E59&gt;0,CostoPedido,0)</f>
        <v>0</v>
      </c>
      <c r="P59" s="9">
        <f>CostoAlm*(F59+J59)/2</f>
        <v>840</v>
      </c>
      <c r="Q59" s="9">
        <f>CostoFijo*D59</f>
        <v>0</v>
      </c>
      <c r="R59" s="9">
        <f>M59-N59-O59-P59-Q59</f>
        <v>2039160</v>
      </c>
      <c r="S59" s="21">
        <f>PuntoReorden</f>
        <v>7</v>
      </c>
      <c r="W59" s="7" t="n">
        <v>53</v>
      </c>
      <c r="X59" s="9" t="n">
        <v>106318520</v>
      </c>
      <c r="Y59" s="27" t="n">
        <v>0</v>
      </c>
      <c r="Z59" s="27" t="n">
        <v>0</v>
      </c>
      <c r="AA59" s="12" t="n">
        <v>3</v>
      </c>
    </row>
    <row r="60">
      <c r="A60" s="5">
        <f>A59+1</f>
        <v>55</v>
      </c>
      <c r="B60" s="20">
        <f>B59+IF(WEEKDAY(B59,2)=6,2,1)</f>
        <v>46086</v>
      </c>
      <c r="C60" s="5">
        <f>MONTH(B60)</f>
        <v>3</v>
      </c>
      <c r="D60" s="5">
        <f>IF(C60&lt;&gt;C59,1,0)</f>
        <v>0</v>
      </c>
      <c r="E60" s="5">
        <f>IF(L59=1,CantPedido,0)</f>
        <v>0</v>
      </c>
      <c r="F60" s="5">
        <f>J59+E60</f>
        <v>9</v>
      </c>
      <c r="G60" s="5">
        <f>VLOOKUP(RAND(),TablaEmpirica,2,TRUE)</f>
        <v>6</v>
      </c>
      <c r="H60" s="5">
        <f>MIN(F60,G60)</f>
        <v>6</v>
      </c>
      <c r="I60" s="5">
        <f>G60-H60</f>
        <v>0</v>
      </c>
      <c r="J60" s="5">
        <f>F60-H60</f>
        <v>3</v>
      </c>
      <c r="K60" s="5">
        <f>IF(I60&gt;0,1,0)</f>
        <v>0</v>
      </c>
      <c r="L60" s="5">
        <f>IF(J60&lt;PuntoReorden,1,0)</f>
        <v>1</v>
      </c>
      <c r="M60" s="9">
        <f>PrecioVenta*H60</f>
        <v>4080000</v>
      </c>
      <c r="N60" s="9">
        <f>CostoUnitario*E60</f>
        <v>0</v>
      </c>
      <c r="O60" s="9">
        <f>IF(E60&gt;0,CostoPedido,0)</f>
        <v>0</v>
      </c>
      <c r="P60" s="9">
        <f>CostoAlm*(F60+J60)/2</f>
        <v>480</v>
      </c>
      <c r="Q60" s="9">
        <f>CostoFijo*D60</f>
        <v>0</v>
      </c>
      <c r="R60" s="9">
        <f>M60-N60-O60-P60-Q60</f>
        <v>4079520</v>
      </c>
      <c r="S60" s="21">
        <f>PuntoReorden</f>
        <v>7</v>
      </c>
      <c r="W60" s="7" t="n">
        <v>54</v>
      </c>
      <c r="X60" s="9" t="n">
        <v>99511480</v>
      </c>
      <c r="Y60" s="27" t="n">
        <v>0</v>
      </c>
      <c r="Z60" s="27" t="n">
        <v>0</v>
      </c>
      <c r="AA60" s="12" t="n">
        <v>13</v>
      </c>
    </row>
    <row r="61">
      <c r="A61" s="5">
        <f>A60+1</f>
        <v>56</v>
      </c>
      <c r="B61" s="20">
        <f>B60+IF(WEEKDAY(B60,2)=6,2,1)</f>
        <v>46087</v>
      </c>
      <c r="C61" s="5">
        <f>MONTH(B61)</f>
        <v>3</v>
      </c>
      <c r="D61" s="5">
        <f>IF(C61&lt;&gt;C60,1,0)</f>
        <v>0</v>
      </c>
      <c r="E61" s="5">
        <f>IF(L60=1,CantPedido,0)</f>
        <v>15</v>
      </c>
      <c r="F61" s="5">
        <f>J60+E61</f>
        <v>18</v>
      </c>
      <c r="G61" s="5">
        <f>VLOOKUP(RAND(),TablaEmpirica,2,TRUE)</f>
        <v>5</v>
      </c>
      <c r="H61" s="5">
        <f>MIN(F61,G61)</f>
        <v>5</v>
      </c>
      <c r="I61" s="5">
        <f>G61-H61</f>
        <v>0</v>
      </c>
      <c r="J61" s="5">
        <f>F61-H61</f>
        <v>13</v>
      </c>
      <c r="K61" s="5">
        <f>IF(I61&gt;0,1,0)</f>
        <v>0</v>
      </c>
      <c r="L61" s="5">
        <f>IF(J61&lt;PuntoReorden,1,0)</f>
        <v>0</v>
      </c>
      <c r="M61" s="9">
        <f>PrecioVenta*H61</f>
        <v>3400000</v>
      </c>
      <c r="N61" s="9">
        <f>CostoUnitario*E61</f>
        <v>9000000</v>
      </c>
      <c r="O61" s="9">
        <f>IF(E61&gt;0,CostoPedido,0)</f>
        <v>40000</v>
      </c>
      <c r="P61" s="9">
        <f>CostoAlm*(F61+J61)/2</f>
        <v>1240</v>
      </c>
      <c r="Q61" s="9">
        <f>CostoFijo*D61</f>
        <v>0</v>
      </c>
      <c r="R61" s="9">
        <f>M61-N61-O61-P61-Q61</f>
        <v>-5641240</v>
      </c>
      <c r="S61" s="21">
        <f>PuntoReorden</f>
        <v>7</v>
      </c>
      <c r="W61" s="7" t="n">
        <v>55</v>
      </c>
      <c r="X61" s="9" t="n">
        <v>103194680</v>
      </c>
      <c r="Y61" s="27" t="n">
        <v>0</v>
      </c>
      <c r="Z61" s="27" t="n">
        <v>0</v>
      </c>
      <c r="AA61" s="12" t="n">
        <v>11</v>
      </c>
    </row>
    <row r="62">
      <c r="A62" s="5">
        <f>A61+1</f>
        <v>57</v>
      </c>
      <c r="B62" s="20">
        <f>B61+IF(WEEKDAY(B61,2)=6,2,1)</f>
        <v>46088</v>
      </c>
      <c r="C62" s="5">
        <f>MONTH(B62)</f>
        <v>3</v>
      </c>
      <c r="D62" s="5">
        <f>IF(C62&lt;&gt;C61,1,0)</f>
        <v>0</v>
      </c>
      <c r="E62" s="5">
        <f>IF(L61=1,CantPedido,0)</f>
        <v>0</v>
      </c>
      <c r="F62" s="5">
        <f>J61+E62</f>
        <v>13</v>
      </c>
      <c r="G62" s="5">
        <f>VLOOKUP(RAND(),TablaEmpirica,2,TRUE)</f>
        <v>5</v>
      </c>
      <c r="H62" s="5">
        <f>MIN(F62,G62)</f>
        <v>5</v>
      </c>
      <c r="I62" s="5">
        <f>G62-H62</f>
        <v>0</v>
      </c>
      <c r="J62" s="5">
        <f>F62-H62</f>
        <v>8</v>
      </c>
      <c r="K62" s="5">
        <f>IF(I62&gt;0,1,0)</f>
        <v>0</v>
      </c>
      <c r="L62" s="5">
        <f>IF(J62&lt;PuntoReorden,1,0)</f>
        <v>0</v>
      </c>
      <c r="M62" s="9">
        <f>PrecioVenta*H62</f>
        <v>3400000</v>
      </c>
      <c r="N62" s="9">
        <f>CostoUnitario*E62</f>
        <v>0</v>
      </c>
      <c r="O62" s="9">
        <f>IF(E62&gt;0,CostoPedido,0)</f>
        <v>0</v>
      </c>
      <c r="P62" s="9">
        <f>CostoAlm*(F62+J62)/2</f>
        <v>840</v>
      </c>
      <c r="Q62" s="9">
        <f>CostoFijo*D62</f>
        <v>0</v>
      </c>
      <c r="R62" s="9">
        <f>M62-N62-O62-P62-Q62</f>
        <v>3399160</v>
      </c>
      <c r="S62" s="21">
        <f>PuntoReorden</f>
        <v>7</v>
      </c>
      <c r="W62" s="7" t="n">
        <v>56</v>
      </c>
      <c r="X62" s="9" t="n">
        <v>99907880</v>
      </c>
      <c r="Y62" s="27" t="n">
        <v>0</v>
      </c>
      <c r="Z62" s="27" t="n">
        <v>0</v>
      </c>
      <c r="AA62" s="12" t="n">
        <v>9</v>
      </c>
    </row>
    <row r="63">
      <c r="A63" s="5">
        <f>A62+1</f>
        <v>58</v>
      </c>
      <c r="B63" s="20">
        <f>B62+IF(WEEKDAY(B62,2)=6,2,1)</f>
        <v>46090</v>
      </c>
      <c r="C63" s="5">
        <f>MONTH(B63)</f>
        <v>3</v>
      </c>
      <c r="D63" s="5">
        <f>IF(C63&lt;&gt;C62,1,0)</f>
        <v>0</v>
      </c>
      <c r="E63" s="5">
        <f>IF(L62=1,CantPedido,0)</f>
        <v>0</v>
      </c>
      <c r="F63" s="5">
        <f>J62+E63</f>
        <v>8</v>
      </c>
      <c r="G63" s="5">
        <f>VLOOKUP(RAND(),TablaEmpirica,2,TRUE)</f>
        <v>6</v>
      </c>
      <c r="H63" s="5">
        <f>MIN(F63,G63)</f>
        <v>6</v>
      </c>
      <c r="I63" s="5">
        <f>G63-H63</f>
        <v>0</v>
      </c>
      <c r="J63" s="5">
        <f>F63-H63</f>
        <v>2</v>
      </c>
      <c r="K63" s="5">
        <f>IF(I63&gt;0,1,0)</f>
        <v>0</v>
      </c>
      <c r="L63" s="5">
        <f>IF(J63&lt;PuntoReorden,1,0)</f>
        <v>1</v>
      </c>
      <c r="M63" s="9">
        <f>PrecioVenta*H63</f>
        <v>4080000</v>
      </c>
      <c r="N63" s="9">
        <f>CostoUnitario*E63</f>
        <v>0</v>
      </c>
      <c r="O63" s="9">
        <f>IF(E63&gt;0,CostoPedido,0)</f>
        <v>0</v>
      </c>
      <c r="P63" s="9">
        <f>CostoAlm*(F63+J63)/2</f>
        <v>400</v>
      </c>
      <c r="Q63" s="9">
        <f>CostoFijo*D63</f>
        <v>0</v>
      </c>
      <c r="R63" s="9">
        <f>M63-N63-O63-P63-Q63</f>
        <v>4079600</v>
      </c>
      <c r="S63" s="21">
        <f>PuntoReorden</f>
        <v>7</v>
      </c>
      <c r="W63" s="7" t="n">
        <v>57</v>
      </c>
      <c r="X63" s="9" t="n">
        <v>100473000</v>
      </c>
      <c r="Y63" s="27" t="n">
        <v>0</v>
      </c>
      <c r="Z63" s="27" t="n">
        <v>0</v>
      </c>
      <c r="AA63" s="12" t="n">
        <v>15</v>
      </c>
    </row>
    <row r="64">
      <c r="A64" s="5">
        <f>A63+1</f>
        <v>59</v>
      </c>
      <c r="B64" s="20">
        <f>B63+IF(WEEKDAY(B63,2)=6,2,1)</f>
        <v>46091</v>
      </c>
      <c r="C64" s="5">
        <f>MONTH(B64)</f>
        <v>3</v>
      </c>
      <c r="D64" s="5">
        <f>IF(C64&lt;&gt;C63,1,0)</f>
        <v>0</v>
      </c>
      <c r="E64" s="5">
        <f>IF(L63=1,CantPedido,0)</f>
        <v>15</v>
      </c>
      <c r="F64" s="5">
        <f>J63+E64</f>
        <v>17</v>
      </c>
      <c r="G64" s="5">
        <f>VLOOKUP(RAND(),TablaEmpirica,2,TRUE)</f>
        <v>6</v>
      </c>
      <c r="H64" s="5">
        <f>MIN(F64,G64)</f>
        <v>6</v>
      </c>
      <c r="I64" s="5">
        <f>G64-H64</f>
        <v>0</v>
      </c>
      <c r="J64" s="5">
        <f>F64-H64</f>
        <v>11</v>
      </c>
      <c r="K64" s="5">
        <f>IF(I64&gt;0,1,0)</f>
        <v>0</v>
      </c>
      <c r="L64" s="5">
        <f>IF(J64&lt;PuntoReorden,1,0)</f>
        <v>0</v>
      </c>
      <c r="M64" s="9">
        <f>PrecioVenta*H64</f>
        <v>4080000</v>
      </c>
      <c r="N64" s="9">
        <f>CostoUnitario*E64</f>
        <v>9000000</v>
      </c>
      <c r="O64" s="9">
        <f>IF(E64&gt;0,CostoPedido,0)</f>
        <v>40000</v>
      </c>
      <c r="P64" s="9">
        <f>CostoAlm*(F64+J64)/2</f>
        <v>1120</v>
      </c>
      <c r="Q64" s="9">
        <f>CostoFijo*D64</f>
        <v>0</v>
      </c>
      <c r="R64" s="9">
        <f>M64-N64-O64-P64-Q64</f>
        <v>-4961120</v>
      </c>
      <c r="S64" s="21">
        <f>PuntoReorden</f>
        <v>7</v>
      </c>
      <c r="W64" s="7" t="n">
        <v>58</v>
      </c>
      <c r="X64" s="9" t="n">
        <v>106510160</v>
      </c>
      <c r="Y64" s="27" t="n">
        <v>0</v>
      </c>
      <c r="Z64" s="27" t="n">
        <v>0</v>
      </c>
      <c r="AA64" s="12" t="n">
        <v>1</v>
      </c>
    </row>
    <row r="65">
      <c r="A65" s="5">
        <f>A64+1</f>
        <v>60</v>
      </c>
      <c r="B65" s="20">
        <f>B64+IF(WEEKDAY(B64,2)=6,2,1)</f>
        <v>46092</v>
      </c>
      <c r="C65" s="5">
        <f>MONTH(B65)</f>
        <v>3</v>
      </c>
      <c r="D65" s="5">
        <f>IF(C65&lt;&gt;C64,1,0)</f>
        <v>0</v>
      </c>
      <c r="E65" s="5">
        <f>IF(L64=1,CantPedido,0)</f>
        <v>0</v>
      </c>
      <c r="F65" s="5">
        <f>J64+E65</f>
        <v>11</v>
      </c>
      <c r="G65" s="5">
        <f>VLOOKUP(RAND(),TablaEmpirica,2,TRUE)</f>
        <v>5</v>
      </c>
      <c r="H65" s="5">
        <f>MIN(F65,G65)</f>
        <v>5</v>
      </c>
      <c r="I65" s="5">
        <f>G65-H65</f>
        <v>0</v>
      </c>
      <c r="J65" s="5">
        <f>F65-H65</f>
        <v>6</v>
      </c>
      <c r="K65" s="5">
        <f>IF(I65&gt;0,1,0)</f>
        <v>0</v>
      </c>
      <c r="L65" s="5">
        <f>IF(J65&lt;PuntoReorden,1,0)</f>
        <v>1</v>
      </c>
      <c r="M65" s="9">
        <f>PrecioVenta*H65</f>
        <v>3400000</v>
      </c>
      <c r="N65" s="9">
        <f>CostoUnitario*E65</f>
        <v>0</v>
      </c>
      <c r="O65" s="9">
        <f>IF(E65&gt;0,CostoPedido,0)</f>
        <v>0</v>
      </c>
      <c r="P65" s="9">
        <f>CostoAlm*(F65+J65)/2</f>
        <v>680</v>
      </c>
      <c r="Q65" s="9">
        <f>CostoFijo*D65</f>
        <v>0</v>
      </c>
      <c r="R65" s="9">
        <f>M65-N65-O65-P65-Q65</f>
        <v>3399320</v>
      </c>
      <c r="S65" s="21">
        <f>PuntoReorden</f>
        <v>7</v>
      </c>
      <c r="W65" s="7" t="n">
        <v>59</v>
      </c>
      <c r="X65" s="9" t="n">
        <v>100750560</v>
      </c>
      <c r="Y65" s="27" t="n">
        <v>0</v>
      </c>
      <c r="Z65" s="27" t="n">
        <v>0</v>
      </c>
      <c r="AA65" s="12" t="n">
        <v>18</v>
      </c>
    </row>
    <row r="66">
      <c r="A66" s="5">
        <f>A65+1</f>
        <v>61</v>
      </c>
      <c r="B66" s="20">
        <f>B65+IF(WEEKDAY(B65,2)=6,2,1)</f>
        <v>46093</v>
      </c>
      <c r="C66" s="5">
        <f>MONTH(B66)</f>
        <v>3</v>
      </c>
      <c r="D66" s="5">
        <f>IF(C66&lt;&gt;C65,1,0)</f>
        <v>0</v>
      </c>
      <c r="E66" s="5">
        <f>IF(L65=1,CantPedido,0)</f>
        <v>15</v>
      </c>
      <c r="F66" s="5">
        <f>J65+E66</f>
        <v>21</v>
      </c>
      <c r="G66" s="5">
        <f>VLOOKUP(RAND(),TablaEmpirica,2,TRUE)</f>
        <v>6</v>
      </c>
      <c r="H66" s="5">
        <f>MIN(F66,G66)</f>
        <v>6</v>
      </c>
      <c r="I66" s="5">
        <f>G66-H66</f>
        <v>0</v>
      </c>
      <c r="J66" s="5">
        <f>F66-H66</f>
        <v>15</v>
      </c>
      <c r="K66" s="5">
        <f>IF(I66&gt;0,1,0)</f>
        <v>0</v>
      </c>
      <c r="L66" s="5">
        <f>IF(J66&lt;PuntoReorden,1,0)</f>
        <v>0</v>
      </c>
      <c r="M66" s="9">
        <f>PrecioVenta*H66</f>
        <v>4080000</v>
      </c>
      <c r="N66" s="9">
        <f>CostoUnitario*E66</f>
        <v>9000000</v>
      </c>
      <c r="O66" s="9">
        <f>IF(E66&gt;0,CostoPedido,0)</f>
        <v>40000</v>
      </c>
      <c r="P66" s="9">
        <f>CostoAlm*(F66+J66)/2</f>
        <v>1440</v>
      </c>
      <c r="Q66" s="9">
        <f>CostoFijo*D66</f>
        <v>0</v>
      </c>
      <c r="R66" s="9">
        <f>M66-N66-O66-P66-Q66</f>
        <v>-4961440</v>
      </c>
      <c r="S66" s="21">
        <f>PuntoReorden</f>
        <v>7</v>
      </c>
      <c r="W66" s="7" t="n">
        <v>60</v>
      </c>
      <c r="X66" s="9" t="n">
        <v>105914520</v>
      </c>
      <c r="Y66" s="27" t="n">
        <v>0</v>
      </c>
      <c r="Z66" s="27" t="n">
        <v>0</v>
      </c>
      <c r="AA66" s="12" t="n">
        <v>7</v>
      </c>
    </row>
    <row r="67">
      <c r="A67" s="5">
        <f>A66+1</f>
        <v>62</v>
      </c>
      <c r="B67" s="20">
        <f>B66+IF(WEEKDAY(B66,2)=6,2,1)</f>
        <v>46094</v>
      </c>
      <c r="C67" s="5">
        <f>MONTH(B67)</f>
        <v>3</v>
      </c>
      <c r="D67" s="5">
        <f>IF(C67&lt;&gt;C66,1,0)</f>
        <v>0</v>
      </c>
      <c r="E67" s="5">
        <f>IF(L66=1,CantPedido,0)</f>
        <v>0</v>
      </c>
      <c r="F67" s="5">
        <f>J66+E67</f>
        <v>15</v>
      </c>
      <c r="G67" s="5">
        <f>VLOOKUP(RAND(),TablaEmpirica,2,TRUE)</f>
        <v>3</v>
      </c>
      <c r="H67" s="5">
        <f>MIN(F67,G67)</f>
        <v>3</v>
      </c>
      <c r="I67" s="5">
        <f>G67-H67</f>
        <v>0</v>
      </c>
      <c r="J67" s="5">
        <f>F67-H67</f>
        <v>12</v>
      </c>
      <c r="K67" s="5">
        <f>IF(I67&gt;0,1,0)</f>
        <v>0</v>
      </c>
      <c r="L67" s="5">
        <f>IF(J67&lt;PuntoReorden,1,0)</f>
        <v>0</v>
      </c>
      <c r="M67" s="9">
        <f>PrecioVenta*H67</f>
        <v>2040000</v>
      </c>
      <c r="N67" s="9">
        <f>CostoUnitario*E67</f>
        <v>0</v>
      </c>
      <c r="O67" s="9">
        <f>IF(E67&gt;0,CostoPedido,0)</f>
        <v>0</v>
      </c>
      <c r="P67" s="9">
        <f>CostoAlm*(F67+J67)/2</f>
        <v>1080</v>
      </c>
      <c r="Q67" s="9">
        <f>CostoFijo*D67</f>
        <v>0</v>
      </c>
      <c r="R67" s="9">
        <f>M67-N67-O67-P67-Q67</f>
        <v>2038920</v>
      </c>
      <c r="S67" s="21">
        <f>PuntoReorden</f>
        <v>7</v>
      </c>
      <c r="W67" s="7" t="n">
        <v>61</v>
      </c>
      <c r="X67" s="9" t="n">
        <v>105150080</v>
      </c>
      <c r="Y67" s="27" t="n">
        <v>0</v>
      </c>
      <c r="Z67" s="27" t="n">
        <v>0</v>
      </c>
      <c r="AA67" s="12" t="n">
        <v>3</v>
      </c>
    </row>
    <row r="68">
      <c r="A68" s="5">
        <f>A67+1</f>
        <v>63</v>
      </c>
      <c r="B68" s="20">
        <f>B67+IF(WEEKDAY(B67,2)=6,2,1)</f>
        <v>46095</v>
      </c>
      <c r="C68" s="5">
        <f>MONTH(B68)</f>
        <v>3</v>
      </c>
      <c r="D68" s="5">
        <f>IF(C68&lt;&gt;C67,1,0)</f>
        <v>0</v>
      </c>
      <c r="E68" s="5">
        <f>IF(L67=1,CantPedido,0)</f>
        <v>0</v>
      </c>
      <c r="F68" s="5">
        <f>J67+E68</f>
        <v>12</v>
      </c>
      <c r="G68" s="5">
        <f>VLOOKUP(RAND(),TablaEmpirica,2,TRUE)</f>
        <v>6</v>
      </c>
      <c r="H68" s="5">
        <f>MIN(F68,G68)</f>
        <v>6</v>
      </c>
      <c r="I68" s="5">
        <f>G68-H68</f>
        <v>0</v>
      </c>
      <c r="J68" s="5">
        <f>F68-H68</f>
        <v>6</v>
      </c>
      <c r="K68" s="5">
        <f>IF(I68&gt;0,1,0)</f>
        <v>0</v>
      </c>
      <c r="L68" s="5">
        <f>IF(J68&lt;PuntoReorden,1,0)</f>
        <v>1</v>
      </c>
      <c r="M68" s="9">
        <f>PrecioVenta*H68</f>
        <v>4080000</v>
      </c>
      <c r="N68" s="9">
        <f>CostoUnitario*E68</f>
        <v>0</v>
      </c>
      <c r="O68" s="9">
        <f>IF(E68&gt;0,CostoPedido,0)</f>
        <v>0</v>
      </c>
      <c r="P68" s="9">
        <f>CostoAlm*(F68+J68)/2</f>
        <v>720</v>
      </c>
      <c r="Q68" s="9">
        <f>CostoFijo*D68</f>
        <v>0</v>
      </c>
      <c r="R68" s="9">
        <f>M68-N68-O68-P68-Q68</f>
        <v>4079280</v>
      </c>
      <c r="S68" s="21">
        <f>PuntoReorden</f>
        <v>7</v>
      </c>
      <c r="W68" s="7" t="n">
        <v>62</v>
      </c>
      <c r="X68" s="9" t="n">
        <v>98151160</v>
      </c>
      <c r="Y68" s="27" t="n">
        <v>0</v>
      </c>
      <c r="Z68" s="27" t="n">
        <v>0</v>
      </c>
      <c r="AA68" s="12" t="n">
        <v>15</v>
      </c>
    </row>
    <row r="69">
      <c r="A69" s="5">
        <f>A68+1</f>
        <v>64</v>
      </c>
      <c r="B69" s="20">
        <f>B68+IF(WEEKDAY(B68,2)=6,2,1)</f>
        <v>46097</v>
      </c>
      <c r="C69" s="5">
        <f>MONTH(B69)</f>
        <v>3</v>
      </c>
      <c r="D69" s="5">
        <f>IF(C69&lt;&gt;C68,1,0)</f>
        <v>0</v>
      </c>
      <c r="E69" s="5">
        <f>IF(L68=1,CantPedido,0)</f>
        <v>15</v>
      </c>
      <c r="F69" s="5">
        <f>J68+E69</f>
        <v>21</v>
      </c>
      <c r="G69" s="5">
        <f>VLOOKUP(RAND(),TablaEmpirica,2,TRUE)</f>
        <v>3</v>
      </c>
      <c r="H69" s="5">
        <f>MIN(F69,G69)</f>
        <v>3</v>
      </c>
      <c r="I69" s="5">
        <f>G69-H69</f>
        <v>0</v>
      </c>
      <c r="J69" s="5">
        <f>F69-H69</f>
        <v>18</v>
      </c>
      <c r="K69" s="5">
        <f>IF(I69&gt;0,1,0)</f>
        <v>0</v>
      </c>
      <c r="L69" s="5">
        <f>IF(J69&lt;PuntoReorden,1,0)</f>
        <v>0</v>
      </c>
      <c r="M69" s="9">
        <f>PrecioVenta*H69</f>
        <v>2040000</v>
      </c>
      <c r="N69" s="9">
        <f>CostoUnitario*E69</f>
        <v>9000000</v>
      </c>
      <c r="O69" s="9">
        <f>IF(E69&gt;0,CostoPedido,0)</f>
        <v>40000</v>
      </c>
      <c r="P69" s="9">
        <f>CostoAlm*(F69+J69)/2</f>
        <v>1560</v>
      </c>
      <c r="Q69" s="9">
        <f>CostoFijo*D69</f>
        <v>0</v>
      </c>
      <c r="R69" s="9">
        <f>M69-N69-O69-P69-Q69</f>
        <v>-7001560</v>
      </c>
      <c r="S69" s="21">
        <f>PuntoReorden</f>
        <v>7</v>
      </c>
      <c r="W69" s="7" t="n">
        <v>63</v>
      </c>
      <c r="X69" s="9" t="n">
        <v>104476040</v>
      </c>
      <c r="Y69" s="27" t="n">
        <v>0</v>
      </c>
      <c r="Z69" s="27" t="n">
        <v>0</v>
      </c>
      <c r="AA69" s="12" t="n">
        <v>4</v>
      </c>
    </row>
    <row r="70">
      <c r="A70" s="5">
        <f>A69+1</f>
        <v>65</v>
      </c>
      <c r="B70" s="20">
        <f>B69+IF(WEEKDAY(B69,2)=6,2,1)</f>
        <v>46098</v>
      </c>
      <c r="C70" s="5">
        <f>MONTH(B70)</f>
        <v>3</v>
      </c>
      <c r="D70" s="5">
        <f>IF(C70&lt;&gt;C69,1,0)</f>
        <v>0</v>
      </c>
      <c r="E70" s="5">
        <f>IF(L69=1,CantPedido,0)</f>
        <v>0</v>
      </c>
      <c r="F70" s="5">
        <f>J69+E70</f>
        <v>18</v>
      </c>
      <c r="G70" s="5">
        <f>VLOOKUP(RAND(),TablaEmpirica,2,TRUE)</f>
        <v>5</v>
      </c>
      <c r="H70" s="5">
        <f>MIN(F70,G70)</f>
        <v>5</v>
      </c>
      <c r="I70" s="5">
        <f>G70-H70</f>
        <v>0</v>
      </c>
      <c r="J70" s="5">
        <f>F70-H70</f>
        <v>13</v>
      </c>
      <c r="K70" s="5">
        <f>IF(I70&gt;0,1,0)</f>
        <v>0</v>
      </c>
      <c r="L70" s="5">
        <f>IF(J70&lt;PuntoReorden,1,0)</f>
        <v>0</v>
      </c>
      <c r="M70" s="9">
        <f>PrecioVenta*H70</f>
        <v>3400000</v>
      </c>
      <c r="N70" s="9">
        <f>CostoUnitario*E70</f>
        <v>0</v>
      </c>
      <c r="O70" s="9">
        <f>IF(E70&gt;0,CostoPedido,0)</f>
        <v>0</v>
      </c>
      <c r="P70" s="9">
        <f>CostoAlm*(F70+J70)/2</f>
        <v>1240</v>
      </c>
      <c r="Q70" s="9">
        <f>CostoFijo*D70</f>
        <v>0</v>
      </c>
      <c r="R70" s="9">
        <f>M70-N70-O70-P70-Q70</f>
        <v>3398760</v>
      </c>
      <c r="S70" s="21">
        <f>PuntoReorden</f>
        <v>7</v>
      </c>
      <c r="W70" s="7" t="n">
        <v>64</v>
      </c>
      <c r="X70" s="9" t="n">
        <v>100677440</v>
      </c>
      <c r="Y70" s="27" t="n">
        <v>0</v>
      </c>
      <c r="Z70" s="27" t="n">
        <v>0</v>
      </c>
      <c r="AA70" s="12" t="n">
        <v>13</v>
      </c>
    </row>
    <row r="71">
      <c r="A71" s="5">
        <f>A70+1</f>
        <v>66</v>
      </c>
      <c r="B71" s="20">
        <f>B70+IF(WEEKDAY(B70,2)=6,2,1)</f>
        <v>46099</v>
      </c>
      <c r="C71" s="5">
        <f>MONTH(B71)</f>
        <v>3</v>
      </c>
      <c r="D71" s="5">
        <f>IF(C71&lt;&gt;C70,1,0)</f>
        <v>0</v>
      </c>
      <c r="E71" s="5">
        <f>IF(L70=1,CantPedido,0)</f>
        <v>0</v>
      </c>
      <c r="F71" s="5">
        <f>J70+E71</f>
        <v>13</v>
      </c>
      <c r="G71" s="5">
        <f>VLOOKUP(RAND(),TablaEmpirica,2,TRUE)</f>
        <v>5</v>
      </c>
      <c r="H71" s="5">
        <f>MIN(F71,G71)</f>
        <v>5</v>
      </c>
      <c r="I71" s="5">
        <f>G71-H71</f>
        <v>0</v>
      </c>
      <c r="J71" s="5">
        <f>F71-H71</f>
        <v>8</v>
      </c>
      <c r="K71" s="5">
        <f>IF(I71&gt;0,1,0)</f>
        <v>0</v>
      </c>
      <c r="L71" s="5">
        <f>IF(J71&lt;PuntoReorden,1,0)</f>
        <v>0</v>
      </c>
      <c r="M71" s="9">
        <f>PrecioVenta*H71</f>
        <v>3400000</v>
      </c>
      <c r="N71" s="9">
        <f>CostoUnitario*E71</f>
        <v>0</v>
      </c>
      <c r="O71" s="9">
        <f>IF(E71&gt;0,CostoPedido,0)</f>
        <v>0</v>
      </c>
      <c r="P71" s="9">
        <f>CostoAlm*(F71+J71)/2</f>
        <v>840</v>
      </c>
      <c r="Q71" s="9">
        <f>CostoFijo*D71</f>
        <v>0</v>
      </c>
      <c r="R71" s="9">
        <f>M71-N71-O71-P71-Q71</f>
        <v>3399160</v>
      </c>
      <c r="S71" s="21">
        <f>PuntoReorden</f>
        <v>7</v>
      </c>
      <c r="W71" s="7" t="n">
        <v>65</v>
      </c>
      <c r="X71" s="9" t="n">
        <v>98628920</v>
      </c>
      <c r="Y71" s="27" t="n">
        <v>0</v>
      </c>
      <c r="Z71" s="27" t="n">
        <v>0</v>
      </c>
      <c r="AA71" s="12" t="n">
        <v>16</v>
      </c>
    </row>
    <row r="72">
      <c r="A72" s="5">
        <f>A71+1</f>
        <v>67</v>
      </c>
      <c r="B72" s="20">
        <f>B71+IF(WEEKDAY(B71,2)=6,2,1)</f>
        <v>46100</v>
      </c>
      <c r="C72" s="5">
        <f>MONTH(B72)</f>
        <v>3</v>
      </c>
      <c r="D72" s="5">
        <f>IF(C72&lt;&gt;C71,1,0)</f>
        <v>0</v>
      </c>
      <c r="E72" s="5">
        <f>IF(L71=1,CantPedido,0)</f>
        <v>0</v>
      </c>
      <c r="F72" s="5">
        <f>J71+E72</f>
        <v>8</v>
      </c>
      <c r="G72" s="5">
        <f>VLOOKUP(RAND(),TablaEmpirica,2,TRUE)</f>
        <v>5</v>
      </c>
      <c r="H72" s="5">
        <f>MIN(F72,G72)</f>
        <v>5</v>
      </c>
      <c r="I72" s="5">
        <f>G72-H72</f>
        <v>0</v>
      </c>
      <c r="J72" s="5">
        <f>F72-H72</f>
        <v>3</v>
      </c>
      <c r="K72" s="5">
        <f>IF(I72&gt;0,1,0)</f>
        <v>0</v>
      </c>
      <c r="L72" s="5">
        <f>IF(J72&lt;PuntoReorden,1,0)</f>
        <v>1</v>
      </c>
      <c r="M72" s="9">
        <f>PrecioVenta*H72</f>
        <v>3400000</v>
      </c>
      <c r="N72" s="9">
        <f>CostoUnitario*E72</f>
        <v>0</v>
      </c>
      <c r="O72" s="9">
        <f>IF(E72&gt;0,CostoPedido,0)</f>
        <v>0</v>
      </c>
      <c r="P72" s="9">
        <f>CostoAlm*(F72+J72)/2</f>
        <v>440</v>
      </c>
      <c r="Q72" s="9">
        <f>CostoFijo*D72</f>
        <v>0</v>
      </c>
      <c r="R72" s="9">
        <f>M72-N72-O72-P72-Q72</f>
        <v>3399560</v>
      </c>
      <c r="S72" s="21">
        <f>PuntoReorden</f>
        <v>7</v>
      </c>
      <c r="W72" s="7" t="n">
        <v>66</v>
      </c>
      <c r="X72" s="9" t="n">
        <v>100869000</v>
      </c>
      <c r="Y72" s="27" t="n">
        <v>0</v>
      </c>
      <c r="Z72" s="27" t="n">
        <v>0</v>
      </c>
      <c r="AA72" s="12" t="n">
        <v>11</v>
      </c>
    </row>
    <row r="73">
      <c r="A73" s="5">
        <f>A72+1</f>
        <v>68</v>
      </c>
      <c r="B73" s="20">
        <f>B72+IF(WEEKDAY(B72,2)=6,2,1)</f>
        <v>46101</v>
      </c>
      <c r="C73" s="5">
        <f>MONTH(B73)</f>
        <v>3</v>
      </c>
      <c r="D73" s="5">
        <f>IF(C73&lt;&gt;C72,1,0)</f>
        <v>0</v>
      </c>
      <c r="E73" s="5">
        <f>IF(L72=1,CantPedido,0)</f>
        <v>15</v>
      </c>
      <c r="F73" s="5">
        <f>J72+E73</f>
        <v>18</v>
      </c>
      <c r="G73" s="5">
        <f>VLOOKUP(RAND(),TablaEmpirica,2,TRUE)</f>
        <v>3</v>
      </c>
      <c r="H73" s="5">
        <f>MIN(F73,G73)</f>
        <v>3</v>
      </c>
      <c r="I73" s="5">
        <f>G73-H73</f>
        <v>0</v>
      </c>
      <c r="J73" s="5">
        <f>F73-H73</f>
        <v>15</v>
      </c>
      <c r="K73" s="5">
        <f>IF(I73&gt;0,1,0)</f>
        <v>0</v>
      </c>
      <c r="L73" s="5">
        <f>IF(J73&lt;PuntoReorden,1,0)</f>
        <v>0</v>
      </c>
      <c r="M73" s="9">
        <f>PrecioVenta*H73</f>
        <v>2040000</v>
      </c>
      <c r="N73" s="9">
        <f>CostoUnitario*E73</f>
        <v>9000000</v>
      </c>
      <c r="O73" s="9">
        <f>IF(E73&gt;0,CostoPedido,0)</f>
        <v>40000</v>
      </c>
      <c r="P73" s="9">
        <f>CostoAlm*(F73+J73)/2</f>
        <v>1320</v>
      </c>
      <c r="Q73" s="9">
        <f>CostoFijo*D73</f>
        <v>0</v>
      </c>
      <c r="R73" s="9">
        <f>M73-N73-O73-P73-Q73</f>
        <v>-7001320</v>
      </c>
      <c r="S73" s="21">
        <f>PuntoReorden</f>
        <v>7</v>
      </c>
      <c r="W73" s="7" t="n">
        <v>67</v>
      </c>
      <c r="X73" s="9" t="n">
        <v>100477080</v>
      </c>
      <c r="Y73" s="27" t="n">
        <v>0</v>
      </c>
      <c r="Z73" s="27" t="n">
        <v>0</v>
      </c>
      <c r="AA73" s="12" t="n">
        <v>15</v>
      </c>
    </row>
    <row r="74">
      <c r="A74" s="5">
        <f>A73+1</f>
        <v>69</v>
      </c>
      <c r="B74" s="20">
        <f>B73+IF(WEEKDAY(B73,2)=6,2,1)</f>
        <v>46102</v>
      </c>
      <c r="C74" s="5">
        <f>MONTH(B74)</f>
        <v>3</v>
      </c>
      <c r="D74" s="5">
        <f>IF(C74&lt;&gt;C73,1,0)</f>
        <v>0</v>
      </c>
      <c r="E74" s="5">
        <f>IF(L73=1,CantPedido,0)</f>
        <v>0</v>
      </c>
      <c r="F74" s="5">
        <f>J73+E74</f>
        <v>15</v>
      </c>
      <c r="G74" s="5">
        <f>VLOOKUP(RAND(),TablaEmpirica,2,TRUE)</f>
        <v>7</v>
      </c>
      <c r="H74" s="5">
        <f>MIN(F74,G74)</f>
        <v>7</v>
      </c>
      <c r="I74" s="5">
        <f>G74-H74</f>
        <v>0</v>
      </c>
      <c r="J74" s="5">
        <f>F74-H74</f>
        <v>8</v>
      </c>
      <c r="K74" s="5">
        <f>IF(I74&gt;0,1,0)</f>
        <v>0</v>
      </c>
      <c r="L74" s="5">
        <f>IF(J74&lt;PuntoReorden,1,0)</f>
        <v>0</v>
      </c>
      <c r="M74" s="9">
        <f>PrecioVenta*H74</f>
        <v>4760000</v>
      </c>
      <c r="N74" s="9">
        <f>CostoUnitario*E74</f>
        <v>0</v>
      </c>
      <c r="O74" s="9">
        <f>IF(E74&gt;0,CostoPedido,0)</f>
        <v>0</v>
      </c>
      <c r="P74" s="9">
        <f>CostoAlm*(F74+J74)/2</f>
        <v>920</v>
      </c>
      <c r="Q74" s="9">
        <f>CostoFijo*D74</f>
        <v>0</v>
      </c>
      <c r="R74" s="9">
        <f>M74-N74-O74-P74-Q74</f>
        <v>4759080</v>
      </c>
      <c r="S74" s="21">
        <f>PuntoReorden</f>
        <v>7</v>
      </c>
      <c r="W74" s="7" t="n">
        <v>68</v>
      </c>
      <c r="X74" s="9" t="n">
        <v>101151600</v>
      </c>
      <c r="Y74" s="27" t="n">
        <v>0</v>
      </c>
      <c r="Z74" s="27" t="n">
        <v>0</v>
      </c>
      <c r="AA74" s="12" t="n">
        <v>14</v>
      </c>
    </row>
    <row r="75">
      <c r="A75" s="5">
        <f>A74+1</f>
        <v>70</v>
      </c>
      <c r="B75" s="20">
        <f>B74+IF(WEEKDAY(B74,2)=6,2,1)</f>
        <v>46104</v>
      </c>
      <c r="C75" s="5">
        <f>MONTH(B75)</f>
        <v>3</v>
      </c>
      <c r="D75" s="5">
        <f>IF(C75&lt;&gt;C74,1,0)</f>
        <v>0</v>
      </c>
      <c r="E75" s="5">
        <f>IF(L74=1,CantPedido,0)</f>
        <v>0</v>
      </c>
      <c r="F75" s="5">
        <f>J74+E75</f>
        <v>8</v>
      </c>
      <c r="G75" s="5">
        <f>VLOOKUP(RAND(),TablaEmpirica,2,TRUE)</f>
        <v>5</v>
      </c>
      <c r="H75" s="5">
        <f>MIN(F75,G75)</f>
        <v>5</v>
      </c>
      <c r="I75" s="5">
        <f>G75-H75</f>
        <v>0</v>
      </c>
      <c r="J75" s="5">
        <f>F75-H75</f>
        <v>3</v>
      </c>
      <c r="K75" s="5">
        <f>IF(I75&gt;0,1,0)</f>
        <v>0</v>
      </c>
      <c r="L75" s="5">
        <f>IF(J75&lt;PuntoReorden,1,0)</f>
        <v>1</v>
      </c>
      <c r="M75" s="9">
        <f>PrecioVenta*H75</f>
        <v>3400000</v>
      </c>
      <c r="N75" s="9">
        <f>CostoUnitario*E75</f>
        <v>0</v>
      </c>
      <c r="O75" s="9">
        <f>IF(E75&gt;0,CostoPedido,0)</f>
        <v>0</v>
      </c>
      <c r="P75" s="9">
        <f>CostoAlm*(F75+J75)/2</f>
        <v>440</v>
      </c>
      <c r="Q75" s="9">
        <f>CostoFijo*D75</f>
        <v>0</v>
      </c>
      <c r="R75" s="9">
        <f>M75-N75-O75-P75-Q75</f>
        <v>3399560</v>
      </c>
      <c r="S75" s="21">
        <f>PuntoReorden</f>
        <v>7</v>
      </c>
      <c r="W75" s="7" t="n">
        <v>69</v>
      </c>
      <c r="X75" s="9" t="n">
        <v>97949040</v>
      </c>
      <c r="Y75" s="27" t="n">
        <v>0</v>
      </c>
      <c r="Z75" s="27" t="n">
        <v>0</v>
      </c>
      <c r="AA75" s="12" t="n">
        <v>17</v>
      </c>
    </row>
    <row r="76">
      <c r="A76" s="5">
        <f>A75+1</f>
        <v>71</v>
      </c>
      <c r="B76" s="20">
        <f>B75+IF(WEEKDAY(B75,2)=6,2,1)</f>
        <v>46105</v>
      </c>
      <c r="C76" s="5">
        <f>MONTH(B76)</f>
        <v>3</v>
      </c>
      <c r="D76" s="5">
        <f>IF(C76&lt;&gt;C75,1,0)</f>
        <v>0</v>
      </c>
      <c r="E76" s="5">
        <f>IF(L75=1,CantPedido,0)</f>
        <v>15</v>
      </c>
      <c r="F76" s="5">
        <f>J75+E76</f>
        <v>18</v>
      </c>
      <c r="G76" s="5">
        <f>VLOOKUP(RAND(),TablaEmpirica,2,TRUE)</f>
        <v>6</v>
      </c>
      <c r="H76" s="5">
        <f>MIN(F76,G76)</f>
        <v>6</v>
      </c>
      <c r="I76" s="5">
        <f>G76-H76</f>
        <v>0</v>
      </c>
      <c r="J76" s="5">
        <f>F76-H76</f>
        <v>12</v>
      </c>
      <c r="K76" s="5">
        <f>IF(I76&gt;0,1,0)</f>
        <v>0</v>
      </c>
      <c r="L76" s="5">
        <f>IF(J76&lt;PuntoReorden,1,0)</f>
        <v>0</v>
      </c>
      <c r="M76" s="9">
        <f>PrecioVenta*H76</f>
        <v>4080000</v>
      </c>
      <c r="N76" s="9">
        <f>CostoUnitario*E76</f>
        <v>9000000</v>
      </c>
      <c r="O76" s="9">
        <f>IF(E76&gt;0,CostoPedido,0)</f>
        <v>40000</v>
      </c>
      <c r="P76" s="9">
        <f>CostoAlm*(F76+J76)/2</f>
        <v>1200</v>
      </c>
      <c r="Q76" s="9">
        <f>CostoFijo*D76</f>
        <v>0</v>
      </c>
      <c r="R76" s="9">
        <f>M76-N76-O76-P76-Q76</f>
        <v>-4961200</v>
      </c>
      <c r="S76" s="21">
        <f>PuntoReorden</f>
        <v>7</v>
      </c>
      <c r="W76" s="7" t="n">
        <v>70</v>
      </c>
      <c r="X76" s="9" t="n">
        <v>103593320</v>
      </c>
      <c r="Y76" s="27" t="n">
        <v>0</v>
      </c>
      <c r="Z76" s="27" t="n">
        <v>0</v>
      </c>
      <c r="AA76" s="12" t="n">
        <v>7</v>
      </c>
    </row>
    <row r="77">
      <c r="A77" s="5">
        <f>A76+1</f>
        <v>72</v>
      </c>
      <c r="B77" s="20">
        <f>B76+IF(WEEKDAY(B76,2)=6,2,1)</f>
        <v>46106</v>
      </c>
      <c r="C77" s="5">
        <f>MONTH(B77)</f>
        <v>3</v>
      </c>
      <c r="D77" s="5">
        <f>IF(C77&lt;&gt;C76,1,0)</f>
        <v>0</v>
      </c>
      <c r="E77" s="5">
        <f>IF(L76=1,CantPedido,0)</f>
        <v>0</v>
      </c>
      <c r="F77" s="5">
        <f>J76+E77</f>
        <v>12</v>
      </c>
      <c r="G77" s="5">
        <f>VLOOKUP(RAND(),TablaEmpirica,2,TRUE)</f>
        <v>3</v>
      </c>
      <c r="H77" s="5">
        <f>MIN(F77,G77)</f>
        <v>3</v>
      </c>
      <c r="I77" s="5">
        <f>G77-H77</f>
        <v>0</v>
      </c>
      <c r="J77" s="5">
        <f>F77-H77</f>
        <v>9</v>
      </c>
      <c r="K77" s="5">
        <f>IF(I77&gt;0,1,0)</f>
        <v>0</v>
      </c>
      <c r="L77" s="5">
        <f>IF(J77&lt;PuntoReorden,1,0)</f>
        <v>0</v>
      </c>
      <c r="M77" s="9">
        <f>PrecioVenta*H77</f>
        <v>2040000</v>
      </c>
      <c r="N77" s="9">
        <f>CostoUnitario*E77</f>
        <v>0</v>
      </c>
      <c r="O77" s="9">
        <f>IF(E77&gt;0,CostoPedido,0)</f>
        <v>0</v>
      </c>
      <c r="P77" s="9">
        <f>CostoAlm*(F77+J77)/2</f>
        <v>840</v>
      </c>
      <c r="Q77" s="9">
        <f>CostoFijo*D77</f>
        <v>0</v>
      </c>
      <c r="R77" s="9">
        <f>M77-N77-O77-P77-Q77</f>
        <v>2039160</v>
      </c>
      <c r="S77" s="21">
        <f>PuntoReorden</f>
        <v>7</v>
      </c>
      <c r="W77" s="7" t="n">
        <v>71</v>
      </c>
      <c r="X77" s="9" t="n">
        <v>99508360</v>
      </c>
      <c r="Y77" s="27" t="n">
        <v>0</v>
      </c>
      <c r="Z77" s="27" t="n">
        <v>0</v>
      </c>
      <c r="AA77" s="12" t="n">
        <v>13</v>
      </c>
    </row>
    <row r="78">
      <c r="A78" s="5">
        <f>A77+1</f>
        <v>73</v>
      </c>
      <c r="B78" s="20">
        <f>B77+IF(WEEKDAY(B77,2)=6,2,1)</f>
        <v>46107</v>
      </c>
      <c r="C78" s="5">
        <f>MONTH(B78)</f>
        <v>3</v>
      </c>
      <c r="D78" s="5">
        <f>IF(C78&lt;&gt;C77,1,0)</f>
        <v>0</v>
      </c>
      <c r="E78" s="5">
        <f>IF(L77=1,CantPedido,0)</f>
        <v>0</v>
      </c>
      <c r="F78" s="5">
        <f>J77+E78</f>
        <v>9</v>
      </c>
      <c r="G78" s="5">
        <f>VLOOKUP(RAND(),TablaEmpirica,2,TRUE)</f>
        <v>7</v>
      </c>
      <c r="H78" s="5">
        <f>MIN(F78,G78)</f>
        <v>7</v>
      </c>
      <c r="I78" s="5">
        <f>G78-H78</f>
        <v>0</v>
      </c>
      <c r="J78" s="5">
        <f>F78-H78</f>
        <v>2</v>
      </c>
      <c r="K78" s="5">
        <f>IF(I78&gt;0,1,0)</f>
        <v>0</v>
      </c>
      <c r="L78" s="5">
        <f>IF(J78&lt;PuntoReorden,1,0)</f>
        <v>1</v>
      </c>
      <c r="M78" s="9">
        <f>PrecioVenta*H78</f>
        <v>4760000</v>
      </c>
      <c r="N78" s="9">
        <f>CostoUnitario*E78</f>
        <v>0</v>
      </c>
      <c r="O78" s="9">
        <f>IF(E78&gt;0,CostoPedido,0)</f>
        <v>0</v>
      </c>
      <c r="P78" s="9">
        <f>CostoAlm*(F78+J78)/2</f>
        <v>440</v>
      </c>
      <c r="Q78" s="9">
        <f>CostoFijo*D78</f>
        <v>0</v>
      </c>
      <c r="R78" s="9">
        <f>M78-N78-O78-P78-Q78</f>
        <v>4759560</v>
      </c>
      <c r="S78" s="21">
        <f>PuntoReorden</f>
        <v>7</v>
      </c>
      <c r="W78" s="7" t="n">
        <v>72</v>
      </c>
      <c r="X78" s="9" t="n">
        <v>103670200</v>
      </c>
      <c r="Y78" s="27" t="n">
        <v>0</v>
      </c>
      <c r="Z78" s="27" t="n">
        <v>0</v>
      </c>
      <c r="AA78" s="12" t="n">
        <v>12</v>
      </c>
    </row>
    <row r="79">
      <c r="A79" s="5">
        <f>A78+1</f>
        <v>74</v>
      </c>
      <c r="B79" s="20">
        <f>B78+IF(WEEKDAY(B78,2)=6,2,1)</f>
        <v>46108</v>
      </c>
      <c r="C79" s="5">
        <f>MONTH(B79)</f>
        <v>3</v>
      </c>
      <c r="D79" s="5">
        <f>IF(C79&lt;&gt;C78,1,0)</f>
        <v>0</v>
      </c>
      <c r="E79" s="5">
        <f>IF(L78=1,CantPedido,0)</f>
        <v>15</v>
      </c>
      <c r="F79" s="5">
        <f>J78+E79</f>
        <v>17</v>
      </c>
      <c r="G79" s="5">
        <f>VLOOKUP(RAND(),TablaEmpirica,2,TRUE)</f>
        <v>6</v>
      </c>
      <c r="H79" s="5">
        <f>MIN(F79,G79)</f>
        <v>6</v>
      </c>
      <c r="I79" s="5">
        <f>G79-H79</f>
        <v>0</v>
      </c>
      <c r="J79" s="5">
        <f>F79-H79</f>
        <v>11</v>
      </c>
      <c r="K79" s="5">
        <f>IF(I79&gt;0,1,0)</f>
        <v>0</v>
      </c>
      <c r="L79" s="5">
        <f>IF(J79&lt;PuntoReorden,1,0)</f>
        <v>0</v>
      </c>
      <c r="M79" s="9">
        <f>PrecioVenta*H79</f>
        <v>4080000</v>
      </c>
      <c r="N79" s="9">
        <f>CostoUnitario*E79</f>
        <v>9000000</v>
      </c>
      <c r="O79" s="9">
        <f>IF(E79&gt;0,CostoPedido,0)</f>
        <v>40000</v>
      </c>
      <c r="P79" s="9">
        <f>CostoAlm*(F79+J79)/2</f>
        <v>1120</v>
      </c>
      <c r="Q79" s="9">
        <f>CostoFijo*D79</f>
        <v>0</v>
      </c>
      <c r="R79" s="9">
        <f>M79-N79-O79-P79-Q79</f>
        <v>-4961120</v>
      </c>
      <c r="S79" s="21">
        <f>PuntoReorden</f>
        <v>7</v>
      </c>
      <c r="W79" s="7" t="n">
        <v>73</v>
      </c>
      <c r="X79" s="9" t="n">
        <v>103590440</v>
      </c>
      <c r="Y79" s="27" t="n">
        <v>0</v>
      </c>
      <c r="Z79" s="27" t="n">
        <v>0</v>
      </c>
      <c r="AA79" s="12" t="n">
        <v>7</v>
      </c>
    </row>
    <row r="80">
      <c r="A80" s="5">
        <f>A79+1</f>
        <v>75</v>
      </c>
      <c r="B80" s="20">
        <f>B79+IF(WEEKDAY(B79,2)=6,2,1)</f>
        <v>46109</v>
      </c>
      <c r="C80" s="5">
        <f>MONTH(B80)</f>
        <v>3</v>
      </c>
      <c r="D80" s="5">
        <f>IF(C80&lt;&gt;C79,1,0)</f>
        <v>0</v>
      </c>
      <c r="E80" s="5">
        <f>IF(L79=1,CantPedido,0)</f>
        <v>0</v>
      </c>
      <c r="F80" s="5">
        <f>J79+E80</f>
        <v>11</v>
      </c>
      <c r="G80" s="5">
        <f>VLOOKUP(RAND(),TablaEmpirica,2,TRUE)</f>
        <v>6</v>
      </c>
      <c r="H80" s="5">
        <f>MIN(F80,G80)</f>
        <v>6</v>
      </c>
      <c r="I80" s="5">
        <f>G80-H80</f>
        <v>0</v>
      </c>
      <c r="J80" s="5">
        <f>F80-H80</f>
        <v>5</v>
      </c>
      <c r="K80" s="5">
        <f>IF(I80&gt;0,1,0)</f>
        <v>0</v>
      </c>
      <c r="L80" s="5">
        <f>IF(J80&lt;PuntoReorden,1,0)</f>
        <v>1</v>
      </c>
      <c r="M80" s="9">
        <f>PrecioVenta*H80</f>
        <v>4080000</v>
      </c>
      <c r="N80" s="9">
        <f>CostoUnitario*E80</f>
        <v>0</v>
      </c>
      <c r="O80" s="9">
        <f>IF(E80&gt;0,CostoPedido,0)</f>
        <v>0</v>
      </c>
      <c r="P80" s="9">
        <f>CostoAlm*(F80+J80)/2</f>
        <v>640</v>
      </c>
      <c r="Q80" s="9">
        <f>CostoFijo*D80</f>
        <v>0</v>
      </c>
      <c r="R80" s="9">
        <f>M80-N80-O80-P80-Q80</f>
        <v>4079360</v>
      </c>
      <c r="S80" s="21">
        <f>PuntoReorden</f>
        <v>7</v>
      </c>
      <c r="W80" s="7" t="n">
        <v>74</v>
      </c>
      <c r="X80" s="9" t="n">
        <v>98428880</v>
      </c>
      <c r="Y80" s="27" t="n">
        <v>0</v>
      </c>
      <c r="Z80" s="27" t="n">
        <v>0</v>
      </c>
      <c r="AA80" s="12" t="n">
        <v>18</v>
      </c>
    </row>
    <row r="81">
      <c r="A81" s="5">
        <f>A80+1</f>
        <v>76</v>
      </c>
      <c r="B81" s="20">
        <f>B80+IF(WEEKDAY(B80,2)=6,2,1)</f>
        <v>46111</v>
      </c>
      <c r="C81" s="5">
        <f>MONTH(B81)</f>
        <v>3</v>
      </c>
      <c r="D81" s="5">
        <f>IF(C81&lt;&gt;C80,1,0)</f>
        <v>0</v>
      </c>
      <c r="E81" s="5">
        <f>IF(L80=1,CantPedido,0)</f>
        <v>15</v>
      </c>
      <c r="F81" s="5">
        <f>J80+E81</f>
        <v>20</v>
      </c>
      <c r="G81" s="5">
        <f>VLOOKUP(RAND(),TablaEmpirica,2,TRUE)</f>
        <v>5</v>
      </c>
      <c r="H81" s="5">
        <f>MIN(F81,G81)</f>
        <v>5</v>
      </c>
      <c r="I81" s="5">
        <f>G81-H81</f>
        <v>0</v>
      </c>
      <c r="J81" s="5">
        <f>F81-H81</f>
        <v>15</v>
      </c>
      <c r="K81" s="5">
        <f>IF(I81&gt;0,1,0)</f>
        <v>0</v>
      </c>
      <c r="L81" s="5">
        <f>IF(J81&lt;PuntoReorden,1,0)</f>
        <v>0</v>
      </c>
      <c r="M81" s="9">
        <f>PrecioVenta*H81</f>
        <v>3400000</v>
      </c>
      <c r="N81" s="9">
        <f>CostoUnitario*E81</f>
        <v>9000000</v>
      </c>
      <c r="O81" s="9">
        <f>IF(E81&gt;0,CostoPedido,0)</f>
        <v>40000</v>
      </c>
      <c r="P81" s="9">
        <f>CostoAlm*(F81+J81)/2</f>
        <v>1400</v>
      </c>
      <c r="Q81" s="9">
        <f>CostoFijo*D81</f>
        <v>0</v>
      </c>
      <c r="R81" s="9">
        <f>M81-N81-O81-P81-Q81</f>
        <v>-5641400</v>
      </c>
      <c r="S81" s="21">
        <f>PuntoReorden</f>
        <v>7</v>
      </c>
      <c r="W81" s="7" t="n">
        <v>75</v>
      </c>
      <c r="X81" s="9" t="n">
        <v>101637360</v>
      </c>
      <c r="Y81" s="27" t="n">
        <v>0</v>
      </c>
      <c r="Z81" s="27" t="n">
        <v>0</v>
      </c>
      <c r="AA81" s="12" t="n">
        <v>15</v>
      </c>
    </row>
    <row r="82">
      <c r="A82" s="5">
        <f>A81+1</f>
        <v>77</v>
      </c>
      <c r="B82" s="20">
        <f>B81+IF(WEEKDAY(B81,2)=6,2,1)</f>
        <v>46112</v>
      </c>
      <c r="C82" s="5">
        <f>MONTH(B82)</f>
        <v>3</v>
      </c>
      <c r="D82" s="5">
        <f>IF(C82&lt;&gt;C81,1,0)</f>
        <v>0</v>
      </c>
      <c r="E82" s="5">
        <f>IF(L81=1,CantPedido,0)</f>
        <v>0</v>
      </c>
      <c r="F82" s="5">
        <f>J81+E82</f>
        <v>15</v>
      </c>
      <c r="G82" s="5">
        <f>VLOOKUP(RAND(),TablaEmpirica,2,TRUE)</f>
        <v>4</v>
      </c>
      <c r="H82" s="5">
        <f>MIN(F82,G82)</f>
        <v>4</v>
      </c>
      <c r="I82" s="5">
        <f>G82-H82</f>
        <v>0</v>
      </c>
      <c r="J82" s="5">
        <f>F82-H82</f>
        <v>11</v>
      </c>
      <c r="K82" s="5">
        <f>IF(I82&gt;0,1,0)</f>
        <v>0</v>
      </c>
      <c r="L82" s="5">
        <f>IF(J82&lt;PuntoReorden,1,0)</f>
        <v>0</v>
      </c>
      <c r="M82" s="9">
        <f>PrecioVenta*H82</f>
        <v>2720000</v>
      </c>
      <c r="N82" s="9">
        <f>CostoUnitario*E82</f>
        <v>0</v>
      </c>
      <c r="O82" s="9">
        <f>IF(E82&gt;0,CostoPedido,0)</f>
        <v>0</v>
      </c>
      <c r="P82" s="9">
        <f>CostoAlm*(F82+J82)/2</f>
        <v>1040</v>
      </c>
      <c r="Q82" s="9">
        <f>CostoFijo*D82</f>
        <v>0</v>
      </c>
      <c r="R82" s="9">
        <f>M82-N82-O82-P82-Q82</f>
        <v>2718960</v>
      </c>
      <c r="S82" s="21">
        <f>PuntoReorden</f>
        <v>7</v>
      </c>
      <c r="W82" s="7" t="n">
        <v>76</v>
      </c>
      <c r="X82" s="9" t="n">
        <v>105631120</v>
      </c>
      <c r="Y82" s="27" t="n">
        <v>0</v>
      </c>
      <c r="Z82" s="27" t="n">
        <v>0</v>
      </c>
      <c r="AA82" s="12" t="n">
        <v>4</v>
      </c>
    </row>
    <row r="83">
      <c r="A83" s="5">
        <f>A82+1</f>
        <v>78</v>
      </c>
      <c r="B83" s="20">
        <f>B82+IF(WEEKDAY(B82,2)=6,2,1)</f>
        <v>46113</v>
      </c>
      <c r="C83" s="5">
        <f>MONTH(B83)</f>
        <v>4</v>
      </c>
      <c r="D83" s="5">
        <f>IF(C83&lt;&gt;C82,1,0)</f>
        <v>1</v>
      </c>
      <c r="E83" s="5">
        <f>IF(L82=1,CantPedido,0)</f>
        <v>0</v>
      </c>
      <c r="F83" s="5">
        <f>J82+E83</f>
        <v>11</v>
      </c>
      <c r="G83" s="5">
        <f>VLOOKUP(RAND(),TablaEmpirica,2,TRUE)</f>
        <v>3</v>
      </c>
      <c r="H83" s="5">
        <f>MIN(F83,G83)</f>
        <v>3</v>
      </c>
      <c r="I83" s="5">
        <f>G83-H83</f>
        <v>0</v>
      </c>
      <c r="J83" s="5">
        <f>F83-H83</f>
        <v>8</v>
      </c>
      <c r="K83" s="5">
        <f>IF(I83&gt;0,1,0)</f>
        <v>0</v>
      </c>
      <c r="L83" s="5">
        <f>IF(J83&lt;PuntoReorden,1,0)</f>
        <v>0</v>
      </c>
      <c r="M83" s="9">
        <f>PrecioVenta*H83</f>
        <v>2040000</v>
      </c>
      <c r="N83" s="9">
        <f>CostoUnitario*E83</f>
        <v>0</v>
      </c>
      <c r="O83" s="9">
        <f>IF(E83&gt;0,CostoPedido,0)</f>
        <v>0</v>
      </c>
      <c r="P83" s="9">
        <f>CostoAlm*(F83+J83)/2</f>
        <v>760</v>
      </c>
      <c r="Q83" s="9">
        <f>CostoFijo*D83</f>
        <v>1000000</v>
      </c>
      <c r="R83" s="9">
        <f>M83-N83-O83-P83-Q83</f>
        <v>1039240</v>
      </c>
      <c r="S83" s="21">
        <f>PuntoReorden</f>
        <v>7</v>
      </c>
      <c r="W83" s="7" t="n">
        <v>77</v>
      </c>
      <c r="X83" s="9" t="n">
        <v>102911360</v>
      </c>
      <c r="Y83" s="27" t="n">
        <v>0</v>
      </c>
      <c r="Z83" s="27" t="n">
        <v>0</v>
      </c>
      <c r="AA83" s="12" t="n">
        <v>8</v>
      </c>
    </row>
    <row r="84">
      <c r="A84" s="5">
        <f>A83+1</f>
        <v>79</v>
      </c>
      <c r="B84" s="20">
        <f>B83+IF(WEEKDAY(B83,2)=6,2,1)</f>
        <v>46114</v>
      </c>
      <c r="C84" s="5">
        <f>MONTH(B84)</f>
        <v>4</v>
      </c>
      <c r="D84" s="5">
        <f>IF(C84&lt;&gt;C83,1,0)</f>
        <v>0</v>
      </c>
      <c r="E84" s="5">
        <f>IF(L83=1,CantPedido,0)</f>
        <v>0</v>
      </c>
      <c r="F84" s="5">
        <f>J83+E84</f>
        <v>8</v>
      </c>
      <c r="G84" s="5">
        <f>VLOOKUP(RAND(),TablaEmpirica,2,TRUE)</f>
        <v>4</v>
      </c>
      <c r="H84" s="5">
        <f>MIN(F84,G84)</f>
        <v>4</v>
      </c>
      <c r="I84" s="5">
        <f>G84-H84</f>
        <v>0</v>
      </c>
      <c r="J84" s="5">
        <f>F84-H84</f>
        <v>4</v>
      </c>
      <c r="K84" s="5">
        <f>IF(I84&gt;0,1,0)</f>
        <v>0</v>
      </c>
      <c r="L84" s="5">
        <f>IF(J84&lt;PuntoReorden,1,0)</f>
        <v>1</v>
      </c>
      <c r="M84" s="9">
        <f>PrecioVenta*H84</f>
        <v>2720000</v>
      </c>
      <c r="N84" s="9">
        <f>CostoUnitario*E84</f>
        <v>0</v>
      </c>
      <c r="O84" s="9">
        <f>IF(E84&gt;0,CostoPedido,0)</f>
        <v>0</v>
      </c>
      <c r="P84" s="9">
        <f>CostoAlm*(F84+J84)/2</f>
        <v>480</v>
      </c>
      <c r="Q84" s="9">
        <f>CostoFijo*D84</f>
        <v>0</v>
      </c>
      <c r="R84" s="9">
        <f>M84-N84-O84-P84-Q84</f>
        <v>2719520</v>
      </c>
      <c r="S84" s="21">
        <f>PuntoReorden</f>
        <v>7</v>
      </c>
      <c r="W84" s="7" t="n">
        <v>78</v>
      </c>
      <c r="X84" s="9" t="n">
        <v>102506400</v>
      </c>
      <c r="Y84" s="27" t="n">
        <v>0</v>
      </c>
      <c r="Z84" s="27" t="n">
        <v>0</v>
      </c>
      <c r="AA84" s="12" t="n">
        <v>12</v>
      </c>
    </row>
    <row r="85">
      <c r="A85" s="5">
        <f>A84+1</f>
        <v>80</v>
      </c>
      <c r="B85" s="20">
        <f>B84+IF(WEEKDAY(B84,2)=6,2,1)</f>
        <v>46115</v>
      </c>
      <c r="C85" s="5">
        <f>MONTH(B85)</f>
        <v>4</v>
      </c>
      <c r="D85" s="5">
        <f>IF(C85&lt;&gt;C84,1,0)</f>
        <v>0</v>
      </c>
      <c r="E85" s="5">
        <f>IF(L84=1,CantPedido,0)</f>
        <v>15</v>
      </c>
      <c r="F85" s="5">
        <f>J84+E85</f>
        <v>19</v>
      </c>
      <c r="G85" s="5">
        <f>VLOOKUP(RAND(),TablaEmpirica,2,TRUE)</f>
        <v>6</v>
      </c>
      <c r="H85" s="5">
        <f>MIN(F85,G85)</f>
        <v>6</v>
      </c>
      <c r="I85" s="5">
        <f>G85-H85</f>
        <v>0</v>
      </c>
      <c r="J85" s="5">
        <f>F85-H85</f>
        <v>13</v>
      </c>
      <c r="K85" s="5">
        <f>IF(I85&gt;0,1,0)</f>
        <v>0</v>
      </c>
      <c r="L85" s="5">
        <f>IF(J85&lt;PuntoReorden,1,0)</f>
        <v>0</v>
      </c>
      <c r="M85" s="9">
        <f>PrecioVenta*H85</f>
        <v>4080000</v>
      </c>
      <c r="N85" s="9">
        <f>CostoUnitario*E85</f>
        <v>9000000</v>
      </c>
      <c r="O85" s="9">
        <f>IF(E85&gt;0,CostoPedido,0)</f>
        <v>40000</v>
      </c>
      <c r="P85" s="9">
        <f>CostoAlm*(F85+J85)/2</f>
        <v>1280</v>
      </c>
      <c r="Q85" s="9">
        <f>CostoFijo*D85</f>
        <v>0</v>
      </c>
      <c r="R85" s="9">
        <f>M85-N85-O85-P85-Q85</f>
        <v>-4961280</v>
      </c>
      <c r="S85" s="21">
        <f>PuntoReorden</f>
        <v>7</v>
      </c>
      <c r="W85" s="7" t="n">
        <v>79</v>
      </c>
      <c r="X85" s="9" t="n">
        <v>104071560</v>
      </c>
      <c r="Y85" s="27" t="n">
        <v>0</v>
      </c>
      <c r="Z85" s="27" t="n">
        <v>0</v>
      </c>
      <c r="AA85" s="12" t="n">
        <v>8</v>
      </c>
    </row>
    <row r="86">
      <c r="A86" s="5">
        <f>A85+1</f>
        <v>81</v>
      </c>
      <c r="B86" s="20">
        <f>B85+IF(WEEKDAY(B85,2)=6,2,1)</f>
        <v>46116</v>
      </c>
      <c r="C86" s="5">
        <f>MONTH(B86)</f>
        <v>4</v>
      </c>
      <c r="D86" s="5">
        <f>IF(C86&lt;&gt;C85,1,0)</f>
        <v>0</v>
      </c>
      <c r="E86" s="5">
        <f>IF(L85=1,CantPedido,0)</f>
        <v>0</v>
      </c>
      <c r="F86" s="5">
        <f>J85+E86</f>
        <v>13</v>
      </c>
      <c r="G86" s="5">
        <f>VLOOKUP(RAND(),TablaEmpirica,2,TRUE)</f>
        <v>7</v>
      </c>
      <c r="H86" s="5">
        <f>MIN(F86,G86)</f>
        <v>7</v>
      </c>
      <c r="I86" s="5">
        <f>G86-H86</f>
        <v>0</v>
      </c>
      <c r="J86" s="5">
        <f>F86-H86</f>
        <v>6</v>
      </c>
      <c r="K86" s="5">
        <f>IF(I86&gt;0,1,0)</f>
        <v>0</v>
      </c>
      <c r="L86" s="5">
        <f>IF(J86&lt;PuntoReorden,1,0)</f>
        <v>1</v>
      </c>
      <c r="M86" s="9">
        <f>PrecioVenta*H86</f>
        <v>4760000</v>
      </c>
      <c r="N86" s="9">
        <f>CostoUnitario*E86</f>
        <v>0</v>
      </c>
      <c r="O86" s="9">
        <f>IF(E86&gt;0,CostoPedido,0)</f>
        <v>0</v>
      </c>
      <c r="P86" s="9">
        <f>CostoAlm*(F86+J86)/2</f>
        <v>760</v>
      </c>
      <c r="Q86" s="9">
        <f>CostoFijo*D86</f>
        <v>0</v>
      </c>
      <c r="R86" s="9">
        <f>M86-N86-O86-P86-Q86</f>
        <v>4759240</v>
      </c>
      <c r="S86" s="21">
        <f>PuntoReorden</f>
        <v>7</v>
      </c>
      <c r="W86" s="7" t="n">
        <v>80</v>
      </c>
      <c r="X86" s="9" t="n">
        <v>108636840</v>
      </c>
      <c r="Y86" s="27" t="n">
        <v>0</v>
      </c>
      <c r="Z86" s="27" t="n">
        <v>0</v>
      </c>
      <c r="AA86" s="12" t="n">
        <v>3</v>
      </c>
    </row>
    <row r="87">
      <c r="A87" s="5">
        <f>A86+1</f>
        <v>82</v>
      </c>
      <c r="B87" s="20">
        <f>B86+IF(WEEKDAY(B86,2)=6,2,1)</f>
        <v>46118</v>
      </c>
      <c r="C87" s="5">
        <f>MONTH(B87)</f>
        <v>4</v>
      </c>
      <c r="D87" s="5">
        <f>IF(C87&lt;&gt;C86,1,0)</f>
        <v>0</v>
      </c>
      <c r="E87" s="5">
        <f>IF(L86=1,CantPedido,0)</f>
        <v>15</v>
      </c>
      <c r="F87" s="5">
        <f>J86+E87</f>
        <v>21</v>
      </c>
      <c r="G87" s="5">
        <f>VLOOKUP(RAND(),TablaEmpirica,2,TRUE)</f>
        <v>5</v>
      </c>
      <c r="H87" s="5">
        <f>MIN(F87,G87)</f>
        <v>5</v>
      </c>
      <c r="I87" s="5">
        <f>G87-H87</f>
        <v>0</v>
      </c>
      <c r="J87" s="5">
        <f>F87-H87</f>
        <v>16</v>
      </c>
      <c r="K87" s="5">
        <f>IF(I87&gt;0,1,0)</f>
        <v>0</v>
      </c>
      <c r="L87" s="5">
        <f>IF(J87&lt;PuntoReorden,1,0)</f>
        <v>0</v>
      </c>
      <c r="M87" s="9">
        <f>PrecioVenta*H87</f>
        <v>3400000</v>
      </c>
      <c r="N87" s="9">
        <f>CostoUnitario*E87</f>
        <v>9000000</v>
      </c>
      <c r="O87" s="9">
        <f>IF(E87&gt;0,CostoPedido,0)</f>
        <v>40000</v>
      </c>
      <c r="P87" s="9">
        <f>CostoAlm*(F87+J87)/2</f>
        <v>1480</v>
      </c>
      <c r="Q87" s="9">
        <f>CostoFijo*D87</f>
        <v>0</v>
      </c>
      <c r="R87" s="9">
        <f>M87-N87-O87-P87-Q87</f>
        <v>-5641480</v>
      </c>
      <c r="S87" s="21">
        <f>PuntoReorden</f>
        <v>7</v>
      </c>
      <c r="W87" s="7" t="n">
        <v>81</v>
      </c>
      <c r="X87" s="9" t="n">
        <v>103995400</v>
      </c>
      <c r="Y87" s="27" t="n">
        <v>0</v>
      </c>
      <c r="Z87" s="27" t="n">
        <v>0</v>
      </c>
      <c r="AA87" s="12" t="n">
        <v>3</v>
      </c>
    </row>
    <row r="88">
      <c r="A88" s="5">
        <f>A87+1</f>
        <v>83</v>
      </c>
      <c r="B88" s="20">
        <f>B87+IF(WEEKDAY(B87,2)=6,2,1)</f>
        <v>46119</v>
      </c>
      <c r="C88" s="5">
        <f>MONTH(B88)</f>
        <v>4</v>
      </c>
      <c r="D88" s="5">
        <f>IF(C88&lt;&gt;C87,1,0)</f>
        <v>0</v>
      </c>
      <c r="E88" s="5">
        <f>IF(L87=1,CantPedido,0)</f>
        <v>0</v>
      </c>
      <c r="F88" s="5">
        <f>J87+E88</f>
        <v>16</v>
      </c>
      <c r="G88" s="5">
        <f>VLOOKUP(RAND(),TablaEmpirica,2,TRUE)</f>
        <v>5</v>
      </c>
      <c r="H88" s="5">
        <f>MIN(F88,G88)</f>
        <v>5</v>
      </c>
      <c r="I88" s="5">
        <f>G88-H88</f>
        <v>0</v>
      </c>
      <c r="J88" s="5">
        <f>F88-H88</f>
        <v>11</v>
      </c>
      <c r="K88" s="5">
        <f>IF(I88&gt;0,1,0)</f>
        <v>0</v>
      </c>
      <c r="L88" s="5">
        <f>IF(J88&lt;PuntoReorden,1,0)</f>
        <v>0</v>
      </c>
      <c r="M88" s="9">
        <f>PrecioVenta*H88</f>
        <v>3400000</v>
      </c>
      <c r="N88" s="9">
        <f>CostoUnitario*E88</f>
        <v>0</v>
      </c>
      <c r="O88" s="9">
        <f>IF(E88&gt;0,CostoPedido,0)</f>
        <v>0</v>
      </c>
      <c r="P88" s="9">
        <f>CostoAlm*(F88+J88)/2</f>
        <v>1080</v>
      </c>
      <c r="Q88" s="9">
        <f>CostoFijo*D88</f>
        <v>0</v>
      </c>
      <c r="R88" s="9">
        <f>M88-N88-O88-P88-Q88</f>
        <v>3398920</v>
      </c>
      <c r="S88" s="21">
        <f>PuntoReorden</f>
        <v>7</v>
      </c>
      <c r="W88" s="7" t="n">
        <v>82</v>
      </c>
      <c r="X88" s="9" t="n">
        <v>100870040</v>
      </c>
      <c r="Y88" s="27" t="n">
        <v>0</v>
      </c>
      <c r="Z88" s="27" t="n">
        <v>0</v>
      </c>
      <c r="AA88" s="12" t="n">
        <v>11</v>
      </c>
    </row>
    <row r="89">
      <c r="A89" s="5">
        <f>A88+1</f>
        <v>84</v>
      </c>
      <c r="B89" s="20">
        <f>B88+IF(WEEKDAY(B88,2)=6,2,1)</f>
        <v>46120</v>
      </c>
      <c r="C89" s="5">
        <f>MONTH(B89)</f>
        <v>4</v>
      </c>
      <c r="D89" s="5">
        <f>IF(C89&lt;&gt;C88,1,0)</f>
        <v>0</v>
      </c>
      <c r="E89" s="5">
        <f>IF(L88=1,CantPedido,0)</f>
        <v>0</v>
      </c>
      <c r="F89" s="5">
        <f>J88+E89</f>
        <v>11</v>
      </c>
      <c r="G89" s="5">
        <f>VLOOKUP(RAND(),TablaEmpirica,2,TRUE)</f>
        <v>5</v>
      </c>
      <c r="H89" s="5">
        <f>MIN(F89,G89)</f>
        <v>5</v>
      </c>
      <c r="I89" s="5">
        <f>G89-H89</f>
        <v>0</v>
      </c>
      <c r="J89" s="5">
        <f>F89-H89</f>
        <v>6</v>
      </c>
      <c r="K89" s="5">
        <f>IF(I89&gt;0,1,0)</f>
        <v>0</v>
      </c>
      <c r="L89" s="5">
        <f>IF(J89&lt;PuntoReorden,1,0)</f>
        <v>1</v>
      </c>
      <c r="M89" s="9">
        <f>PrecioVenta*H89</f>
        <v>3400000</v>
      </c>
      <c r="N89" s="9">
        <f>CostoUnitario*E89</f>
        <v>0</v>
      </c>
      <c r="O89" s="9">
        <f>IF(E89&gt;0,CostoPedido,0)</f>
        <v>0</v>
      </c>
      <c r="P89" s="9">
        <f>CostoAlm*(F89+J89)/2</f>
        <v>680</v>
      </c>
      <c r="Q89" s="9">
        <f>CostoFijo*D89</f>
        <v>0</v>
      </c>
      <c r="R89" s="9">
        <f>M89-N89-O89-P89-Q89</f>
        <v>3399320</v>
      </c>
      <c r="S89" s="21">
        <f>PuntoReorden</f>
        <v>7</v>
      </c>
      <c r="W89" s="7" t="n">
        <v>83</v>
      </c>
      <c r="X89" s="9" t="n">
        <v>109797200</v>
      </c>
      <c r="Y89" s="27" t="n">
        <v>0</v>
      </c>
      <c r="Z89" s="27" t="n">
        <v>0</v>
      </c>
      <c r="AA89" s="12" t="n">
        <v>3</v>
      </c>
    </row>
    <row r="90">
      <c r="A90" s="5">
        <f>A89+1</f>
        <v>85</v>
      </c>
      <c r="B90" s="20">
        <f>B89+IF(WEEKDAY(B89,2)=6,2,1)</f>
        <v>46121</v>
      </c>
      <c r="C90" s="5">
        <f>MONTH(B90)</f>
        <v>4</v>
      </c>
      <c r="D90" s="5">
        <f>IF(C90&lt;&gt;C89,1,0)</f>
        <v>0</v>
      </c>
      <c r="E90" s="5">
        <f>IF(L89=1,CantPedido,0)</f>
        <v>15</v>
      </c>
      <c r="F90" s="5">
        <f>J89+E90</f>
        <v>21</v>
      </c>
      <c r="G90" s="5">
        <f>VLOOKUP(RAND(),TablaEmpirica,2,TRUE)</f>
        <v>5</v>
      </c>
      <c r="H90" s="5">
        <f>MIN(F90,G90)</f>
        <v>5</v>
      </c>
      <c r="I90" s="5">
        <f>G90-H90</f>
        <v>0</v>
      </c>
      <c r="J90" s="5">
        <f>F90-H90</f>
        <v>16</v>
      </c>
      <c r="K90" s="5">
        <f>IF(I90&gt;0,1,0)</f>
        <v>0</v>
      </c>
      <c r="L90" s="5">
        <f>IF(J90&lt;PuntoReorden,1,0)</f>
        <v>0</v>
      </c>
      <c r="M90" s="9">
        <f>PrecioVenta*H90</f>
        <v>3400000</v>
      </c>
      <c r="N90" s="9">
        <f>CostoUnitario*E90</f>
        <v>9000000</v>
      </c>
      <c r="O90" s="9">
        <f>IF(E90&gt;0,CostoPedido,0)</f>
        <v>40000</v>
      </c>
      <c r="P90" s="9">
        <f>CostoAlm*(F90+J90)/2</f>
        <v>1480</v>
      </c>
      <c r="Q90" s="9">
        <f>CostoFijo*D90</f>
        <v>0</v>
      </c>
      <c r="R90" s="9">
        <f>M90-N90-O90-P90-Q90</f>
        <v>-5641480</v>
      </c>
      <c r="S90" s="21">
        <f>PuntoReorden</f>
        <v>7</v>
      </c>
      <c r="W90" s="7" t="n">
        <v>84</v>
      </c>
      <c r="X90" s="9" t="n">
        <v>105234240</v>
      </c>
      <c r="Y90" s="27" t="n">
        <v>0</v>
      </c>
      <c r="Z90" s="27" t="n">
        <v>0</v>
      </c>
      <c r="AA90" s="12" t="n">
        <v>8</v>
      </c>
    </row>
    <row r="91">
      <c r="A91" s="5">
        <f>A90+1</f>
        <v>86</v>
      </c>
      <c r="B91" s="20">
        <f>B90+IF(WEEKDAY(B90,2)=6,2,1)</f>
        <v>46122</v>
      </c>
      <c r="C91" s="5">
        <f>MONTH(B91)</f>
        <v>4</v>
      </c>
      <c r="D91" s="5">
        <f>IF(C91&lt;&gt;C90,1,0)</f>
        <v>0</v>
      </c>
      <c r="E91" s="5">
        <f>IF(L90=1,CantPedido,0)</f>
        <v>0</v>
      </c>
      <c r="F91" s="5">
        <f>J90+E91</f>
        <v>16</v>
      </c>
      <c r="G91" s="5">
        <f>VLOOKUP(RAND(),TablaEmpirica,2,TRUE)</f>
        <v>6</v>
      </c>
      <c r="H91" s="5">
        <f>MIN(F91,G91)</f>
        <v>6</v>
      </c>
      <c r="I91" s="5">
        <f>G91-H91</f>
        <v>0</v>
      </c>
      <c r="J91" s="5">
        <f>F91-H91</f>
        <v>10</v>
      </c>
      <c r="K91" s="5">
        <f>IF(I91&gt;0,1,0)</f>
        <v>0</v>
      </c>
      <c r="L91" s="5">
        <f>IF(J91&lt;PuntoReorden,1,0)</f>
        <v>0</v>
      </c>
      <c r="M91" s="9">
        <f>PrecioVenta*H91</f>
        <v>4080000</v>
      </c>
      <c r="N91" s="9">
        <f>CostoUnitario*E91</f>
        <v>0</v>
      </c>
      <c r="O91" s="9">
        <f>IF(E91&gt;0,CostoPedido,0)</f>
        <v>0</v>
      </c>
      <c r="P91" s="9">
        <f>CostoAlm*(F91+J91)/2</f>
        <v>1040</v>
      </c>
      <c r="Q91" s="9">
        <f>CostoFijo*D91</f>
        <v>0</v>
      </c>
      <c r="R91" s="9">
        <f>M91-N91-O91-P91-Q91</f>
        <v>4078960</v>
      </c>
      <c r="S91" s="21">
        <f>PuntoReorden</f>
        <v>7</v>
      </c>
      <c r="W91" s="7" t="n">
        <v>85</v>
      </c>
      <c r="X91" s="9" t="n">
        <v>105027960</v>
      </c>
      <c r="Y91" s="27" t="n">
        <v>0</v>
      </c>
      <c r="Z91" s="27" t="n">
        <v>0</v>
      </c>
      <c r="AA91" s="12" t="n">
        <v>10</v>
      </c>
    </row>
    <row r="92">
      <c r="A92" s="5">
        <f>A91+1</f>
        <v>87</v>
      </c>
      <c r="B92" s="20">
        <f>B91+IF(WEEKDAY(B91,2)=6,2,1)</f>
        <v>46123</v>
      </c>
      <c r="C92" s="5">
        <f>MONTH(B92)</f>
        <v>4</v>
      </c>
      <c r="D92" s="5">
        <f>IF(C92&lt;&gt;C91,1,0)</f>
        <v>0</v>
      </c>
      <c r="E92" s="5">
        <f>IF(L91=1,CantPedido,0)</f>
        <v>0</v>
      </c>
      <c r="F92" s="5">
        <f>J91+E92</f>
        <v>10</v>
      </c>
      <c r="G92" s="5">
        <f>VLOOKUP(RAND(),TablaEmpirica,2,TRUE)</f>
        <v>6</v>
      </c>
      <c r="H92" s="5">
        <f>MIN(F92,G92)</f>
        <v>6</v>
      </c>
      <c r="I92" s="5">
        <f>G92-H92</f>
        <v>0</v>
      </c>
      <c r="J92" s="5">
        <f>F92-H92</f>
        <v>4</v>
      </c>
      <c r="K92" s="5">
        <f>IF(I92&gt;0,1,0)</f>
        <v>0</v>
      </c>
      <c r="L92" s="5">
        <f>IF(J92&lt;PuntoReorden,1,0)</f>
        <v>1</v>
      </c>
      <c r="M92" s="9">
        <f>PrecioVenta*H92</f>
        <v>4080000</v>
      </c>
      <c r="N92" s="9">
        <f>CostoUnitario*E92</f>
        <v>0</v>
      </c>
      <c r="O92" s="9">
        <f>IF(E92&gt;0,CostoPedido,0)</f>
        <v>0</v>
      </c>
      <c r="P92" s="9">
        <f>CostoAlm*(F92+J92)/2</f>
        <v>560</v>
      </c>
      <c r="Q92" s="9">
        <f>CostoFijo*D92</f>
        <v>0</v>
      </c>
      <c r="R92" s="9">
        <f>M92-N92-O92-P92-Q92</f>
        <v>4079440</v>
      </c>
      <c r="S92" s="21">
        <f>PuntoReorden</f>
        <v>7</v>
      </c>
      <c r="W92" s="7" t="n">
        <v>86</v>
      </c>
      <c r="X92" s="9" t="n">
        <v>97671560</v>
      </c>
      <c r="Y92" s="27" t="n">
        <v>0</v>
      </c>
      <c r="Z92" s="27" t="n">
        <v>0</v>
      </c>
      <c r="AA92" s="12" t="n">
        <v>14</v>
      </c>
    </row>
    <row r="93">
      <c r="A93" s="5">
        <f>A92+1</f>
        <v>88</v>
      </c>
      <c r="B93" s="20">
        <f>B92+IF(WEEKDAY(B92,2)=6,2,1)</f>
        <v>46125</v>
      </c>
      <c r="C93" s="5">
        <f>MONTH(B93)</f>
        <v>4</v>
      </c>
      <c r="D93" s="5">
        <f>IF(C93&lt;&gt;C92,1,0)</f>
        <v>0</v>
      </c>
      <c r="E93" s="5">
        <f>IF(L92=1,CantPedido,0)</f>
        <v>15</v>
      </c>
      <c r="F93" s="5">
        <f>J92+E93</f>
        <v>19</v>
      </c>
      <c r="G93" s="5">
        <f>VLOOKUP(RAND(),TablaEmpirica,2,TRUE)</f>
        <v>5</v>
      </c>
      <c r="H93" s="5">
        <f>MIN(F93,G93)</f>
        <v>5</v>
      </c>
      <c r="I93" s="5">
        <f>G93-H93</f>
        <v>0</v>
      </c>
      <c r="J93" s="5">
        <f>F93-H93</f>
        <v>14</v>
      </c>
      <c r="K93" s="5">
        <f>IF(I93&gt;0,1,0)</f>
        <v>0</v>
      </c>
      <c r="L93" s="5">
        <f>IF(J93&lt;PuntoReorden,1,0)</f>
        <v>0</v>
      </c>
      <c r="M93" s="9">
        <f>PrecioVenta*H93</f>
        <v>3400000</v>
      </c>
      <c r="N93" s="9">
        <f>CostoUnitario*E93</f>
        <v>9000000</v>
      </c>
      <c r="O93" s="9">
        <f>IF(E93&gt;0,CostoPedido,0)</f>
        <v>40000</v>
      </c>
      <c r="P93" s="9">
        <f>CostoAlm*(F93+J93)/2</f>
        <v>1320</v>
      </c>
      <c r="Q93" s="9">
        <f>CostoFijo*D93</f>
        <v>0</v>
      </c>
      <c r="R93" s="9">
        <f>M93-N93-O93-P93-Q93</f>
        <v>-5641320</v>
      </c>
      <c r="S93" s="21">
        <f>PuntoReorden</f>
        <v>7</v>
      </c>
      <c r="W93" s="7" t="n">
        <v>87</v>
      </c>
      <c r="X93" s="9" t="n">
        <v>105437400</v>
      </c>
      <c r="Y93" s="27" t="n">
        <v>0</v>
      </c>
      <c r="Z93" s="27" t="n">
        <v>0</v>
      </c>
      <c r="AA93" s="12" t="n">
        <v>6</v>
      </c>
    </row>
    <row r="94">
      <c r="A94" s="5">
        <f>A93+1</f>
        <v>89</v>
      </c>
      <c r="B94" s="20">
        <f>B93+IF(WEEKDAY(B93,2)=6,2,1)</f>
        <v>46126</v>
      </c>
      <c r="C94" s="5">
        <f>MONTH(B94)</f>
        <v>4</v>
      </c>
      <c r="D94" s="5">
        <f>IF(C94&lt;&gt;C93,1,0)</f>
        <v>0</v>
      </c>
      <c r="E94" s="5">
        <f>IF(L93=1,CantPedido,0)</f>
        <v>0</v>
      </c>
      <c r="F94" s="5">
        <f>J93+E94</f>
        <v>14</v>
      </c>
      <c r="G94" s="5">
        <f>VLOOKUP(RAND(),TablaEmpirica,2,TRUE)</f>
        <v>7</v>
      </c>
      <c r="H94" s="5">
        <f>MIN(F94,G94)</f>
        <v>7</v>
      </c>
      <c r="I94" s="5">
        <f>G94-H94</f>
        <v>0</v>
      </c>
      <c r="J94" s="5">
        <f>F94-H94</f>
        <v>7</v>
      </c>
      <c r="K94" s="5">
        <f>IF(I94&gt;0,1,0)</f>
        <v>0</v>
      </c>
      <c r="L94" s="5">
        <f>IF(J94&lt;PuntoReorden,1,0)</f>
        <v>0</v>
      </c>
      <c r="M94" s="9">
        <f>PrecioVenta*H94</f>
        <v>4760000</v>
      </c>
      <c r="N94" s="9">
        <f>CostoUnitario*E94</f>
        <v>0</v>
      </c>
      <c r="O94" s="9">
        <f>IF(E94&gt;0,CostoPedido,0)</f>
        <v>0</v>
      </c>
      <c r="P94" s="9">
        <f>CostoAlm*(F94+J94)/2</f>
        <v>840</v>
      </c>
      <c r="Q94" s="9">
        <f>CostoFijo*D94</f>
        <v>0</v>
      </c>
      <c r="R94" s="9">
        <f>M94-N94-O94-P94-Q94</f>
        <v>4759160</v>
      </c>
      <c r="S94" s="21">
        <f>PuntoReorden</f>
        <v>7</v>
      </c>
      <c r="W94" s="7" t="n">
        <v>88</v>
      </c>
      <c r="X94" s="9" t="n">
        <v>102315560</v>
      </c>
      <c r="Y94" s="27" t="n">
        <v>0</v>
      </c>
      <c r="Z94" s="27" t="n">
        <v>0</v>
      </c>
      <c r="AA94" s="12" t="n">
        <v>14</v>
      </c>
    </row>
    <row r="95">
      <c r="A95" s="5">
        <f>A94+1</f>
        <v>90</v>
      </c>
      <c r="B95" s="20">
        <f>B94+IF(WEEKDAY(B94,2)=6,2,1)</f>
        <v>46127</v>
      </c>
      <c r="C95" s="5">
        <f>MONTH(B95)</f>
        <v>4</v>
      </c>
      <c r="D95" s="5">
        <f>IF(C95&lt;&gt;C94,1,0)</f>
        <v>0</v>
      </c>
      <c r="E95" s="5">
        <f>IF(L94=1,CantPedido,0)</f>
        <v>0</v>
      </c>
      <c r="F95" s="5">
        <f>J94+E95</f>
        <v>7</v>
      </c>
      <c r="G95" s="5">
        <f>VLOOKUP(RAND(),TablaEmpirica,2,TRUE)</f>
        <v>5</v>
      </c>
      <c r="H95" s="5">
        <f>MIN(F95,G95)</f>
        <v>5</v>
      </c>
      <c r="I95" s="5">
        <f>G95-H95</f>
        <v>0</v>
      </c>
      <c r="J95" s="5">
        <f>F95-H95</f>
        <v>2</v>
      </c>
      <c r="K95" s="5">
        <f>IF(I95&gt;0,1,0)</f>
        <v>0</v>
      </c>
      <c r="L95" s="5">
        <f>IF(J95&lt;PuntoReorden,1,0)</f>
        <v>1</v>
      </c>
      <c r="M95" s="9">
        <f>PrecioVenta*H95</f>
        <v>3400000</v>
      </c>
      <c r="N95" s="9">
        <f>CostoUnitario*E95</f>
        <v>0</v>
      </c>
      <c r="O95" s="9">
        <f>IF(E95&gt;0,CostoPedido,0)</f>
        <v>0</v>
      </c>
      <c r="P95" s="9">
        <f>CostoAlm*(F95+J95)/2</f>
        <v>360</v>
      </c>
      <c r="Q95" s="9">
        <f>CostoFijo*D95</f>
        <v>0</v>
      </c>
      <c r="R95" s="9">
        <f>M95-N95-O95-P95-Q95</f>
        <v>3399640</v>
      </c>
      <c r="S95" s="21">
        <f>PuntoReorden</f>
        <v>7</v>
      </c>
      <c r="W95" s="7" t="n">
        <v>89</v>
      </c>
      <c r="X95" s="9" t="n">
        <v>102224360</v>
      </c>
      <c r="Y95" s="27" t="n">
        <v>0</v>
      </c>
      <c r="Z95" s="27" t="n">
        <v>0</v>
      </c>
      <c r="AA95" s="12" t="n">
        <v>9</v>
      </c>
    </row>
    <row r="96">
      <c r="A96" s="5">
        <f>A95+1</f>
        <v>91</v>
      </c>
      <c r="B96" s="20">
        <f>B95+IF(WEEKDAY(B95,2)=6,2,1)</f>
        <v>46128</v>
      </c>
      <c r="C96" s="5">
        <f>MONTH(B96)</f>
        <v>4</v>
      </c>
      <c r="D96" s="5">
        <f>IF(C96&lt;&gt;C95,1,0)</f>
        <v>0</v>
      </c>
      <c r="E96" s="5">
        <f>IF(L95=1,CantPedido,0)</f>
        <v>15</v>
      </c>
      <c r="F96" s="5">
        <f>J95+E96</f>
        <v>17</v>
      </c>
      <c r="G96" s="5">
        <f>VLOOKUP(RAND(),TablaEmpirica,2,TRUE)</f>
        <v>4</v>
      </c>
      <c r="H96" s="5">
        <f>MIN(F96,G96)</f>
        <v>4</v>
      </c>
      <c r="I96" s="5">
        <f>G96-H96</f>
        <v>0</v>
      </c>
      <c r="J96" s="5">
        <f>F96-H96</f>
        <v>13</v>
      </c>
      <c r="K96" s="5">
        <f>IF(I96&gt;0,1,0)</f>
        <v>0</v>
      </c>
      <c r="L96" s="5">
        <f>IF(J96&lt;PuntoReorden,1,0)</f>
        <v>0</v>
      </c>
      <c r="M96" s="9">
        <f>PrecioVenta*H96</f>
        <v>2720000</v>
      </c>
      <c r="N96" s="9">
        <f>CostoUnitario*E96</f>
        <v>9000000</v>
      </c>
      <c r="O96" s="9">
        <f>IF(E96&gt;0,CostoPedido,0)</f>
        <v>40000</v>
      </c>
      <c r="P96" s="9">
        <f>CostoAlm*(F96+J96)/2</f>
        <v>1200</v>
      </c>
      <c r="Q96" s="9">
        <f>CostoFijo*D96</f>
        <v>0</v>
      </c>
      <c r="R96" s="9">
        <f>M96-N96-O96-P96-Q96</f>
        <v>-6321200</v>
      </c>
      <c r="S96" s="21">
        <f>PuntoReorden</f>
        <v>7</v>
      </c>
      <c r="W96" s="7" t="n">
        <v>90</v>
      </c>
      <c r="X96" s="9" t="n">
        <v>101962560</v>
      </c>
      <c r="Y96" s="27" t="n">
        <v>0</v>
      </c>
      <c r="Z96" s="27" t="n">
        <v>0</v>
      </c>
      <c r="AA96" s="12" t="n">
        <v>6</v>
      </c>
    </row>
    <row r="97">
      <c r="A97" s="5">
        <f>A96+1</f>
        <v>92</v>
      </c>
      <c r="B97" s="20">
        <f>B96+IF(WEEKDAY(B96,2)=6,2,1)</f>
        <v>46129</v>
      </c>
      <c r="C97" s="5">
        <f>MONTH(B97)</f>
        <v>4</v>
      </c>
      <c r="D97" s="5">
        <f>IF(C97&lt;&gt;C96,1,0)</f>
        <v>0</v>
      </c>
      <c r="E97" s="5">
        <f>IF(L96=1,CantPedido,0)</f>
        <v>0</v>
      </c>
      <c r="F97" s="5">
        <f>J96+E97</f>
        <v>13</v>
      </c>
      <c r="G97" s="5">
        <f>VLOOKUP(RAND(),TablaEmpirica,2,TRUE)</f>
        <v>3</v>
      </c>
      <c r="H97" s="5">
        <f>MIN(F97,G97)</f>
        <v>3</v>
      </c>
      <c r="I97" s="5">
        <f>G97-H97</f>
        <v>0</v>
      </c>
      <c r="J97" s="5">
        <f>F97-H97</f>
        <v>10</v>
      </c>
      <c r="K97" s="5">
        <f>IF(I97&gt;0,1,0)</f>
        <v>0</v>
      </c>
      <c r="L97" s="5">
        <f>IF(J97&lt;PuntoReorden,1,0)</f>
        <v>0</v>
      </c>
      <c r="M97" s="9">
        <f>PrecioVenta*H97</f>
        <v>2040000</v>
      </c>
      <c r="N97" s="9">
        <f>CostoUnitario*E97</f>
        <v>0</v>
      </c>
      <c r="O97" s="9">
        <f>IF(E97&gt;0,CostoPedido,0)</f>
        <v>0</v>
      </c>
      <c r="P97" s="9">
        <f>CostoAlm*(F97+J97)/2</f>
        <v>920</v>
      </c>
      <c r="Q97" s="9">
        <f>CostoFijo*D97</f>
        <v>0</v>
      </c>
      <c r="R97" s="9">
        <f>M97-N97-O97-P97-Q97</f>
        <v>2039080</v>
      </c>
      <c r="S97" s="21">
        <f>PuntoReorden</f>
        <v>7</v>
      </c>
      <c r="W97" s="7" t="n">
        <v>91</v>
      </c>
      <c r="X97" s="9" t="n">
        <v>104951800</v>
      </c>
      <c r="Y97" s="27" t="n">
        <v>0</v>
      </c>
      <c r="Z97" s="27" t="n">
        <v>0</v>
      </c>
      <c r="AA97" s="12" t="n">
        <v>5</v>
      </c>
    </row>
    <row r="98">
      <c r="A98" s="5">
        <f>A97+1</f>
        <v>93</v>
      </c>
      <c r="B98" s="20">
        <f>B97+IF(WEEKDAY(B97,2)=6,2,1)</f>
        <v>46130</v>
      </c>
      <c r="C98" s="5">
        <f>MONTH(B98)</f>
        <v>4</v>
      </c>
      <c r="D98" s="5">
        <f>IF(C98&lt;&gt;C97,1,0)</f>
        <v>0</v>
      </c>
      <c r="E98" s="5">
        <f>IF(L97=1,CantPedido,0)</f>
        <v>0</v>
      </c>
      <c r="F98" s="5">
        <f>J97+E98</f>
        <v>10</v>
      </c>
      <c r="G98" s="5">
        <f>VLOOKUP(RAND(),TablaEmpirica,2,TRUE)</f>
        <v>6</v>
      </c>
      <c r="H98" s="5">
        <f>MIN(F98,G98)</f>
        <v>6</v>
      </c>
      <c r="I98" s="5">
        <f>G98-H98</f>
        <v>0</v>
      </c>
      <c r="J98" s="5">
        <f>F98-H98</f>
        <v>4</v>
      </c>
      <c r="K98" s="5">
        <f>IF(I98&gt;0,1,0)</f>
        <v>0</v>
      </c>
      <c r="L98" s="5">
        <f>IF(J98&lt;PuntoReorden,1,0)</f>
        <v>1</v>
      </c>
      <c r="M98" s="9">
        <f>PrecioVenta*H98</f>
        <v>4080000</v>
      </c>
      <c r="N98" s="9">
        <f>CostoUnitario*E98</f>
        <v>0</v>
      </c>
      <c r="O98" s="9">
        <f>IF(E98&gt;0,CostoPedido,0)</f>
        <v>0</v>
      </c>
      <c r="P98" s="9">
        <f>CostoAlm*(F98+J98)/2</f>
        <v>560</v>
      </c>
      <c r="Q98" s="9">
        <f>CostoFijo*D98</f>
        <v>0</v>
      </c>
      <c r="R98" s="9">
        <f>M98-N98-O98-P98-Q98</f>
        <v>4079440</v>
      </c>
      <c r="S98" s="21">
        <f>PuntoReorden</f>
        <v>7</v>
      </c>
      <c r="W98" s="7" t="n">
        <v>92</v>
      </c>
      <c r="X98" s="9" t="n">
        <v>103676200</v>
      </c>
      <c r="Y98" s="27" t="n">
        <v>0</v>
      </c>
      <c r="Z98" s="27" t="n">
        <v>0</v>
      </c>
      <c r="AA98" s="12" t="n">
        <v>12</v>
      </c>
    </row>
    <row r="99">
      <c r="A99" s="5">
        <f>A98+1</f>
        <v>94</v>
      </c>
      <c r="B99" s="20">
        <f>B98+IF(WEEKDAY(B98,2)=6,2,1)</f>
        <v>46132</v>
      </c>
      <c r="C99" s="5">
        <f>MONTH(B99)</f>
        <v>4</v>
      </c>
      <c r="D99" s="5">
        <f>IF(C99&lt;&gt;C98,1,0)</f>
        <v>0</v>
      </c>
      <c r="E99" s="5">
        <f>IF(L98=1,CantPedido,0)</f>
        <v>15</v>
      </c>
      <c r="F99" s="5">
        <f>J98+E99</f>
        <v>19</v>
      </c>
      <c r="G99" s="5">
        <f>VLOOKUP(RAND(),TablaEmpirica,2,TRUE)</f>
        <v>3</v>
      </c>
      <c r="H99" s="5">
        <f>MIN(F99,G99)</f>
        <v>3</v>
      </c>
      <c r="I99" s="5">
        <f>G99-H99</f>
        <v>0</v>
      </c>
      <c r="J99" s="5">
        <f>F99-H99</f>
        <v>16</v>
      </c>
      <c r="K99" s="5">
        <f>IF(I99&gt;0,1,0)</f>
        <v>0</v>
      </c>
      <c r="L99" s="5">
        <f>IF(J99&lt;PuntoReorden,1,0)</f>
        <v>0</v>
      </c>
      <c r="M99" s="9">
        <f>PrecioVenta*H99</f>
        <v>2040000</v>
      </c>
      <c r="N99" s="9">
        <f>CostoUnitario*E99</f>
        <v>9000000</v>
      </c>
      <c r="O99" s="9">
        <f>IF(E99&gt;0,CostoPedido,0)</f>
        <v>40000</v>
      </c>
      <c r="P99" s="9">
        <f>CostoAlm*(F99+J99)/2</f>
        <v>1400</v>
      </c>
      <c r="Q99" s="9">
        <f>CostoFijo*D99</f>
        <v>0</v>
      </c>
      <c r="R99" s="9">
        <f>M99-N99-O99-P99-Q99</f>
        <v>-7001400</v>
      </c>
      <c r="S99" s="21">
        <f>PuntoReorden</f>
        <v>7</v>
      </c>
      <c r="W99" s="7" t="n">
        <v>93</v>
      </c>
      <c r="X99" s="9" t="n">
        <v>99591400</v>
      </c>
      <c r="Y99" s="27" t="n">
        <v>0</v>
      </c>
      <c r="Z99" s="27" t="n">
        <v>0</v>
      </c>
      <c r="AA99" s="12" t="n">
        <v>18</v>
      </c>
    </row>
    <row r="100">
      <c r="A100" s="5">
        <f>A99+1</f>
        <v>95</v>
      </c>
      <c r="B100" s="20">
        <f>B99+IF(WEEKDAY(B99,2)=6,2,1)</f>
        <v>46133</v>
      </c>
      <c r="C100" s="5">
        <f>MONTH(B100)</f>
        <v>4</v>
      </c>
      <c r="D100" s="5">
        <f>IF(C100&lt;&gt;C99,1,0)</f>
        <v>0</v>
      </c>
      <c r="E100" s="5">
        <f>IF(L99=1,CantPedido,0)</f>
        <v>0</v>
      </c>
      <c r="F100" s="5">
        <f>J99+E100</f>
        <v>16</v>
      </c>
      <c r="G100" s="5">
        <f>VLOOKUP(RAND(),TablaEmpirica,2,TRUE)</f>
        <v>5</v>
      </c>
      <c r="H100" s="5">
        <f>MIN(F100,G100)</f>
        <v>5</v>
      </c>
      <c r="I100" s="5">
        <f>G100-H100</f>
        <v>0</v>
      </c>
      <c r="J100" s="5">
        <f>F100-H100</f>
        <v>11</v>
      </c>
      <c r="K100" s="5">
        <f>IF(I100&gt;0,1,0)</f>
        <v>0</v>
      </c>
      <c r="L100" s="5">
        <f>IF(J100&lt;PuntoReorden,1,0)</f>
        <v>0</v>
      </c>
      <c r="M100" s="9">
        <f>PrecioVenta*H100</f>
        <v>3400000</v>
      </c>
      <c r="N100" s="9">
        <f>CostoUnitario*E100</f>
        <v>0</v>
      </c>
      <c r="O100" s="9">
        <f>IF(E100&gt;0,CostoPedido,0)</f>
        <v>0</v>
      </c>
      <c r="P100" s="9">
        <f>CostoAlm*(F100+J100)/2</f>
        <v>1080</v>
      </c>
      <c r="Q100" s="9">
        <f>CostoFijo*D100</f>
        <v>0</v>
      </c>
      <c r="R100" s="9">
        <f>M100-N100-O100-P100-Q100</f>
        <v>3398920</v>
      </c>
      <c r="S100" s="21">
        <f>PuntoReorden</f>
        <v>7</v>
      </c>
      <c r="W100" s="7" t="n">
        <v>94</v>
      </c>
      <c r="X100" s="9" t="n">
        <v>99987320</v>
      </c>
      <c r="Y100" s="27" t="n">
        <v>0</v>
      </c>
      <c r="Z100" s="27" t="n">
        <v>0</v>
      </c>
      <c r="AA100" s="12" t="n">
        <v>14</v>
      </c>
    </row>
    <row r="101">
      <c r="A101" s="5">
        <f>A100+1</f>
        <v>96</v>
      </c>
      <c r="B101" s="20">
        <f>B100+IF(WEEKDAY(B100,2)=6,2,1)</f>
        <v>46134</v>
      </c>
      <c r="C101" s="5">
        <f>MONTH(B101)</f>
        <v>4</v>
      </c>
      <c r="D101" s="5">
        <f>IF(C101&lt;&gt;C100,1,0)</f>
        <v>0</v>
      </c>
      <c r="E101" s="5">
        <f>IF(L100=1,CantPedido,0)</f>
        <v>0</v>
      </c>
      <c r="F101" s="5">
        <f>J100+E101</f>
        <v>11</v>
      </c>
      <c r="G101" s="5">
        <f>VLOOKUP(RAND(),TablaEmpirica,2,TRUE)</f>
        <v>5</v>
      </c>
      <c r="H101" s="5">
        <f>MIN(F101,G101)</f>
        <v>5</v>
      </c>
      <c r="I101" s="5">
        <f>G101-H101</f>
        <v>0</v>
      </c>
      <c r="J101" s="5">
        <f>F101-H101</f>
        <v>6</v>
      </c>
      <c r="K101" s="5">
        <f>IF(I101&gt;0,1,0)</f>
        <v>0</v>
      </c>
      <c r="L101" s="5">
        <f>IF(J101&lt;PuntoReorden,1,0)</f>
        <v>1</v>
      </c>
      <c r="M101" s="9">
        <f>PrecioVenta*H101</f>
        <v>3400000</v>
      </c>
      <c r="N101" s="9">
        <f>CostoUnitario*E101</f>
        <v>0</v>
      </c>
      <c r="O101" s="9">
        <f>IF(E101&gt;0,CostoPedido,0)</f>
        <v>0</v>
      </c>
      <c r="P101" s="9">
        <f>CostoAlm*(F101+J101)/2</f>
        <v>680</v>
      </c>
      <c r="Q101" s="9">
        <f>CostoFijo*D101</f>
        <v>0</v>
      </c>
      <c r="R101" s="9">
        <f>M101-N101-O101-P101-Q101</f>
        <v>3399320</v>
      </c>
      <c r="S101" s="21">
        <f>PuntoReorden</f>
        <v>7</v>
      </c>
      <c r="W101" s="7" t="n">
        <v>95</v>
      </c>
      <c r="X101" s="9" t="n">
        <v>104268560</v>
      </c>
      <c r="Y101" s="27" t="n">
        <v>0</v>
      </c>
      <c r="Z101" s="27" t="n">
        <v>0</v>
      </c>
      <c r="AA101" s="12" t="n">
        <v>6</v>
      </c>
    </row>
    <row r="102">
      <c r="A102" s="5">
        <f>A101+1</f>
        <v>97</v>
      </c>
      <c r="B102" s="20">
        <f>B101+IF(WEEKDAY(B101,2)=6,2,1)</f>
        <v>46135</v>
      </c>
      <c r="C102" s="5">
        <f>MONTH(B102)</f>
        <v>4</v>
      </c>
      <c r="D102" s="5">
        <f>IF(C102&lt;&gt;C101,1,0)</f>
        <v>0</v>
      </c>
      <c r="E102" s="5">
        <f>IF(L101=1,CantPedido,0)</f>
        <v>15</v>
      </c>
      <c r="F102" s="5">
        <f>J101+E102</f>
        <v>21</v>
      </c>
      <c r="G102" s="5">
        <f>VLOOKUP(RAND(),TablaEmpirica,2,TRUE)</f>
        <v>6</v>
      </c>
      <c r="H102" s="5">
        <f>MIN(F102,G102)</f>
        <v>6</v>
      </c>
      <c r="I102" s="5">
        <f>G102-H102</f>
        <v>0</v>
      </c>
      <c r="J102" s="5">
        <f>F102-H102</f>
        <v>15</v>
      </c>
      <c r="K102" s="5">
        <f>IF(I102&gt;0,1,0)</f>
        <v>0</v>
      </c>
      <c r="L102" s="5">
        <f>IF(J102&lt;PuntoReorden,1,0)</f>
        <v>0</v>
      </c>
      <c r="M102" s="9">
        <f>PrecioVenta*H102</f>
        <v>4080000</v>
      </c>
      <c r="N102" s="9">
        <f>CostoUnitario*E102</f>
        <v>9000000</v>
      </c>
      <c r="O102" s="9">
        <f>IF(E102&gt;0,CostoPedido,0)</f>
        <v>40000</v>
      </c>
      <c r="P102" s="9">
        <f>CostoAlm*(F102+J102)/2</f>
        <v>1440</v>
      </c>
      <c r="Q102" s="9">
        <f>CostoFijo*D102</f>
        <v>0</v>
      </c>
      <c r="R102" s="9">
        <f>M102-N102-O102-P102-Q102</f>
        <v>-4961440</v>
      </c>
      <c r="S102" s="21">
        <f>PuntoReorden</f>
        <v>7</v>
      </c>
      <c r="W102" s="7" t="n">
        <v>96</v>
      </c>
      <c r="X102" s="9" t="n">
        <v>108148360</v>
      </c>
      <c r="Y102" s="27" t="n">
        <v>0</v>
      </c>
      <c r="Z102" s="27" t="n">
        <v>0</v>
      </c>
      <c r="AA102" s="12" t="n">
        <v>2</v>
      </c>
    </row>
    <row r="103">
      <c r="A103" s="5">
        <f>A102+1</f>
        <v>98</v>
      </c>
      <c r="B103" s="20">
        <f>B102+IF(WEEKDAY(B102,2)=6,2,1)</f>
        <v>46136</v>
      </c>
      <c r="C103" s="5">
        <f>MONTH(B103)</f>
        <v>4</v>
      </c>
      <c r="D103" s="5">
        <f>IF(C103&lt;&gt;C102,1,0)</f>
        <v>0</v>
      </c>
      <c r="E103" s="5">
        <f>IF(L102=1,CantPedido,0)</f>
        <v>0</v>
      </c>
      <c r="F103" s="5">
        <f>J102+E103</f>
        <v>15</v>
      </c>
      <c r="G103" s="5">
        <f>VLOOKUP(RAND(),TablaEmpirica,2,TRUE)</f>
        <v>6</v>
      </c>
      <c r="H103" s="5">
        <f>MIN(F103,G103)</f>
        <v>6</v>
      </c>
      <c r="I103" s="5">
        <f>G103-H103</f>
        <v>0</v>
      </c>
      <c r="J103" s="5">
        <f>F103-H103</f>
        <v>9</v>
      </c>
      <c r="K103" s="5">
        <f>IF(I103&gt;0,1,0)</f>
        <v>0</v>
      </c>
      <c r="L103" s="5">
        <f>IF(J103&lt;PuntoReorden,1,0)</f>
        <v>0</v>
      </c>
      <c r="M103" s="9">
        <f>PrecioVenta*H103</f>
        <v>4080000</v>
      </c>
      <c r="N103" s="9">
        <f>CostoUnitario*E103</f>
        <v>0</v>
      </c>
      <c r="O103" s="9">
        <f>IF(E103&gt;0,CostoPedido,0)</f>
        <v>0</v>
      </c>
      <c r="P103" s="9">
        <f>CostoAlm*(F103+J103)/2</f>
        <v>960</v>
      </c>
      <c r="Q103" s="9">
        <f>CostoFijo*D103</f>
        <v>0</v>
      </c>
      <c r="R103" s="9">
        <f>M103-N103-O103-P103-Q103</f>
        <v>4079040</v>
      </c>
      <c r="S103" s="21">
        <f>PuntoReorden</f>
        <v>7</v>
      </c>
      <c r="W103" s="7" t="n">
        <v>97</v>
      </c>
      <c r="X103" s="9" t="n">
        <v>106991600</v>
      </c>
      <c r="Y103" s="27" t="n">
        <v>0</v>
      </c>
      <c r="Z103" s="27" t="n">
        <v>0</v>
      </c>
      <c r="AA103" s="12" t="n">
        <v>2</v>
      </c>
    </row>
    <row r="104">
      <c r="A104" s="5">
        <f>A103+1</f>
        <v>99</v>
      </c>
      <c r="B104" s="20">
        <f>B103+IF(WEEKDAY(B103,2)=6,2,1)</f>
        <v>46137</v>
      </c>
      <c r="C104" s="5">
        <f>MONTH(B104)</f>
        <v>4</v>
      </c>
      <c r="D104" s="5">
        <f>IF(C104&lt;&gt;C103,1,0)</f>
        <v>0</v>
      </c>
      <c r="E104" s="5">
        <f>IF(L103=1,CantPedido,0)</f>
        <v>0</v>
      </c>
      <c r="F104" s="5">
        <f>J103+E104</f>
        <v>9</v>
      </c>
      <c r="G104" s="5">
        <f>VLOOKUP(RAND(),TablaEmpirica,2,TRUE)</f>
        <v>7</v>
      </c>
      <c r="H104" s="5">
        <f>MIN(F104,G104)</f>
        <v>7</v>
      </c>
      <c r="I104" s="5">
        <f>G104-H104</f>
        <v>0</v>
      </c>
      <c r="J104" s="5">
        <f>F104-H104</f>
        <v>2</v>
      </c>
      <c r="K104" s="5">
        <f>IF(I104&gt;0,1,0)</f>
        <v>0</v>
      </c>
      <c r="L104" s="5">
        <f>IF(J104&lt;PuntoReorden,1,0)</f>
        <v>1</v>
      </c>
      <c r="M104" s="9">
        <f>PrecioVenta*H104</f>
        <v>4760000</v>
      </c>
      <c r="N104" s="9">
        <f>CostoUnitario*E104</f>
        <v>0</v>
      </c>
      <c r="O104" s="9">
        <f>IF(E104&gt;0,CostoPedido,0)</f>
        <v>0</v>
      </c>
      <c r="P104" s="9">
        <f>CostoAlm*(F104+J104)/2</f>
        <v>440</v>
      </c>
      <c r="Q104" s="9">
        <f>CostoFijo*D104</f>
        <v>0</v>
      </c>
      <c r="R104" s="9">
        <f>M104-N104-O104-P104-Q104</f>
        <v>4759560</v>
      </c>
      <c r="S104" s="21">
        <f>PuntoReorden</f>
        <v>7</v>
      </c>
      <c r="W104" s="7" t="n">
        <v>98</v>
      </c>
      <c r="X104" s="9" t="n">
        <v>99986040</v>
      </c>
      <c r="Y104" s="27" t="n">
        <v>0</v>
      </c>
      <c r="Z104" s="27" t="n">
        <v>0</v>
      </c>
      <c r="AA104" s="12" t="n">
        <v>14</v>
      </c>
    </row>
    <row r="105">
      <c r="A105" s="5">
        <f>A104+1</f>
        <v>100</v>
      </c>
      <c r="B105" s="20">
        <f>B104+IF(WEEKDAY(B104,2)=6,2,1)</f>
        <v>46139</v>
      </c>
      <c r="C105" s="5">
        <f>MONTH(B105)</f>
        <v>4</v>
      </c>
      <c r="D105" s="5">
        <f>IF(C105&lt;&gt;C104,1,0)</f>
        <v>0</v>
      </c>
      <c r="E105" s="5">
        <f>IF(L104=1,CantPedido,0)</f>
        <v>15</v>
      </c>
      <c r="F105" s="5">
        <f>J104+E105</f>
        <v>17</v>
      </c>
      <c r="G105" s="5">
        <f>VLOOKUP(RAND(),TablaEmpirica,2,TRUE)</f>
        <v>5</v>
      </c>
      <c r="H105" s="5">
        <f>MIN(F105,G105)</f>
        <v>5</v>
      </c>
      <c r="I105" s="5">
        <f>G105-H105</f>
        <v>0</v>
      </c>
      <c r="J105" s="5">
        <f>F105-H105</f>
        <v>12</v>
      </c>
      <c r="K105" s="5">
        <f>IF(I105&gt;0,1,0)</f>
        <v>0</v>
      </c>
      <c r="L105" s="5">
        <f>IF(J105&lt;PuntoReorden,1,0)</f>
        <v>0</v>
      </c>
      <c r="M105" s="9">
        <f>PrecioVenta*H105</f>
        <v>3400000</v>
      </c>
      <c r="N105" s="9">
        <f>CostoUnitario*E105</f>
        <v>9000000</v>
      </c>
      <c r="O105" s="9">
        <f>IF(E105&gt;0,CostoPedido,0)</f>
        <v>40000</v>
      </c>
      <c r="P105" s="9">
        <f>CostoAlm*(F105+J105)/2</f>
        <v>1160</v>
      </c>
      <c r="Q105" s="9">
        <f>CostoFijo*D105</f>
        <v>0</v>
      </c>
      <c r="R105" s="9">
        <f>M105-N105-O105-P105-Q105</f>
        <v>-5641160</v>
      </c>
      <c r="S105" s="21">
        <f>PuntoReorden</f>
        <v>7</v>
      </c>
      <c r="W105" s="7" t="n">
        <v>99</v>
      </c>
      <c r="X105" s="9" t="n">
        <v>101147920</v>
      </c>
      <c r="Y105" s="27" t="n">
        <v>0</v>
      </c>
      <c r="Z105" s="27" t="n">
        <v>0</v>
      </c>
      <c r="AA105" s="12" t="n">
        <v>14</v>
      </c>
    </row>
    <row r="106">
      <c r="A106" s="5">
        <f>A105+1</f>
        <v>101</v>
      </c>
      <c r="B106" s="20">
        <f>B105+IF(WEEKDAY(B105,2)=6,2,1)</f>
        <v>46140</v>
      </c>
      <c r="C106" s="5">
        <f>MONTH(B106)</f>
        <v>4</v>
      </c>
      <c r="D106" s="5">
        <f>IF(C106&lt;&gt;C105,1,0)</f>
        <v>0</v>
      </c>
      <c r="E106" s="5">
        <f>IF(L105=1,CantPedido,0)</f>
        <v>0</v>
      </c>
      <c r="F106" s="5">
        <f>J105+E106</f>
        <v>12</v>
      </c>
      <c r="G106" s="5">
        <f>VLOOKUP(RAND(),TablaEmpirica,2,TRUE)</f>
        <v>6</v>
      </c>
      <c r="H106" s="5">
        <f>MIN(F106,G106)</f>
        <v>6</v>
      </c>
      <c r="I106" s="5">
        <f>G106-H106</f>
        <v>0</v>
      </c>
      <c r="J106" s="5">
        <f>F106-H106</f>
        <v>6</v>
      </c>
      <c r="K106" s="5">
        <f>IF(I106&gt;0,1,0)</f>
        <v>0</v>
      </c>
      <c r="L106" s="5">
        <f>IF(J106&lt;PuntoReorden,1,0)</f>
        <v>1</v>
      </c>
      <c r="M106" s="9">
        <f>PrecioVenta*H106</f>
        <v>4080000</v>
      </c>
      <c r="N106" s="9">
        <f>CostoUnitario*E106</f>
        <v>0</v>
      </c>
      <c r="O106" s="9">
        <f>IF(E106&gt;0,CostoPedido,0)</f>
        <v>0</v>
      </c>
      <c r="P106" s="9">
        <f>CostoAlm*(F106+J106)/2</f>
        <v>720</v>
      </c>
      <c r="Q106" s="9">
        <f>CostoFijo*D106</f>
        <v>0</v>
      </c>
      <c r="R106" s="9">
        <f>M106-N106-O106-P106-Q106</f>
        <v>4079280</v>
      </c>
      <c r="S106" s="21">
        <f>PuntoReorden</f>
        <v>7</v>
      </c>
      <c r="W106" s="7" t="n">
        <v>100</v>
      </c>
      <c r="X106" s="9" t="n">
        <v>105633040</v>
      </c>
      <c r="Y106" s="27" t="n">
        <v>0</v>
      </c>
      <c r="Z106" s="27" t="n">
        <v>0</v>
      </c>
      <c r="AA106" s="12" t="n">
        <v>4</v>
      </c>
    </row>
    <row r="107">
      <c r="A107" s="5">
        <f>A106+1</f>
        <v>102</v>
      </c>
      <c r="B107" s="20">
        <f>B106+IF(WEEKDAY(B106,2)=6,2,1)</f>
        <v>46141</v>
      </c>
      <c r="C107" s="5">
        <f>MONTH(B107)</f>
        <v>4</v>
      </c>
      <c r="D107" s="5">
        <f>IF(C107&lt;&gt;C106,1,0)</f>
        <v>0</v>
      </c>
      <c r="E107" s="5">
        <f>IF(L106=1,CantPedido,0)</f>
        <v>15</v>
      </c>
      <c r="F107" s="5">
        <f>J106+E107</f>
        <v>21</v>
      </c>
      <c r="G107" s="5">
        <f>VLOOKUP(RAND(),TablaEmpirica,2,TRUE)</f>
        <v>7</v>
      </c>
      <c r="H107" s="5">
        <f>MIN(F107,G107)</f>
        <v>7</v>
      </c>
      <c r="I107" s="5">
        <f>G107-H107</f>
        <v>0</v>
      </c>
      <c r="J107" s="5">
        <f>F107-H107</f>
        <v>14</v>
      </c>
      <c r="K107" s="5">
        <f>IF(I107&gt;0,1,0)</f>
        <v>0</v>
      </c>
      <c r="L107" s="5">
        <f>IF(J107&lt;PuntoReorden,1,0)</f>
        <v>0</v>
      </c>
      <c r="M107" s="9">
        <f>PrecioVenta*H107</f>
        <v>4760000</v>
      </c>
      <c r="N107" s="9">
        <f>CostoUnitario*E107</f>
        <v>9000000</v>
      </c>
      <c r="O107" s="9">
        <f>IF(E107&gt;0,CostoPedido,0)</f>
        <v>40000</v>
      </c>
      <c r="P107" s="9">
        <f>CostoAlm*(F107+J107)/2</f>
        <v>1400</v>
      </c>
      <c r="Q107" s="9">
        <f>CostoFijo*D107</f>
        <v>0</v>
      </c>
      <c r="R107" s="9">
        <f>M107-N107-O107-P107-Q107</f>
        <v>-4281400</v>
      </c>
      <c r="S107" s="21">
        <f>PuntoReorden</f>
        <v>7</v>
      </c>
    </row>
    <row r="108">
      <c r="A108" s="5">
        <f>A107+1</f>
        <v>103</v>
      </c>
      <c r="B108" s="20">
        <f>B107+IF(WEEKDAY(B107,2)=6,2,1)</f>
        <v>46142</v>
      </c>
      <c r="C108" s="5">
        <f>MONTH(B108)</f>
        <v>4</v>
      </c>
      <c r="D108" s="5">
        <f>IF(C108&lt;&gt;C107,1,0)</f>
        <v>0</v>
      </c>
      <c r="E108" s="5">
        <f>IF(L107=1,CantPedido,0)</f>
        <v>0</v>
      </c>
      <c r="F108" s="5">
        <f>J107+E108</f>
        <v>14</v>
      </c>
      <c r="G108" s="5">
        <f>VLOOKUP(RAND(),TablaEmpirica,2,TRUE)</f>
        <v>4</v>
      </c>
      <c r="H108" s="5">
        <f>MIN(F108,G108)</f>
        <v>4</v>
      </c>
      <c r="I108" s="5">
        <f>G108-H108</f>
        <v>0</v>
      </c>
      <c r="J108" s="5">
        <f>F108-H108</f>
        <v>10</v>
      </c>
      <c r="K108" s="5">
        <f>IF(I108&gt;0,1,0)</f>
        <v>0</v>
      </c>
      <c r="L108" s="5">
        <f>IF(J108&lt;PuntoReorden,1,0)</f>
        <v>0</v>
      </c>
      <c r="M108" s="9">
        <f>PrecioVenta*H108</f>
        <v>2720000</v>
      </c>
      <c r="N108" s="9">
        <f>CostoUnitario*E108</f>
        <v>0</v>
      </c>
      <c r="O108" s="9">
        <f>IF(E108&gt;0,CostoPedido,0)</f>
        <v>0</v>
      </c>
      <c r="P108" s="9">
        <f>CostoAlm*(F108+J108)/2</f>
        <v>960</v>
      </c>
      <c r="Q108" s="9">
        <f>CostoFijo*D108</f>
        <v>0</v>
      </c>
      <c r="R108" s="9">
        <f>M108-N108-O108-P108-Q108</f>
        <v>2719040</v>
      </c>
      <c r="S108" s="21">
        <f>PuntoReorden</f>
        <v>7</v>
      </c>
    </row>
    <row r="109">
      <c r="A109" s="5">
        <f>A108+1</f>
        <v>104</v>
      </c>
      <c r="B109" s="20">
        <f>B108+IF(WEEKDAY(B108,2)=6,2,1)</f>
        <v>46143</v>
      </c>
      <c r="C109" s="5">
        <f>MONTH(B109)</f>
        <v>5</v>
      </c>
      <c r="D109" s="5">
        <f>IF(C109&lt;&gt;C108,1,0)</f>
        <v>1</v>
      </c>
      <c r="E109" s="5">
        <f>IF(L108=1,CantPedido,0)</f>
        <v>0</v>
      </c>
      <c r="F109" s="5">
        <f>J108+E109</f>
        <v>10</v>
      </c>
      <c r="G109" s="5">
        <f>VLOOKUP(RAND(),TablaEmpirica,2,TRUE)</f>
        <v>4</v>
      </c>
      <c r="H109" s="5">
        <f>MIN(F109,G109)</f>
        <v>4</v>
      </c>
      <c r="I109" s="5">
        <f>G109-H109</f>
        <v>0</v>
      </c>
      <c r="J109" s="5">
        <f>F109-H109</f>
        <v>6</v>
      </c>
      <c r="K109" s="5">
        <f>IF(I109&gt;0,1,0)</f>
        <v>0</v>
      </c>
      <c r="L109" s="5">
        <f>IF(J109&lt;PuntoReorden,1,0)</f>
        <v>1</v>
      </c>
      <c r="M109" s="9">
        <f>PrecioVenta*H109</f>
        <v>2720000</v>
      </c>
      <c r="N109" s="9">
        <f>CostoUnitario*E109</f>
        <v>0</v>
      </c>
      <c r="O109" s="9">
        <f>IF(E109&gt;0,CostoPedido,0)</f>
        <v>0</v>
      </c>
      <c r="P109" s="9">
        <f>CostoAlm*(F109+J109)/2</f>
        <v>640</v>
      </c>
      <c r="Q109" s="9">
        <f>CostoFijo*D109</f>
        <v>1000000</v>
      </c>
      <c r="R109" s="9">
        <f>M109-N109-O109-P109-Q109</f>
        <v>1719360</v>
      </c>
      <c r="S109" s="21">
        <f>PuntoReorden</f>
        <v>7</v>
      </c>
    </row>
    <row r="110">
      <c r="A110" s="5">
        <f>A109+1</f>
        <v>105</v>
      </c>
      <c r="B110" s="20">
        <f>B109+IF(WEEKDAY(B109,2)=6,2,1)</f>
        <v>46144</v>
      </c>
      <c r="C110" s="5">
        <f>MONTH(B110)</f>
        <v>5</v>
      </c>
      <c r="D110" s="5">
        <f>IF(C110&lt;&gt;C109,1,0)</f>
        <v>0</v>
      </c>
      <c r="E110" s="5">
        <f>IF(L109=1,CantPedido,0)</f>
        <v>15</v>
      </c>
      <c r="F110" s="5">
        <f>J109+E110</f>
        <v>21</v>
      </c>
      <c r="G110" s="5">
        <f>VLOOKUP(RAND(),TablaEmpirica,2,TRUE)</f>
        <v>5</v>
      </c>
      <c r="H110" s="5">
        <f>MIN(F110,G110)</f>
        <v>5</v>
      </c>
      <c r="I110" s="5">
        <f>G110-H110</f>
        <v>0</v>
      </c>
      <c r="J110" s="5">
        <f>F110-H110</f>
        <v>16</v>
      </c>
      <c r="K110" s="5">
        <f>IF(I110&gt;0,1,0)</f>
        <v>0</v>
      </c>
      <c r="L110" s="5">
        <f>IF(J110&lt;PuntoReorden,1,0)</f>
        <v>0</v>
      </c>
      <c r="M110" s="9">
        <f>PrecioVenta*H110</f>
        <v>3400000</v>
      </c>
      <c r="N110" s="9">
        <f>CostoUnitario*E110</f>
        <v>9000000</v>
      </c>
      <c r="O110" s="9">
        <f>IF(E110&gt;0,CostoPedido,0)</f>
        <v>40000</v>
      </c>
      <c r="P110" s="9">
        <f>CostoAlm*(F110+J110)/2</f>
        <v>1480</v>
      </c>
      <c r="Q110" s="9">
        <f>CostoFijo*D110</f>
        <v>0</v>
      </c>
      <c r="R110" s="9">
        <f>M110-N110-O110-P110-Q110</f>
        <v>-5641480</v>
      </c>
      <c r="S110" s="21">
        <f>PuntoReorden</f>
        <v>7</v>
      </c>
    </row>
    <row r="111">
      <c r="A111" s="5">
        <f>A110+1</f>
        <v>106</v>
      </c>
      <c r="B111" s="20">
        <f>B110+IF(WEEKDAY(B110,2)=6,2,1)</f>
        <v>46146</v>
      </c>
      <c r="C111" s="5">
        <f>MONTH(B111)</f>
        <v>5</v>
      </c>
      <c r="D111" s="5">
        <f>IF(C111&lt;&gt;C110,1,0)</f>
        <v>0</v>
      </c>
      <c r="E111" s="5">
        <f>IF(L110=1,CantPedido,0)</f>
        <v>0</v>
      </c>
      <c r="F111" s="5">
        <f>J110+E111</f>
        <v>16</v>
      </c>
      <c r="G111" s="5">
        <f>VLOOKUP(RAND(),TablaEmpirica,2,TRUE)</f>
        <v>3</v>
      </c>
      <c r="H111" s="5">
        <f>MIN(F111,G111)</f>
        <v>3</v>
      </c>
      <c r="I111" s="5">
        <f>G111-H111</f>
        <v>0</v>
      </c>
      <c r="J111" s="5">
        <f>F111-H111</f>
        <v>13</v>
      </c>
      <c r="K111" s="5">
        <f>IF(I111&gt;0,1,0)</f>
        <v>0</v>
      </c>
      <c r="L111" s="5">
        <f>IF(J111&lt;PuntoReorden,1,0)</f>
        <v>0</v>
      </c>
      <c r="M111" s="9">
        <f>PrecioVenta*H111</f>
        <v>2040000</v>
      </c>
      <c r="N111" s="9">
        <f>CostoUnitario*E111</f>
        <v>0</v>
      </c>
      <c r="O111" s="9">
        <f>IF(E111&gt;0,CostoPedido,0)</f>
        <v>0</v>
      </c>
      <c r="P111" s="9">
        <f>CostoAlm*(F111+J111)/2</f>
        <v>1160</v>
      </c>
      <c r="Q111" s="9">
        <f>CostoFijo*D111</f>
        <v>0</v>
      </c>
      <c r="R111" s="9">
        <f>M111-N111-O111-P111-Q111</f>
        <v>2038840</v>
      </c>
      <c r="S111" s="21">
        <f>PuntoReorden</f>
        <v>7</v>
      </c>
    </row>
    <row r="112">
      <c r="A112" s="5">
        <f>A111+1</f>
        <v>107</v>
      </c>
      <c r="B112" s="20">
        <f>B111+IF(WEEKDAY(B111,2)=6,2,1)</f>
        <v>46147</v>
      </c>
      <c r="C112" s="5">
        <f>MONTH(B112)</f>
        <v>5</v>
      </c>
      <c r="D112" s="5">
        <f>IF(C112&lt;&gt;C111,1,0)</f>
        <v>0</v>
      </c>
      <c r="E112" s="5">
        <f>IF(L111=1,CantPedido,0)</f>
        <v>0</v>
      </c>
      <c r="F112" s="5">
        <f>J111+E112</f>
        <v>13</v>
      </c>
      <c r="G112" s="5">
        <f>VLOOKUP(RAND(),TablaEmpirica,2,TRUE)</f>
        <v>5</v>
      </c>
      <c r="H112" s="5">
        <f>MIN(F112,G112)</f>
        <v>5</v>
      </c>
      <c r="I112" s="5">
        <f>G112-H112</f>
        <v>0</v>
      </c>
      <c r="J112" s="5">
        <f>F112-H112</f>
        <v>8</v>
      </c>
      <c r="K112" s="5">
        <f>IF(I112&gt;0,1,0)</f>
        <v>0</v>
      </c>
      <c r="L112" s="5">
        <f>IF(J112&lt;PuntoReorden,1,0)</f>
        <v>0</v>
      </c>
      <c r="M112" s="9">
        <f>PrecioVenta*H112</f>
        <v>3400000</v>
      </c>
      <c r="N112" s="9">
        <f>CostoUnitario*E112</f>
        <v>0</v>
      </c>
      <c r="O112" s="9">
        <f>IF(E112&gt;0,CostoPedido,0)</f>
        <v>0</v>
      </c>
      <c r="P112" s="9">
        <f>CostoAlm*(F112+J112)/2</f>
        <v>840</v>
      </c>
      <c r="Q112" s="9">
        <f>CostoFijo*D112</f>
        <v>0</v>
      </c>
      <c r="R112" s="9">
        <f>M112-N112-O112-P112-Q112</f>
        <v>3399160</v>
      </c>
      <c r="S112" s="21">
        <f>PuntoReorden</f>
        <v>7</v>
      </c>
    </row>
    <row r="113">
      <c r="A113" s="5">
        <f>A112+1</f>
        <v>108</v>
      </c>
      <c r="B113" s="20">
        <f>B112+IF(WEEKDAY(B112,2)=6,2,1)</f>
        <v>46148</v>
      </c>
      <c r="C113" s="5">
        <f>MONTH(B113)</f>
        <v>5</v>
      </c>
      <c r="D113" s="5">
        <f>IF(C113&lt;&gt;C112,1,0)</f>
        <v>0</v>
      </c>
      <c r="E113" s="5">
        <f>IF(L112=1,CantPedido,0)</f>
        <v>0</v>
      </c>
      <c r="F113" s="5">
        <f>J112+E113</f>
        <v>8</v>
      </c>
      <c r="G113" s="5">
        <f>VLOOKUP(RAND(),TablaEmpirica,2,TRUE)</f>
        <v>3</v>
      </c>
      <c r="H113" s="5">
        <f>MIN(F113,G113)</f>
        <v>3</v>
      </c>
      <c r="I113" s="5">
        <f>G113-H113</f>
        <v>0</v>
      </c>
      <c r="J113" s="5">
        <f>F113-H113</f>
        <v>5</v>
      </c>
      <c r="K113" s="5">
        <f>IF(I113&gt;0,1,0)</f>
        <v>0</v>
      </c>
      <c r="L113" s="5">
        <f>IF(J113&lt;PuntoReorden,1,0)</f>
        <v>1</v>
      </c>
      <c r="M113" s="9">
        <f>PrecioVenta*H113</f>
        <v>2040000</v>
      </c>
      <c r="N113" s="9">
        <f>CostoUnitario*E113</f>
        <v>0</v>
      </c>
      <c r="O113" s="9">
        <f>IF(E113&gt;0,CostoPedido,0)</f>
        <v>0</v>
      </c>
      <c r="P113" s="9">
        <f>CostoAlm*(F113+J113)/2</f>
        <v>520</v>
      </c>
      <c r="Q113" s="9">
        <f>CostoFijo*D113</f>
        <v>0</v>
      </c>
      <c r="R113" s="9">
        <f>M113-N113-O113-P113-Q113</f>
        <v>2039480</v>
      </c>
      <c r="S113" s="21">
        <f>PuntoReorden</f>
        <v>7</v>
      </c>
    </row>
    <row r="114">
      <c r="A114" s="5">
        <f>A113+1</f>
        <v>109</v>
      </c>
      <c r="B114" s="20">
        <f>B113+IF(WEEKDAY(B113,2)=6,2,1)</f>
        <v>46149</v>
      </c>
      <c r="C114" s="5">
        <f>MONTH(B114)</f>
        <v>5</v>
      </c>
      <c r="D114" s="5">
        <f>IF(C114&lt;&gt;C113,1,0)</f>
        <v>0</v>
      </c>
      <c r="E114" s="5">
        <f>IF(L113=1,CantPedido,0)</f>
        <v>15</v>
      </c>
      <c r="F114" s="5">
        <f>J113+E114</f>
        <v>20</v>
      </c>
      <c r="G114" s="5">
        <f>VLOOKUP(RAND(),TablaEmpirica,2,TRUE)</f>
        <v>5</v>
      </c>
      <c r="H114" s="5">
        <f>MIN(F114,G114)</f>
        <v>5</v>
      </c>
      <c r="I114" s="5">
        <f>G114-H114</f>
        <v>0</v>
      </c>
      <c r="J114" s="5">
        <f>F114-H114</f>
        <v>15</v>
      </c>
      <c r="K114" s="5">
        <f>IF(I114&gt;0,1,0)</f>
        <v>0</v>
      </c>
      <c r="L114" s="5">
        <f>IF(J114&lt;PuntoReorden,1,0)</f>
        <v>0</v>
      </c>
      <c r="M114" s="9">
        <f>PrecioVenta*H114</f>
        <v>3400000</v>
      </c>
      <c r="N114" s="9">
        <f>CostoUnitario*E114</f>
        <v>9000000</v>
      </c>
      <c r="O114" s="9">
        <f>IF(E114&gt;0,CostoPedido,0)</f>
        <v>40000</v>
      </c>
      <c r="P114" s="9">
        <f>CostoAlm*(F114+J114)/2</f>
        <v>1400</v>
      </c>
      <c r="Q114" s="9">
        <f>CostoFijo*D114</f>
        <v>0</v>
      </c>
      <c r="R114" s="9">
        <f>M114-N114-O114-P114-Q114</f>
        <v>-5641400</v>
      </c>
      <c r="S114" s="21">
        <f>PuntoReorden</f>
        <v>7</v>
      </c>
    </row>
    <row r="115">
      <c r="A115" s="5">
        <f>A114+1</f>
        <v>110</v>
      </c>
      <c r="B115" s="20">
        <f>B114+IF(WEEKDAY(B114,2)=6,2,1)</f>
        <v>46150</v>
      </c>
      <c r="C115" s="5">
        <f>MONTH(B115)</f>
        <v>5</v>
      </c>
      <c r="D115" s="5">
        <f>IF(C115&lt;&gt;C114,1,0)</f>
        <v>0</v>
      </c>
      <c r="E115" s="5">
        <f>IF(L114=1,CantPedido,0)</f>
        <v>0</v>
      </c>
      <c r="F115" s="5">
        <f>J114+E115</f>
        <v>15</v>
      </c>
      <c r="G115" s="5">
        <f>VLOOKUP(RAND(),TablaEmpirica,2,TRUE)</f>
        <v>6</v>
      </c>
      <c r="H115" s="5">
        <f>MIN(F115,G115)</f>
        <v>6</v>
      </c>
      <c r="I115" s="5">
        <f>G115-H115</f>
        <v>0</v>
      </c>
      <c r="J115" s="5">
        <f>F115-H115</f>
        <v>9</v>
      </c>
      <c r="K115" s="5">
        <f>IF(I115&gt;0,1,0)</f>
        <v>0</v>
      </c>
      <c r="L115" s="5">
        <f>IF(J115&lt;PuntoReorden,1,0)</f>
        <v>0</v>
      </c>
      <c r="M115" s="9">
        <f>PrecioVenta*H115</f>
        <v>4080000</v>
      </c>
      <c r="N115" s="9">
        <f>CostoUnitario*E115</f>
        <v>0</v>
      </c>
      <c r="O115" s="9">
        <f>IF(E115&gt;0,CostoPedido,0)</f>
        <v>0</v>
      </c>
      <c r="P115" s="9">
        <f>CostoAlm*(F115+J115)/2</f>
        <v>960</v>
      </c>
      <c r="Q115" s="9">
        <f>CostoFijo*D115</f>
        <v>0</v>
      </c>
      <c r="R115" s="9">
        <f>M115-N115-O115-P115-Q115</f>
        <v>4079040</v>
      </c>
      <c r="S115" s="21">
        <f>PuntoReorden</f>
        <v>7</v>
      </c>
    </row>
    <row r="116">
      <c r="A116" s="5">
        <f>A115+1</f>
        <v>111</v>
      </c>
      <c r="B116" s="20">
        <f>B115+IF(WEEKDAY(B115,2)=6,2,1)</f>
        <v>46151</v>
      </c>
      <c r="C116" s="5">
        <f>MONTH(B116)</f>
        <v>5</v>
      </c>
      <c r="D116" s="5">
        <f>IF(C116&lt;&gt;C115,1,0)</f>
        <v>0</v>
      </c>
      <c r="E116" s="5">
        <f>IF(L115=1,CantPedido,0)</f>
        <v>0</v>
      </c>
      <c r="F116" s="5">
        <f>J115+E116</f>
        <v>9</v>
      </c>
      <c r="G116" s="5">
        <f>VLOOKUP(RAND(),TablaEmpirica,2,TRUE)</f>
        <v>3</v>
      </c>
      <c r="H116" s="5">
        <f>MIN(F116,G116)</f>
        <v>3</v>
      </c>
      <c r="I116" s="5">
        <f>G116-H116</f>
        <v>0</v>
      </c>
      <c r="J116" s="5">
        <f>F116-H116</f>
        <v>6</v>
      </c>
      <c r="K116" s="5">
        <f>IF(I116&gt;0,1,0)</f>
        <v>0</v>
      </c>
      <c r="L116" s="5">
        <f>IF(J116&lt;PuntoReorden,1,0)</f>
        <v>1</v>
      </c>
      <c r="M116" s="9">
        <f>PrecioVenta*H116</f>
        <v>2040000</v>
      </c>
      <c r="N116" s="9">
        <f>CostoUnitario*E116</f>
        <v>0</v>
      </c>
      <c r="O116" s="9">
        <f>IF(E116&gt;0,CostoPedido,0)</f>
        <v>0</v>
      </c>
      <c r="P116" s="9">
        <f>CostoAlm*(F116+J116)/2</f>
        <v>600</v>
      </c>
      <c r="Q116" s="9">
        <f>CostoFijo*D116</f>
        <v>0</v>
      </c>
      <c r="R116" s="9">
        <f>M116-N116-O116-P116-Q116</f>
        <v>2039400</v>
      </c>
      <c r="S116" s="21">
        <f>PuntoReorden</f>
        <v>7</v>
      </c>
    </row>
    <row r="117">
      <c r="A117" s="5">
        <f>A116+1</f>
        <v>112</v>
      </c>
      <c r="B117" s="20">
        <f>B116+IF(WEEKDAY(B116,2)=6,2,1)</f>
        <v>46153</v>
      </c>
      <c r="C117" s="5">
        <f>MONTH(B117)</f>
        <v>5</v>
      </c>
      <c r="D117" s="5">
        <f>IF(C117&lt;&gt;C116,1,0)</f>
        <v>0</v>
      </c>
      <c r="E117" s="5">
        <f>IF(L116=1,CantPedido,0)</f>
        <v>15</v>
      </c>
      <c r="F117" s="5">
        <f>J116+E117</f>
        <v>21</v>
      </c>
      <c r="G117" s="5">
        <f>VLOOKUP(RAND(),TablaEmpirica,2,TRUE)</f>
        <v>3</v>
      </c>
      <c r="H117" s="5">
        <f>MIN(F117,G117)</f>
        <v>3</v>
      </c>
      <c r="I117" s="5">
        <f>G117-H117</f>
        <v>0</v>
      </c>
      <c r="J117" s="5">
        <f>F117-H117</f>
        <v>18</v>
      </c>
      <c r="K117" s="5">
        <f>IF(I117&gt;0,1,0)</f>
        <v>0</v>
      </c>
      <c r="L117" s="5">
        <f>IF(J117&lt;PuntoReorden,1,0)</f>
        <v>0</v>
      </c>
      <c r="M117" s="9">
        <f>PrecioVenta*H117</f>
        <v>2040000</v>
      </c>
      <c r="N117" s="9">
        <f>CostoUnitario*E117</f>
        <v>9000000</v>
      </c>
      <c r="O117" s="9">
        <f>IF(E117&gt;0,CostoPedido,0)</f>
        <v>40000</v>
      </c>
      <c r="P117" s="9">
        <f>CostoAlm*(F117+J117)/2</f>
        <v>1560</v>
      </c>
      <c r="Q117" s="9">
        <f>CostoFijo*D117</f>
        <v>0</v>
      </c>
      <c r="R117" s="9">
        <f>M117-N117-O117-P117-Q117</f>
        <v>-7001560</v>
      </c>
      <c r="S117" s="21">
        <f>PuntoReorden</f>
        <v>7</v>
      </c>
    </row>
    <row r="118">
      <c r="A118" s="5">
        <f>A117+1</f>
        <v>113</v>
      </c>
      <c r="B118" s="20">
        <f>B117+IF(WEEKDAY(B117,2)=6,2,1)</f>
        <v>46154</v>
      </c>
      <c r="C118" s="5">
        <f>MONTH(B118)</f>
        <v>5</v>
      </c>
      <c r="D118" s="5">
        <f>IF(C118&lt;&gt;C117,1,0)</f>
        <v>0</v>
      </c>
      <c r="E118" s="5">
        <f>IF(L117=1,CantPedido,0)</f>
        <v>0</v>
      </c>
      <c r="F118" s="5">
        <f>J117+E118</f>
        <v>18</v>
      </c>
      <c r="G118" s="5">
        <f>VLOOKUP(RAND(),TablaEmpirica,2,TRUE)</f>
        <v>3</v>
      </c>
      <c r="H118" s="5">
        <f>MIN(F118,G118)</f>
        <v>3</v>
      </c>
      <c r="I118" s="5">
        <f>G118-H118</f>
        <v>0</v>
      </c>
      <c r="J118" s="5">
        <f>F118-H118</f>
        <v>15</v>
      </c>
      <c r="K118" s="5">
        <f>IF(I118&gt;0,1,0)</f>
        <v>0</v>
      </c>
      <c r="L118" s="5">
        <f>IF(J118&lt;PuntoReorden,1,0)</f>
        <v>0</v>
      </c>
      <c r="M118" s="9">
        <f>PrecioVenta*H118</f>
        <v>2040000</v>
      </c>
      <c r="N118" s="9">
        <f>CostoUnitario*E118</f>
        <v>0</v>
      </c>
      <c r="O118" s="9">
        <f>IF(E118&gt;0,CostoPedido,0)</f>
        <v>0</v>
      </c>
      <c r="P118" s="9">
        <f>CostoAlm*(F118+J118)/2</f>
        <v>1320</v>
      </c>
      <c r="Q118" s="9">
        <f>CostoFijo*D118</f>
        <v>0</v>
      </c>
      <c r="R118" s="9">
        <f>M118-N118-O118-P118-Q118</f>
        <v>2038680</v>
      </c>
      <c r="S118" s="21">
        <f>PuntoReorden</f>
        <v>7</v>
      </c>
    </row>
    <row r="119">
      <c r="A119" s="5">
        <f>A118+1</f>
        <v>114</v>
      </c>
      <c r="B119" s="20">
        <f>B118+IF(WEEKDAY(B118,2)=6,2,1)</f>
        <v>46155</v>
      </c>
      <c r="C119" s="5">
        <f>MONTH(B119)</f>
        <v>5</v>
      </c>
      <c r="D119" s="5">
        <f>IF(C119&lt;&gt;C118,1,0)</f>
        <v>0</v>
      </c>
      <c r="E119" s="5">
        <f>IF(L118=1,CantPedido,0)</f>
        <v>0</v>
      </c>
      <c r="F119" s="5">
        <f>J118+E119</f>
        <v>15</v>
      </c>
      <c r="G119" s="5">
        <f>VLOOKUP(RAND(),TablaEmpirica,2,TRUE)</f>
        <v>5</v>
      </c>
      <c r="H119" s="5">
        <f>MIN(F119,G119)</f>
        <v>5</v>
      </c>
      <c r="I119" s="5">
        <f>G119-H119</f>
        <v>0</v>
      </c>
      <c r="J119" s="5">
        <f>F119-H119</f>
        <v>10</v>
      </c>
      <c r="K119" s="5">
        <f>IF(I119&gt;0,1,0)</f>
        <v>0</v>
      </c>
      <c r="L119" s="5">
        <f>IF(J119&lt;PuntoReorden,1,0)</f>
        <v>0</v>
      </c>
      <c r="M119" s="9">
        <f>PrecioVenta*H119</f>
        <v>3400000</v>
      </c>
      <c r="N119" s="9">
        <f>CostoUnitario*E119</f>
        <v>0</v>
      </c>
      <c r="O119" s="9">
        <f>IF(E119&gt;0,CostoPedido,0)</f>
        <v>0</v>
      </c>
      <c r="P119" s="9">
        <f>CostoAlm*(F119+J119)/2</f>
        <v>1000</v>
      </c>
      <c r="Q119" s="9">
        <f>CostoFijo*D119</f>
        <v>0</v>
      </c>
      <c r="R119" s="9">
        <f>M119-N119-O119-P119-Q119</f>
        <v>3399000</v>
      </c>
      <c r="S119" s="21">
        <f>PuntoReorden</f>
        <v>7</v>
      </c>
    </row>
    <row r="120">
      <c r="A120" s="5">
        <f>A119+1</f>
        <v>115</v>
      </c>
      <c r="B120" s="20">
        <f>B119+IF(WEEKDAY(B119,2)=6,2,1)</f>
        <v>46156</v>
      </c>
      <c r="C120" s="5">
        <f>MONTH(B120)</f>
        <v>5</v>
      </c>
      <c r="D120" s="5">
        <f>IF(C120&lt;&gt;C119,1,0)</f>
        <v>0</v>
      </c>
      <c r="E120" s="5">
        <f>IF(L119=1,CantPedido,0)</f>
        <v>0</v>
      </c>
      <c r="F120" s="5">
        <f>J119+E120</f>
        <v>10</v>
      </c>
      <c r="G120" s="5">
        <f>VLOOKUP(RAND(),TablaEmpirica,2,TRUE)</f>
        <v>3</v>
      </c>
      <c r="H120" s="5">
        <f>MIN(F120,G120)</f>
        <v>3</v>
      </c>
      <c r="I120" s="5">
        <f>G120-H120</f>
        <v>0</v>
      </c>
      <c r="J120" s="5">
        <f>F120-H120</f>
        <v>7</v>
      </c>
      <c r="K120" s="5">
        <f>IF(I120&gt;0,1,0)</f>
        <v>0</v>
      </c>
      <c r="L120" s="5">
        <f>IF(J120&lt;PuntoReorden,1,0)</f>
        <v>0</v>
      </c>
      <c r="M120" s="9">
        <f>PrecioVenta*H120</f>
        <v>2040000</v>
      </c>
      <c r="N120" s="9">
        <f>CostoUnitario*E120</f>
        <v>0</v>
      </c>
      <c r="O120" s="9">
        <f>IF(E120&gt;0,CostoPedido,0)</f>
        <v>0</v>
      </c>
      <c r="P120" s="9">
        <f>CostoAlm*(F120+J120)/2</f>
        <v>680</v>
      </c>
      <c r="Q120" s="9">
        <f>CostoFijo*D120</f>
        <v>0</v>
      </c>
      <c r="R120" s="9">
        <f>M120-N120-O120-P120-Q120</f>
        <v>2039320</v>
      </c>
      <c r="S120" s="21">
        <f>PuntoReorden</f>
        <v>7</v>
      </c>
    </row>
    <row r="121">
      <c r="A121" s="5">
        <f>A120+1</f>
        <v>116</v>
      </c>
      <c r="B121" s="20">
        <f>B120+IF(WEEKDAY(B120,2)=6,2,1)</f>
        <v>46157</v>
      </c>
      <c r="C121" s="5">
        <f>MONTH(B121)</f>
        <v>5</v>
      </c>
      <c r="D121" s="5">
        <f>IF(C121&lt;&gt;C120,1,0)</f>
        <v>0</v>
      </c>
      <c r="E121" s="5">
        <f>IF(L120=1,CantPedido,0)</f>
        <v>0</v>
      </c>
      <c r="F121" s="5">
        <f>J120+E121</f>
        <v>7</v>
      </c>
      <c r="G121" s="5">
        <f>VLOOKUP(RAND(),TablaEmpirica,2,TRUE)</f>
        <v>6</v>
      </c>
      <c r="H121" s="5">
        <f>MIN(F121,G121)</f>
        <v>6</v>
      </c>
      <c r="I121" s="5">
        <f>G121-H121</f>
        <v>0</v>
      </c>
      <c r="J121" s="5">
        <f>F121-H121</f>
        <v>1</v>
      </c>
      <c r="K121" s="5">
        <f>IF(I121&gt;0,1,0)</f>
        <v>0</v>
      </c>
      <c r="L121" s="5">
        <f>IF(J121&lt;PuntoReorden,1,0)</f>
        <v>1</v>
      </c>
      <c r="M121" s="9">
        <f>PrecioVenta*H121</f>
        <v>4080000</v>
      </c>
      <c r="N121" s="9">
        <f>CostoUnitario*E121</f>
        <v>0</v>
      </c>
      <c r="O121" s="9">
        <f>IF(E121&gt;0,CostoPedido,0)</f>
        <v>0</v>
      </c>
      <c r="P121" s="9">
        <f>CostoAlm*(F121+J121)/2</f>
        <v>320</v>
      </c>
      <c r="Q121" s="9">
        <f>CostoFijo*D121</f>
        <v>0</v>
      </c>
      <c r="R121" s="9">
        <f>M121-N121-O121-P121-Q121</f>
        <v>4079680</v>
      </c>
      <c r="S121" s="21">
        <f>PuntoReorden</f>
        <v>7</v>
      </c>
    </row>
    <row r="122">
      <c r="A122" s="5">
        <f>A121+1</f>
        <v>117</v>
      </c>
      <c r="B122" s="20">
        <f>B121+IF(WEEKDAY(B121,2)=6,2,1)</f>
        <v>46158</v>
      </c>
      <c r="C122" s="5">
        <f>MONTH(B122)</f>
        <v>5</v>
      </c>
      <c r="D122" s="5">
        <f>IF(C122&lt;&gt;C121,1,0)</f>
        <v>0</v>
      </c>
      <c r="E122" s="5">
        <f>IF(L121=1,CantPedido,0)</f>
        <v>15</v>
      </c>
      <c r="F122" s="5">
        <f>J121+E122</f>
        <v>16</v>
      </c>
      <c r="G122" s="5">
        <f>VLOOKUP(RAND(),TablaEmpirica,2,TRUE)</f>
        <v>3</v>
      </c>
      <c r="H122" s="5">
        <f>MIN(F122,G122)</f>
        <v>3</v>
      </c>
      <c r="I122" s="5">
        <f>G122-H122</f>
        <v>0</v>
      </c>
      <c r="J122" s="5">
        <f>F122-H122</f>
        <v>13</v>
      </c>
      <c r="K122" s="5">
        <f>IF(I122&gt;0,1,0)</f>
        <v>0</v>
      </c>
      <c r="L122" s="5">
        <f>IF(J122&lt;PuntoReorden,1,0)</f>
        <v>0</v>
      </c>
      <c r="M122" s="9">
        <f>PrecioVenta*H122</f>
        <v>2040000</v>
      </c>
      <c r="N122" s="9">
        <f>CostoUnitario*E122</f>
        <v>9000000</v>
      </c>
      <c r="O122" s="9">
        <f>IF(E122&gt;0,CostoPedido,0)</f>
        <v>40000</v>
      </c>
      <c r="P122" s="9">
        <f>CostoAlm*(F122+J122)/2</f>
        <v>1160</v>
      </c>
      <c r="Q122" s="9">
        <f>CostoFijo*D122</f>
        <v>0</v>
      </c>
      <c r="R122" s="9">
        <f>M122-N122-O122-P122-Q122</f>
        <v>-7001160</v>
      </c>
      <c r="S122" s="21">
        <f>PuntoReorden</f>
        <v>7</v>
      </c>
    </row>
    <row r="123">
      <c r="A123" s="5">
        <f>A122+1</f>
        <v>118</v>
      </c>
      <c r="B123" s="20">
        <f>B122+IF(WEEKDAY(B122,2)=6,2,1)</f>
        <v>46160</v>
      </c>
      <c r="C123" s="5">
        <f>MONTH(B123)</f>
        <v>5</v>
      </c>
      <c r="D123" s="5">
        <f>IF(C123&lt;&gt;C122,1,0)</f>
        <v>0</v>
      </c>
      <c r="E123" s="5">
        <f>IF(L122=1,CantPedido,0)</f>
        <v>0</v>
      </c>
      <c r="F123" s="5">
        <f>J122+E123</f>
        <v>13</v>
      </c>
      <c r="G123" s="5">
        <f>VLOOKUP(RAND(),TablaEmpirica,2,TRUE)</f>
        <v>5</v>
      </c>
      <c r="H123" s="5">
        <f>MIN(F123,G123)</f>
        <v>5</v>
      </c>
      <c r="I123" s="5">
        <f>G123-H123</f>
        <v>0</v>
      </c>
      <c r="J123" s="5">
        <f>F123-H123</f>
        <v>8</v>
      </c>
      <c r="K123" s="5">
        <f>IF(I123&gt;0,1,0)</f>
        <v>0</v>
      </c>
      <c r="L123" s="5">
        <f>IF(J123&lt;PuntoReorden,1,0)</f>
        <v>0</v>
      </c>
      <c r="M123" s="9">
        <f>PrecioVenta*H123</f>
        <v>3400000</v>
      </c>
      <c r="N123" s="9">
        <f>CostoUnitario*E123</f>
        <v>0</v>
      </c>
      <c r="O123" s="9">
        <f>IF(E123&gt;0,CostoPedido,0)</f>
        <v>0</v>
      </c>
      <c r="P123" s="9">
        <f>CostoAlm*(F123+J123)/2</f>
        <v>840</v>
      </c>
      <c r="Q123" s="9">
        <f>CostoFijo*D123</f>
        <v>0</v>
      </c>
      <c r="R123" s="9">
        <f>M123-N123-O123-P123-Q123</f>
        <v>3399160</v>
      </c>
      <c r="S123" s="21">
        <f>PuntoReorden</f>
        <v>7</v>
      </c>
    </row>
    <row r="124">
      <c r="A124" s="5">
        <f>A123+1</f>
        <v>119</v>
      </c>
      <c r="B124" s="20">
        <f>B123+IF(WEEKDAY(B123,2)=6,2,1)</f>
        <v>46161</v>
      </c>
      <c r="C124" s="5">
        <f>MONTH(B124)</f>
        <v>5</v>
      </c>
      <c r="D124" s="5">
        <f>IF(C124&lt;&gt;C123,1,0)</f>
        <v>0</v>
      </c>
      <c r="E124" s="5">
        <f>IF(L123=1,CantPedido,0)</f>
        <v>0</v>
      </c>
      <c r="F124" s="5">
        <f>J123+E124</f>
        <v>8</v>
      </c>
      <c r="G124" s="5">
        <f>VLOOKUP(RAND(),TablaEmpirica,2,TRUE)</f>
        <v>5</v>
      </c>
      <c r="H124" s="5">
        <f>MIN(F124,G124)</f>
        <v>5</v>
      </c>
      <c r="I124" s="5">
        <f>G124-H124</f>
        <v>0</v>
      </c>
      <c r="J124" s="5">
        <f>F124-H124</f>
        <v>3</v>
      </c>
      <c r="K124" s="5">
        <f>IF(I124&gt;0,1,0)</f>
        <v>0</v>
      </c>
      <c r="L124" s="5">
        <f>IF(J124&lt;PuntoReorden,1,0)</f>
        <v>1</v>
      </c>
      <c r="M124" s="9">
        <f>PrecioVenta*H124</f>
        <v>3400000</v>
      </c>
      <c r="N124" s="9">
        <f>CostoUnitario*E124</f>
        <v>0</v>
      </c>
      <c r="O124" s="9">
        <f>IF(E124&gt;0,CostoPedido,0)</f>
        <v>0</v>
      </c>
      <c r="P124" s="9">
        <f>CostoAlm*(F124+J124)/2</f>
        <v>440</v>
      </c>
      <c r="Q124" s="9">
        <f>CostoFijo*D124</f>
        <v>0</v>
      </c>
      <c r="R124" s="9">
        <f>M124-N124-O124-P124-Q124</f>
        <v>3399560</v>
      </c>
      <c r="S124" s="21">
        <f>PuntoReorden</f>
        <v>7</v>
      </c>
    </row>
    <row r="125">
      <c r="A125" s="5">
        <f>A124+1</f>
        <v>120</v>
      </c>
      <c r="B125" s="20">
        <f>B124+IF(WEEKDAY(B124,2)=6,2,1)</f>
        <v>46162</v>
      </c>
      <c r="C125" s="5">
        <f>MONTH(B125)</f>
        <v>5</v>
      </c>
      <c r="D125" s="5">
        <f>IF(C125&lt;&gt;C124,1,0)</f>
        <v>0</v>
      </c>
      <c r="E125" s="5">
        <f>IF(L124=1,CantPedido,0)</f>
        <v>15</v>
      </c>
      <c r="F125" s="5">
        <f>J124+E125</f>
        <v>18</v>
      </c>
      <c r="G125" s="5">
        <f>VLOOKUP(RAND(),TablaEmpirica,2,TRUE)</f>
        <v>5</v>
      </c>
      <c r="H125" s="5">
        <f>MIN(F125,G125)</f>
        <v>5</v>
      </c>
      <c r="I125" s="5">
        <f>G125-H125</f>
        <v>0</v>
      </c>
      <c r="J125" s="5">
        <f>F125-H125</f>
        <v>13</v>
      </c>
      <c r="K125" s="5">
        <f>IF(I125&gt;0,1,0)</f>
        <v>0</v>
      </c>
      <c r="L125" s="5">
        <f>IF(J125&lt;PuntoReorden,1,0)</f>
        <v>0</v>
      </c>
      <c r="M125" s="9">
        <f>PrecioVenta*H125</f>
        <v>3400000</v>
      </c>
      <c r="N125" s="9">
        <f>CostoUnitario*E125</f>
        <v>9000000</v>
      </c>
      <c r="O125" s="9">
        <f>IF(E125&gt;0,CostoPedido,0)</f>
        <v>40000</v>
      </c>
      <c r="P125" s="9">
        <f>CostoAlm*(F125+J125)/2</f>
        <v>1240</v>
      </c>
      <c r="Q125" s="9">
        <f>CostoFijo*D125</f>
        <v>0</v>
      </c>
      <c r="R125" s="9">
        <f>M125-N125-O125-P125-Q125</f>
        <v>-5641240</v>
      </c>
      <c r="S125" s="21">
        <f>PuntoReorden</f>
        <v>7</v>
      </c>
    </row>
    <row r="126">
      <c r="A126" s="5">
        <f>A125+1</f>
        <v>121</v>
      </c>
      <c r="B126" s="20">
        <f>B125+IF(WEEKDAY(B125,2)=6,2,1)</f>
        <v>46163</v>
      </c>
      <c r="C126" s="5">
        <f>MONTH(B126)</f>
        <v>5</v>
      </c>
      <c r="D126" s="5">
        <f>IF(C126&lt;&gt;C125,1,0)</f>
        <v>0</v>
      </c>
      <c r="E126" s="5">
        <f>IF(L125=1,CantPedido,0)</f>
        <v>0</v>
      </c>
      <c r="F126" s="5">
        <f>J125+E126</f>
        <v>13</v>
      </c>
      <c r="G126" s="5">
        <f>VLOOKUP(RAND(),TablaEmpirica,2,TRUE)</f>
        <v>3</v>
      </c>
      <c r="H126" s="5">
        <f>MIN(F126,G126)</f>
        <v>3</v>
      </c>
      <c r="I126" s="5">
        <f>G126-H126</f>
        <v>0</v>
      </c>
      <c r="J126" s="5">
        <f>F126-H126</f>
        <v>10</v>
      </c>
      <c r="K126" s="5">
        <f>IF(I126&gt;0,1,0)</f>
        <v>0</v>
      </c>
      <c r="L126" s="5">
        <f>IF(J126&lt;PuntoReorden,1,0)</f>
        <v>0</v>
      </c>
      <c r="M126" s="9">
        <f>PrecioVenta*H126</f>
        <v>2040000</v>
      </c>
      <c r="N126" s="9">
        <f>CostoUnitario*E126</f>
        <v>0</v>
      </c>
      <c r="O126" s="9">
        <f>IF(E126&gt;0,CostoPedido,0)</f>
        <v>0</v>
      </c>
      <c r="P126" s="9">
        <f>CostoAlm*(F126+J126)/2</f>
        <v>920</v>
      </c>
      <c r="Q126" s="9">
        <f>CostoFijo*D126</f>
        <v>0</v>
      </c>
      <c r="R126" s="9">
        <f>M126-N126-O126-P126-Q126</f>
        <v>2039080</v>
      </c>
      <c r="S126" s="21">
        <f>PuntoReorden</f>
        <v>7</v>
      </c>
    </row>
    <row r="127">
      <c r="A127" s="5">
        <f>A126+1</f>
        <v>122</v>
      </c>
      <c r="B127" s="20">
        <f>B126+IF(WEEKDAY(B126,2)=6,2,1)</f>
        <v>46164</v>
      </c>
      <c r="C127" s="5">
        <f>MONTH(B127)</f>
        <v>5</v>
      </c>
      <c r="D127" s="5">
        <f>IF(C127&lt;&gt;C126,1,0)</f>
        <v>0</v>
      </c>
      <c r="E127" s="5">
        <f>IF(L126=1,CantPedido,0)</f>
        <v>0</v>
      </c>
      <c r="F127" s="5">
        <f>J126+E127</f>
        <v>10</v>
      </c>
      <c r="G127" s="5">
        <f>VLOOKUP(RAND(),TablaEmpirica,2,TRUE)</f>
        <v>3</v>
      </c>
      <c r="H127" s="5">
        <f>MIN(F127,G127)</f>
        <v>3</v>
      </c>
      <c r="I127" s="5">
        <f>G127-H127</f>
        <v>0</v>
      </c>
      <c r="J127" s="5">
        <f>F127-H127</f>
        <v>7</v>
      </c>
      <c r="K127" s="5">
        <f>IF(I127&gt;0,1,0)</f>
        <v>0</v>
      </c>
      <c r="L127" s="5">
        <f>IF(J127&lt;PuntoReorden,1,0)</f>
        <v>0</v>
      </c>
      <c r="M127" s="9">
        <f>PrecioVenta*H127</f>
        <v>2040000</v>
      </c>
      <c r="N127" s="9">
        <f>CostoUnitario*E127</f>
        <v>0</v>
      </c>
      <c r="O127" s="9">
        <f>IF(E127&gt;0,CostoPedido,0)</f>
        <v>0</v>
      </c>
      <c r="P127" s="9">
        <f>CostoAlm*(F127+J127)/2</f>
        <v>680</v>
      </c>
      <c r="Q127" s="9">
        <f>CostoFijo*D127</f>
        <v>0</v>
      </c>
      <c r="R127" s="9">
        <f>M127-N127-O127-P127-Q127</f>
        <v>2039320</v>
      </c>
      <c r="S127" s="21">
        <f>PuntoReorden</f>
        <v>7</v>
      </c>
    </row>
    <row r="128">
      <c r="A128" s="5">
        <f>A127+1</f>
        <v>123</v>
      </c>
      <c r="B128" s="20">
        <f>B127+IF(WEEKDAY(B127,2)=6,2,1)</f>
        <v>46165</v>
      </c>
      <c r="C128" s="5">
        <f>MONTH(B128)</f>
        <v>5</v>
      </c>
      <c r="D128" s="5">
        <f>IF(C128&lt;&gt;C127,1,0)</f>
        <v>0</v>
      </c>
      <c r="E128" s="5">
        <f>IF(L127=1,CantPedido,0)</f>
        <v>0</v>
      </c>
      <c r="F128" s="5">
        <f>J127+E128</f>
        <v>7</v>
      </c>
      <c r="G128" s="5">
        <f>VLOOKUP(RAND(),TablaEmpirica,2,TRUE)</f>
        <v>7</v>
      </c>
      <c r="H128" s="5">
        <f>MIN(F128,G128)</f>
        <v>7</v>
      </c>
      <c r="I128" s="5">
        <f>G128-H128</f>
        <v>0</v>
      </c>
      <c r="J128" s="5">
        <f>F128-H128</f>
        <v>0</v>
      </c>
      <c r="K128" s="5">
        <f>IF(I128&gt;0,1,0)</f>
        <v>0</v>
      </c>
      <c r="L128" s="5">
        <f>IF(J128&lt;PuntoReorden,1,0)</f>
        <v>1</v>
      </c>
      <c r="M128" s="9">
        <f>PrecioVenta*H128</f>
        <v>4760000</v>
      </c>
      <c r="N128" s="9">
        <f>CostoUnitario*E128</f>
        <v>0</v>
      </c>
      <c r="O128" s="9">
        <f>IF(E128&gt;0,CostoPedido,0)</f>
        <v>0</v>
      </c>
      <c r="P128" s="9">
        <f>CostoAlm*(F128+J128)/2</f>
        <v>280</v>
      </c>
      <c r="Q128" s="9">
        <f>CostoFijo*D128</f>
        <v>0</v>
      </c>
      <c r="R128" s="9">
        <f>M128-N128-O128-P128-Q128</f>
        <v>4759720</v>
      </c>
      <c r="S128" s="21">
        <f>PuntoReorden</f>
        <v>7</v>
      </c>
    </row>
    <row r="129">
      <c r="A129" s="5">
        <f>A128+1</f>
        <v>124</v>
      </c>
      <c r="B129" s="20">
        <f>B128+IF(WEEKDAY(B128,2)=6,2,1)</f>
        <v>46167</v>
      </c>
      <c r="C129" s="5">
        <f>MONTH(B129)</f>
        <v>5</v>
      </c>
      <c r="D129" s="5">
        <f>IF(C129&lt;&gt;C128,1,0)</f>
        <v>0</v>
      </c>
      <c r="E129" s="5">
        <f>IF(L128=1,CantPedido,0)</f>
        <v>15</v>
      </c>
      <c r="F129" s="5">
        <f>J128+E129</f>
        <v>15</v>
      </c>
      <c r="G129" s="5">
        <f>VLOOKUP(RAND(),TablaEmpirica,2,TRUE)</f>
        <v>7</v>
      </c>
      <c r="H129" s="5">
        <f>MIN(F129,G129)</f>
        <v>7</v>
      </c>
      <c r="I129" s="5">
        <f>G129-H129</f>
        <v>0</v>
      </c>
      <c r="J129" s="5">
        <f>F129-H129</f>
        <v>8</v>
      </c>
      <c r="K129" s="5">
        <f>IF(I129&gt;0,1,0)</f>
        <v>0</v>
      </c>
      <c r="L129" s="5">
        <f>IF(J129&lt;PuntoReorden,1,0)</f>
        <v>0</v>
      </c>
      <c r="M129" s="9">
        <f>PrecioVenta*H129</f>
        <v>4760000</v>
      </c>
      <c r="N129" s="9">
        <f>CostoUnitario*E129</f>
        <v>9000000</v>
      </c>
      <c r="O129" s="9">
        <f>IF(E129&gt;0,CostoPedido,0)</f>
        <v>40000</v>
      </c>
      <c r="P129" s="9">
        <f>CostoAlm*(F129+J129)/2</f>
        <v>920</v>
      </c>
      <c r="Q129" s="9">
        <f>CostoFijo*D129</f>
        <v>0</v>
      </c>
      <c r="R129" s="9">
        <f>M129-N129-O129-P129-Q129</f>
        <v>-4280920</v>
      </c>
      <c r="S129" s="21">
        <f>PuntoReorden</f>
        <v>7</v>
      </c>
    </row>
    <row r="130">
      <c r="A130" s="5">
        <f>A129+1</f>
        <v>125</v>
      </c>
      <c r="B130" s="20">
        <f>B129+IF(WEEKDAY(B129,2)=6,2,1)</f>
        <v>46168</v>
      </c>
      <c r="C130" s="5">
        <f>MONTH(B130)</f>
        <v>5</v>
      </c>
      <c r="D130" s="5">
        <f>IF(C130&lt;&gt;C129,1,0)</f>
        <v>0</v>
      </c>
      <c r="E130" s="5">
        <f>IF(L129=1,CantPedido,0)</f>
        <v>0</v>
      </c>
      <c r="F130" s="5">
        <f>J129+E130</f>
        <v>8</v>
      </c>
      <c r="G130" s="5">
        <f>VLOOKUP(RAND(),TablaEmpirica,2,TRUE)</f>
        <v>6</v>
      </c>
      <c r="H130" s="5">
        <f>MIN(F130,G130)</f>
        <v>6</v>
      </c>
      <c r="I130" s="5">
        <f>G130-H130</f>
        <v>0</v>
      </c>
      <c r="J130" s="5">
        <f>F130-H130</f>
        <v>2</v>
      </c>
      <c r="K130" s="5">
        <f>IF(I130&gt;0,1,0)</f>
        <v>0</v>
      </c>
      <c r="L130" s="5">
        <f>IF(J130&lt;PuntoReorden,1,0)</f>
        <v>1</v>
      </c>
      <c r="M130" s="9">
        <f>PrecioVenta*H130</f>
        <v>4080000</v>
      </c>
      <c r="N130" s="9">
        <f>CostoUnitario*E130</f>
        <v>0</v>
      </c>
      <c r="O130" s="9">
        <f>IF(E130&gt;0,CostoPedido,0)</f>
        <v>0</v>
      </c>
      <c r="P130" s="9">
        <f>CostoAlm*(F130+J130)/2</f>
        <v>400</v>
      </c>
      <c r="Q130" s="9">
        <f>CostoFijo*D130</f>
        <v>0</v>
      </c>
      <c r="R130" s="9">
        <f>M130-N130-O130-P130-Q130</f>
        <v>4079600</v>
      </c>
      <c r="S130" s="21">
        <f>PuntoReorden</f>
        <v>7</v>
      </c>
    </row>
    <row r="131">
      <c r="A131" s="5">
        <f>A130+1</f>
        <v>126</v>
      </c>
      <c r="B131" s="20">
        <f>B130+IF(WEEKDAY(B130,2)=6,2,1)</f>
        <v>46169</v>
      </c>
      <c r="C131" s="5">
        <f>MONTH(B131)</f>
        <v>5</v>
      </c>
      <c r="D131" s="5">
        <f>IF(C131&lt;&gt;C130,1,0)</f>
        <v>0</v>
      </c>
      <c r="E131" s="5">
        <f>IF(L130=1,CantPedido,0)</f>
        <v>15</v>
      </c>
      <c r="F131" s="5">
        <f>J130+E131</f>
        <v>17</v>
      </c>
      <c r="G131" s="5">
        <f>VLOOKUP(RAND(),TablaEmpirica,2,TRUE)</f>
        <v>3</v>
      </c>
      <c r="H131" s="5">
        <f>MIN(F131,G131)</f>
        <v>3</v>
      </c>
      <c r="I131" s="5">
        <f>G131-H131</f>
        <v>0</v>
      </c>
      <c r="J131" s="5">
        <f>F131-H131</f>
        <v>14</v>
      </c>
      <c r="K131" s="5">
        <f>IF(I131&gt;0,1,0)</f>
        <v>0</v>
      </c>
      <c r="L131" s="5">
        <f>IF(J131&lt;PuntoReorden,1,0)</f>
        <v>0</v>
      </c>
      <c r="M131" s="9">
        <f>PrecioVenta*H131</f>
        <v>2040000</v>
      </c>
      <c r="N131" s="9">
        <f>CostoUnitario*E131</f>
        <v>9000000</v>
      </c>
      <c r="O131" s="9">
        <f>IF(E131&gt;0,CostoPedido,0)</f>
        <v>40000</v>
      </c>
      <c r="P131" s="9">
        <f>CostoAlm*(F131+J131)/2</f>
        <v>1240</v>
      </c>
      <c r="Q131" s="9">
        <f>CostoFijo*D131</f>
        <v>0</v>
      </c>
      <c r="R131" s="9">
        <f>M131-N131-O131-P131-Q131</f>
        <v>-7001240</v>
      </c>
      <c r="S131" s="21">
        <f>PuntoReorden</f>
        <v>7</v>
      </c>
    </row>
    <row r="132">
      <c r="A132" s="5">
        <f>A131+1</f>
        <v>127</v>
      </c>
      <c r="B132" s="20">
        <f>B131+IF(WEEKDAY(B131,2)=6,2,1)</f>
        <v>46170</v>
      </c>
      <c r="C132" s="5">
        <f>MONTH(B132)</f>
        <v>5</v>
      </c>
      <c r="D132" s="5">
        <f>IF(C132&lt;&gt;C131,1,0)</f>
        <v>0</v>
      </c>
      <c r="E132" s="5">
        <f>IF(L131=1,CantPedido,0)</f>
        <v>0</v>
      </c>
      <c r="F132" s="5">
        <f>J131+E132</f>
        <v>14</v>
      </c>
      <c r="G132" s="5">
        <f>VLOOKUP(RAND(),TablaEmpirica,2,TRUE)</f>
        <v>5</v>
      </c>
      <c r="H132" s="5">
        <f>MIN(F132,G132)</f>
        <v>5</v>
      </c>
      <c r="I132" s="5">
        <f>G132-H132</f>
        <v>0</v>
      </c>
      <c r="J132" s="5">
        <f>F132-H132</f>
        <v>9</v>
      </c>
      <c r="K132" s="5">
        <f>IF(I132&gt;0,1,0)</f>
        <v>0</v>
      </c>
      <c r="L132" s="5">
        <f>IF(J132&lt;PuntoReorden,1,0)</f>
        <v>0</v>
      </c>
      <c r="M132" s="9">
        <f>PrecioVenta*H132</f>
        <v>3400000</v>
      </c>
      <c r="N132" s="9">
        <f>CostoUnitario*E132</f>
        <v>0</v>
      </c>
      <c r="O132" s="9">
        <f>IF(E132&gt;0,CostoPedido,0)</f>
        <v>0</v>
      </c>
      <c r="P132" s="9">
        <f>CostoAlm*(F132+J132)/2</f>
        <v>920</v>
      </c>
      <c r="Q132" s="9">
        <f>CostoFijo*D132</f>
        <v>0</v>
      </c>
      <c r="R132" s="9">
        <f>M132-N132-O132-P132-Q132</f>
        <v>3399080</v>
      </c>
      <c r="S132" s="21">
        <f>PuntoReorden</f>
        <v>7</v>
      </c>
    </row>
    <row r="133">
      <c r="A133" s="5">
        <f>A132+1</f>
        <v>128</v>
      </c>
      <c r="B133" s="20">
        <f>B132+IF(WEEKDAY(B132,2)=6,2,1)</f>
        <v>46171</v>
      </c>
      <c r="C133" s="5">
        <f>MONTH(B133)</f>
        <v>5</v>
      </c>
      <c r="D133" s="5">
        <f>IF(C133&lt;&gt;C132,1,0)</f>
        <v>0</v>
      </c>
      <c r="E133" s="5">
        <f>IF(L132=1,CantPedido,0)</f>
        <v>0</v>
      </c>
      <c r="F133" s="5">
        <f>J132+E133</f>
        <v>9</v>
      </c>
      <c r="G133" s="5">
        <f>VLOOKUP(RAND(),TablaEmpirica,2,TRUE)</f>
        <v>6</v>
      </c>
      <c r="H133" s="5">
        <f>MIN(F133,G133)</f>
        <v>6</v>
      </c>
      <c r="I133" s="5">
        <f>G133-H133</f>
        <v>0</v>
      </c>
      <c r="J133" s="5">
        <f>F133-H133</f>
        <v>3</v>
      </c>
      <c r="K133" s="5">
        <f>IF(I133&gt;0,1,0)</f>
        <v>0</v>
      </c>
      <c r="L133" s="5">
        <f>IF(J133&lt;PuntoReorden,1,0)</f>
        <v>1</v>
      </c>
      <c r="M133" s="9">
        <f>PrecioVenta*H133</f>
        <v>4080000</v>
      </c>
      <c r="N133" s="9">
        <f>CostoUnitario*E133</f>
        <v>0</v>
      </c>
      <c r="O133" s="9">
        <f>IF(E133&gt;0,CostoPedido,0)</f>
        <v>0</v>
      </c>
      <c r="P133" s="9">
        <f>CostoAlm*(F133+J133)/2</f>
        <v>480</v>
      </c>
      <c r="Q133" s="9">
        <f>CostoFijo*D133</f>
        <v>0</v>
      </c>
      <c r="R133" s="9">
        <f>M133-N133-O133-P133-Q133</f>
        <v>4079520</v>
      </c>
      <c r="S133" s="21">
        <f>PuntoReorden</f>
        <v>7</v>
      </c>
    </row>
    <row r="134">
      <c r="A134" s="5">
        <f>A133+1</f>
        <v>129</v>
      </c>
      <c r="B134" s="20">
        <f>B133+IF(WEEKDAY(B133,2)=6,2,1)</f>
        <v>46172</v>
      </c>
      <c r="C134" s="5">
        <f>MONTH(B134)</f>
        <v>5</v>
      </c>
      <c r="D134" s="5">
        <f>IF(C134&lt;&gt;C133,1,0)</f>
        <v>0</v>
      </c>
      <c r="E134" s="5">
        <f>IF(L133=1,CantPedido,0)</f>
        <v>15</v>
      </c>
      <c r="F134" s="5">
        <f>J133+E134</f>
        <v>18</v>
      </c>
      <c r="G134" s="5">
        <f>VLOOKUP(RAND(),TablaEmpirica,2,TRUE)</f>
        <v>3</v>
      </c>
      <c r="H134" s="5">
        <f>MIN(F134,G134)</f>
        <v>3</v>
      </c>
      <c r="I134" s="5">
        <f>G134-H134</f>
        <v>0</v>
      </c>
      <c r="J134" s="5">
        <f>F134-H134</f>
        <v>15</v>
      </c>
      <c r="K134" s="5">
        <f>IF(I134&gt;0,1,0)</f>
        <v>0</v>
      </c>
      <c r="L134" s="5">
        <f>IF(J134&lt;PuntoReorden,1,0)</f>
        <v>0</v>
      </c>
      <c r="M134" s="9">
        <f>PrecioVenta*H134</f>
        <v>2040000</v>
      </c>
      <c r="N134" s="9">
        <f>CostoUnitario*E134</f>
        <v>9000000</v>
      </c>
      <c r="O134" s="9">
        <f>IF(E134&gt;0,CostoPedido,0)</f>
        <v>40000</v>
      </c>
      <c r="P134" s="9">
        <f>CostoAlm*(F134+J134)/2</f>
        <v>1320</v>
      </c>
      <c r="Q134" s="9">
        <f>CostoFijo*D134</f>
        <v>0</v>
      </c>
      <c r="R134" s="9">
        <f>M134-N134-O134-P134-Q134</f>
        <v>-7001320</v>
      </c>
      <c r="S134" s="21">
        <f>PuntoReorden</f>
        <v>7</v>
      </c>
    </row>
    <row r="135">
      <c r="A135" s="5">
        <f>A134+1</f>
        <v>130</v>
      </c>
      <c r="B135" s="20">
        <f>B134+IF(WEEKDAY(B134,2)=6,2,1)</f>
        <v>46174</v>
      </c>
      <c r="C135" s="5">
        <f>MONTH(B135)</f>
        <v>6</v>
      </c>
      <c r="D135" s="5">
        <f>IF(C135&lt;&gt;C134,1,0)</f>
        <v>1</v>
      </c>
      <c r="E135" s="5">
        <f>IF(L134=1,CantPedido,0)</f>
        <v>0</v>
      </c>
      <c r="F135" s="5">
        <f>J134+E135</f>
        <v>15</v>
      </c>
      <c r="G135" s="5">
        <f>VLOOKUP(RAND(),TablaEmpirica,2,TRUE)</f>
        <v>5</v>
      </c>
      <c r="H135" s="5">
        <f>MIN(F135,G135)</f>
        <v>5</v>
      </c>
      <c r="I135" s="5">
        <f>G135-H135</f>
        <v>0</v>
      </c>
      <c r="J135" s="5">
        <f>F135-H135</f>
        <v>10</v>
      </c>
      <c r="K135" s="5">
        <f>IF(I135&gt;0,1,0)</f>
        <v>0</v>
      </c>
      <c r="L135" s="5">
        <f>IF(J135&lt;PuntoReorden,1,0)</f>
        <v>0</v>
      </c>
      <c r="M135" s="9">
        <f>PrecioVenta*H135</f>
        <v>3400000</v>
      </c>
      <c r="N135" s="9">
        <f>CostoUnitario*E135</f>
        <v>0</v>
      </c>
      <c r="O135" s="9">
        <f>IF(E135&gt;0,CostoPedido,0)</f>
        <v>0</v>
      </c>
      <c r="P135" s="9">
        <f>CostoAlm*(F135+J135)/2</f>
        <v>1000</v>
      </c>
      <c r="Q135" s="9">
        <f>CostoFijo*D135</f>
        <v>1000000</v>
      </c>
      <c r="R135" s="9">
        <f>M135-N135-O135-P135-Q135</f>
        <v>2399000</v>
      </c>
      <c r="S135" s="21">
        <f>PuntoReorden</f>
        <v>7</v>
      </c>
    </row>
    <row r="136">
      <c r="A136" s="5">
        <f>A135+1</f>
        <v>131</v>
      </c>
      <c r="B136" s="20">
        <f>B135+IF(WEEKDAY(B135,2)=6,2,1)</f>
        <v>46175</v>
      </c>
      <c r="C136" s="5">
        <f>MONTH(B136)</f>
        <v>6</v>
      </c>
      <c r="D136" s="5">
        <f>IF(C136&lt;&gt;C135,1,0)</f>
        <v>0</v>
      </c>
      <c r="E136" s="5">
        <f>IF(L135=1,CantPedido,0)</f>
        <v>0</v>
      </c>
      <c r="F136" s="5">
        <f>J135+E136</f>
        <v>10</v>
      </c>
      <c r="G136" s="5">
        <f>VLOOKUP(RAND(),TablaEmpirica,2,TRUE)</f>
        <v>6</v>
      </c>
      <c r="H136" s="5">
        <f>MIN(F136,G136)</f>
        <v>6</v>
      </c>
      <c r="I136" s="5">
        <f>G136-H136</f>
        <v>0</v>
      </c>
      <c r="J136" s="5">
        <f>F136-H136</f>
        <v>4</v>
      </c>
      <c r="K136" s="5">
        <f>IF(I136&gt;0,1,0)</f>
        <v>0</v>
      </c>
      <c r="L136" s="5">
        <f>IF(J136&lt;PuntoReorden,1,0)</f>
        <v>1</v>
      </c>
      <c r="M136" s="9">
        <f>PrecioVenta*H136</f>
        <v>4080000</v>
      </c>
      <c r="N136" s="9">
        <f>CostoUnitario*E136</f>
        <v>0</v>
      </c>
      <c r="O136" s="9">
        <f>IF(E136&gt;0,CostoPedido,0)</f>
        <v>0</v>
      </c>
      <c r="P136" s="9">
        <f>CostoAlm*(F136+J136)/2</f>
        <v>560</v>
      </c>
      <c r="Q136" s="9">
        <f>CostoFijo*D136</f>
        <v>0</v>
      </c>
      <c r="R136" s="9">
        <f>M136-N136-O136-P136-Q136</f>
        <v>4079440</v>
      </c>
      <c r="S136" s="21">
        <f>PuntoReorden</f>
        <v>7</v>
      </c>
    </row>
    <row r="137">
      <c r="A137" s="5">
        <f>A136+1</f>
        <v>132</v>
      </c>
      <c r="B137" s="20">
        <f>B136+IF(WEEKDAY(B136,2)=6,2,1)</f>
        <v>46176</v>
      </c>
      <c r="C137" s="5">
        <f>MONTH(B137)</f>
        <v>6</v>
      </c>
      <c r="D137" s="5">
        <f>IF(C137&lt;&gt;C136,1,0)</f>
        <v>0</v>
      </c>
      <c r="E137" s="5">
        <f>IF(L136=1,CantPedido,0)</f>
        <v>15</v>
      </c>
      <c r="F137" s="5">
        <f>J136+E137</f>
        <v>19</v>
      </c>
      <c r="G137" s="5">
        <f>VLOOKUP(RAND(),TablaEmpirica,2,TRUE)</f>
        <v>4</v>
      </c>
      <c r="H137" s="5">
        <f>MIN(F137,G137)</f>
        <v>4</v>
      </c>
      <c r="I137" s="5">
        <f>G137-H137</f>
        <v>0</v>
      </c>
      <c r="J137" s="5">
        <f>F137-H137</f>
        <v>15</v>
      </c>
      <c r="K137" s="5">
        <f>IF(I137&gt;0,1,0)</f>
        <v>0</v>
      </c>
      <c r="L137" s="5">
        <f>IF(J137&lt;PuntoReorden,1,0)</f>
        <v>0</v>
      </c>
      <c r="M137" s="9">
        <f>PrecioVenta*H137</f>
        <v>2720000</v>
      </c>
      <c r="N137" s="9">
        <f>CostoUnitario*E137</f>
        <v>9000000</v>
      </c>
      <c r="O137" s="9">
        <f>IF(E137&gt;0,CostoPedido,0)</f>
        <v>40000</v>
      </c>
      <c r="P137" s="9">
        <f>CostoAlm*(F137+J137)/2</f>
        <v>1360</v>
      </c>
      <c r="Q137" s="9">
        <f>CostoFijo*D137</f>
        <v>0</v>
      </c>
      <c r="R137" s="9">
        <f>M137-N137-O137-P137-Q137</f>
        <v>-6321360</v>
      </c>
      <c r="S137" s="21">
        <f>PuntoReorden</f>
        <v>7</v>
      </c>
    </row>
    <row r="138">
      <c r="A138" s="5">
        <f>A137+1</f>
        <v>133</v>
      </c>
      <c r="B138" s="20">
        <f>B137+IF(WEEKDAY(B137,2)=6,2,1)</f>
        <v>46177</v>
      </c>
      <c r="C138" s="5">
        <f>MONTH(B138)</f>
        <v>6</v>
      </c>
      <c r="D138" s="5">
        <f>IF(C138&lt;&gt;C137,1,0)</f>
        <v>0</v>
      </c>
      <c r="E138" s="5">
        <f>IF(L137=1,CantPedido,0)</f>
        <v>0</v>
      </c>
      <c r="F138" s="5">
        <f>J137+E138</f>
        <v>15</v>
      </c>
      <c r="G138" s="5">
        <f>VLOOKUP(RAND(),TablaEmpirica,2,TRUE)</f>
        <v>5</v>
      </c>
      <c r="H138" s="5">
        <f>MIN(F138,G138)</f>
        <v>5</v>
      </c>
      <c r="I138" s="5">
        <f>G138-H138</f>
        <v>0</v>
      </c>
      <c r="J138" s="5">
        <f>F138-H138</f>
        <v>10</v>
      </c>
      <c r="K138" s="5">
        <f>IF(I138&gt;0,1,0)</f>
        <v>0</v>
      </c>
      <c r="L138" s="5">
        <f>IF(J138&lt;PuntoReorden,1,0)</f>
        <v>0</v>
      </c>
      <c r="M138" s="9">
        <f>PrecioVenta*H138</f>
        <v>3400000</v>
      </c>
      <c r="N138" s="9">
        <f>CostoUnitario*E138</f>
        <v>0</v>
      </c>
      <c r="O138" s="9">
        <f>IF(E138&gt;0,CostoPedido,0)</f>
        <v>0</v>
      </c>
      <c r="P138" s="9">
        <f>CostoAlm*(F138+J138)/2</f>
        <v>1000</v>
      </c>
      <c r="Q138" s="9">
        <f>CostoFijo*D138</f>
        <v>0</v>
      </c>
      <c r="R138" s="9">
        <f>M138-N138-O138-P138-Q138</f>
        <v>3399000</v>
      </c>
      <c r="S138" s="21">
        <f>PuntoReorden</f>
        <v>7</v>
      </c>
    </row>
    <row r="139">
      <c r="A139" s="5">
        <f>A138+1</f>
        <v>134</v>
      </c>
      <c r="B139" s="20">
        <f>B138+IF(WEEKDAY(B138,2)=6,2,1)</f>
        <v>46178</v>
      </c>
      <c r="C139" s="5">
        <f>MONTH(B139)</f>
        <v>6</v>
      </c>
      <c r="D139" s="5">
        <f>IF(C139&lt;&gt;C138,1,0)</f>
        <v>0</v>
      </c>
      <c r="E139" s="5">
        <f>IF(L138=1,CantPedido,0)</f>
        <v>0</v>
      </c>
      <c r="F139" s="5">
        <f>J138+E139</f>
        <v>10</v>
      </c>
      <c r="G139" s="5">
        <f>VLOOKUP(RAND(),TablaEmpirica,2,TRUE)</f>
        <v>3</v>
      </c>
      <c r="H139" s="5">
        <f>MIN(F139,G139)</f>
        <v>3</v>
      </c>
      <c r="I139" s="5">
        <f>G139-H139</f>
        <v>0</v>
      </c>
      <c r="J139" s="5">
        <f>F139-H139</f>
        <v>7</v>
      </c>
      <c r="K139" s="5">
        <f>IF(I139&gt;0,1,0)</f>
        <v>0</v>
      </c>
      <c r="L139" s="5">
        <f>IF(J139&lt;PuntoReorden,1,0)</f>
        <v>0</v>
      </c>
      <c r="M139" s="9">
        <f>PrecioVenta*H139</f>
        <v>2040000</v>
      </c>
      <c r="N139" s="9">
        <f>CostoUnitario*E139</f>
        <v>0</v>
      </c>
      <c r="O139" s="9">
        <f>IF(E139&gt;0,CostoPedido,0)</f>
        <v>0</v>
      </c>
      <c r="P139" s="9">
        <f>CostoAlm*(F139+J139)/2</f>
        <v>680</v>
      </c>
      <c r="Q139" s="9">
        <f>CostoFijo*D139</f>
        <v>0</v>
      </c>
      <c r="R139" s="9">
        <f>M139-N139-O139-P139-Q139</f>
        <v>2039320</v>
      </c>
      <c r="S139" s="21">
        <f>PuntoReorden</f>
        <v>7</v>
      </c>
    </row>
    <row r="140">
      <c r="A140" s="5">
        <f>A139+1</f>
        <v>135</v>
      </c>
      <c r="B140" s="20">
        <f>B139+IF(WEEKDAY(B139,2)=6,2,1)</f>
        <v>46179</v>
      </c>
      <c r="C140" s="5">
        <f>MONTH(B140)</f>
        <v>6</v>
      </c>
      <c r="D140" s="5">
        <f>IF(C140&lt;&gt;C139,1,0)</f>
        <v>0</v>
      </c>
      <c r="E140" s="5">
        <f>IF(L139=1,CantPedido,0)</f>
        <v>0</v>
      </c>
      <c r="F140" s="5">
        <f>J139+E140</f>
        <v>7</v>
      </c>
      <c r="G140" s="5">
        <f>VLOOKUP(RAND(),TablaEmpirica,2,TRUE)</f>
        <v>5</v>
      </c>
      <c r="H140" s="5">
        <f>MIN(F140,G140)</f>
        <v>5</v>
      </c>
      <c r="I140" s="5">
        <f>G140-H140</f>
        <v>0</v>
      </c>
      <c r="J140" s="5">
        <f>F140-H140</f>
        <v>2</v>
      </c>
      <c r="K140" s="5">
        <f>IF(I140&gt;0,1,0)</f>
        <v>0</v>
      </c>
      <c r="L140" s="5">
        <f>IF(J140&lt;PuntoReorden,1,0)</f>
        <v>1</v>
      </c>
      <c r="M140" s="9">
        <f>PrecioVenta*H140</f>
        <v>3400000</v>
      </c>
      <c r="N140" s="9">
        <f>CostoUnitario*E140</f>
        <v>0</v>
      </c>
      <c r="O140" s="9">
        <f>IF(E140&gt;0,CostoPedido,0)</f>
        <v>0</v>
      </c>
      <c r="P140" s="9">
        <f>CostoAlm*(F140+J140)/2</f>
        <v>360</v>
      </c>
      <c r="Q140" s="9">
        <f>CostoFijo*D140</f>
        <v>0</v>
      </c>
      <c r="R140" s="9">
        <f>M140-N140-O140-P140-Q140</f>
        <v>3399640</v>
      </c>
      <c r="S140" s="21">
        <f>PuntoReorden</f>
        <v>7</v>
      </c>
    </row>
    <row r="141">
      <c r="A141" s="5">
        <f>A140+1</f>
        <v>136</v>
      </c>
      <c r="B141" s="20">
        <f>B140+IF(WEEKDAY(B140,2)=6,2,1)</f>
        <v>46181</v>
      </c>
      <c r="C141" s="5">
        <f>MONTH(B141)</f>
        <v>6</v>
      </c>
      <c r="D141" s="5">
        <f>IF(C141&lt;&gt;C140,1,0)</f>
        <v>0</v>
      </c>
      <c r="E141" s="5">
        <f>IF(L140=1,CantPedido,0)</f>
        <v>15</v>
      </c>
      <c r="F141" s="5">
        <f>J140+E141</f>
        <v>17</v>
      </c>
      <c r="G141" s="5">
        <f>VLOOKUP(RAND(),TablaEmpirica,2,TRUE)</f>
        <v>5</v>
      </c>
      <c r="H141" s="5">
        <f>MIN(F141,G141)</f>
        <v>5</v>
      </c>
      <c r="I141" s="5">
        <f>G141-H141</f>
        <v>0</v>
      </c>
      <c r="J141" s="5">
        <f>F141-H141</f>
        <v>12</v>
      </c>
      <c r="K141" s="5">
        <f>IF(I141&gt;0,1,0)</f>
        <v>0</v>
      </c>
      <c r="L141" s="5">
        <f>IF(J141&lt;PuntoReorden,1,0)</f>
        <v>0</v>
      </c>
      <c r="M141" s="9">
        <f>PrecioVenta*H141</f>
        <v>3400000</v>
      </c>
      <c r="N141" s="9">
        <f>CostoUnitario*E141</f>
        <v>9000000</v>
      </c>
      <c r="O141" s="9">
        <f>IF(E141&gt;0,CostoPedido,0)</f>
        <v>40000</v>
      </c>
      <c r="P141" s="9">
        <f>CostoAlm*(F141+J141)/2</f>
        <v>1160</v>
      </c>
      <c r="Q141" s="9">
        <f>CostoFijo*D141</f>
        <v>0</v>
      </c>
      <c r="R141" s="9">
        <f>M141-N141-O141-P141-Q141</f>
        <v>-5641160</v>
      </c>
      <c r="S141" s="21">
        <f>PuntoReorden</f>
        <v>7</v>
      </c>
    </row>
    <row r="142">
      <c r="A142" s="5">
        <f>A141+1</f>
        <v>137</v>
      </c>
      <c r="B142" s="20">
        <f>B141+IF(WEEKDAY(B141,2)=6,2,1)</f>
        <v>46182</v>
      </c>
      <c r="C142" s="5">
        <f>MONTH(B142)</f>
        <v>6</v>
      </c>
      <c r="D142" s="5">
        <f>IF(C142&lt;&gt;C141,1,0)</f>
        <v>0</v>
      </c>
      <c r="E142" s="5">
        <f>IF(L141=1,CantPedido,0)</f>
        <v>0</v>
      </c>
      <c r="F142" s="5">
        <f>J141+E142</f>
        <v>12</v>
      </c>
      <c r="G142" s="5">
        <f>VLOOKUP(RAND(),TablaEmpirica,2,TRUE)</f>
        <v>3</v>
      </c>
      <c r="H142" s="5">
        <f>MIN(F142,G142)</f>
        <v>3</v>
      </c>
      <c r="I142" s="5">
        <f>G142-H142</f>
        <v>0</v>
      </c>
      <c r="J142" s="5">
        <f>F142-H142</f>
        <v>9</v>
      </c>
      <c r="K142" s="5">
        <f>IF(I142&gt;0,1,0)</f>
        <v>0</v>
      </c>
      <c r="L142" s="5">
        <f>IF(J142&lt;PuntoReorden,1,0)</f>
        <v>0</v>
      </c>
      <c r="M142" s="9">
        <f>PrecioVenta*H142</f>
        <v>2040000</v>
      </c>
      <c r="N142" s="9">
        <f>CostoUnitario*E142</f>
        <v>0</v>
      </c>
      <c r="O142" s="9">
        <f>IF(E142&gt;0,CostoPedido,0)</f>
        <v>0</v>
      </c>
      <c r="P142" s="9">
        <f>CostoAlm*(F142+J142)/2</f>
        <v>840</v>
      </c>
      <c r="Q142" s="9">
        <f>CostoFijo*D142</f>
        <v>0</v>
      </c>
      <c r="R142" s="9">
        <f>M142-N142-O142-P142-Q142</f>
        <v>2039160</v>
      </c>
      <c r="S142" s="21">
        <f>PuntoReorden</f>
        <v>7</v>
      </c>
    </row>
    <row r="143">
      <c r="A143" s="5">
        <f>A142+1</f>
        <v>138</v>
      </c>
      <c r="B143" s="20">
        <f>B142+IF(WEEKDAY(B142,2)=6,2,1)</f>
        <v>46183</v>
      </c>
      <c r="C143" s="5">
        <f>MONTH(B143)</f>
        <v>6</v>
      </c>
      <c r="D143" s="5">
        <f>IF(C143&lt;&gt;C142,1,0)</f>
        <v>0</v>
      </c>
      <c r="E143" s="5">
        <f>IF(L142=1,CantPedido,0)</f>
        <v>0</v>
      </c>
      <c r="F143" s="5">
        <f>J142+E143</f>
        <v>9</v>
      </c>
      <c r="G143" s="5">
        <f>VLOOKUP(RAND(),TablaEmpirica,2,TRUE)</f>
        <v>3</v>
      </c>
      <c r="H143" s="5">
        <f>MIN(F143,G143)</f>
        <v>3</v>
      </c>
      <c r="I143" s="5">
        <f>G143-H143</f>
        <v>0</v>
      </c>
      <c r="J143" s="5">
        <f>F143-H143</f>
        <v>6</v>
      </c>
      <c r="K143" s="5">
        <f>IF(I143&gt;0,1,0)</f>
        <v>0</v>
      </c>
      <c r="L143" s="5">
        <f>IF(J143&lt;PuntoReorden,1,0)</f>
        <v>1</v>
      </c>
      <c r="M143" s="9">
        <f>PrecioVenta*H143</f>
        <v>2040000</v>
      </c>
      <c r="N143" s="9">
        <f>CostoUnitario*E143</f>
        <v>0</v>
      </c>
      <c r="O143" s="9">
        <f>IF(E143&gt;0,CostoPedido,0)</f>
        <v>0</v>
      </c>
      <c r="P143" s="9">
        <f>CostoAlm*(F143+J143)/2</f>
        <v>600</v>
      </c>
      <c r="Q143" s="9">
        <f>CostoFijo*D143</f>
        <v>0</v>
      </c>
      <c r="R143" s="9">
        <f>M143-N143-O143-P143-Q143</f>
        <v>2039400</v>
      </c>
      <c r="S143" s="21">
        <f>PuntoReorden</f>
        <v>7</v>
      </c>
    </row>
    <row r="144">
      <c r="A144" s="5">
        <f>A143+1</f>
        <v>139</v>
      </c>
      <c r="B144" s="20">
        <f>B143+IF(WEEKDAY(B143,2)=6,2,1)</f>
        <v>46184</v>
      </c>
      <c r="C144" s="5">
        <f>MONTH(B144)</f>
        <v>6</v>
      </c>
      <c r="D144" s="5">
        <f>IF(C144&lt;&gt;C143,1,0)</f>
        <v>0</v>
      </c>
      <c r="E144" s="5">
        <f>IF(L143=1,CantPedido,0)</f>
        <v>15</v>
      </c>
      <c r="F144" s="5">
        <f>J143+E144</f>
        <v>21</v>
      </c>
      <c r="G144" s="5">
        <f>VLOOKUP(RAND(),TablaEmpirica,2,TRUE)</f>
        <v>5</v>
      </c>
      <c r="H144" s="5">
        <f>MIN(F144,G144)</f>
        <v>5</v>
      </c>
      <c r="I144" s="5">
        <f>G144-H144</f>
        <v>0</v>
      </c>
      <c r="J144" s="5">
        <f>F144-H144</f>
        <v>16</v>
      </c>
      <c r="K144" s="5">
        <f>IF(I144&gt;0,1,0)</f>
        <v>0</v>
      </c>
      <c r="L144" s="5">
        <f>IF(J144&lt;PuntoReorden,1,0)</f>
        <v>0</v>
      </c>
      <c r="M144" s="9">
        <f>PrecioVenta*H144</f>
        <v>3400000</v>
      </c>
      <c r="N144" s="9">
        <f>CostoUnitario*E144</f>
        <v>9000000</v>
      </c>
      <c r="O144" s="9">
        <f>IF(E144&gt;0,CostoPedido,0)</f>
        <v>40000</v>
      </c>
      <c r="P144" s="9">
        <f>CostoAlm*(F144+J144)/2</f>
        <v>1480</v>
      </c>
      <c r="Q144" s="9">
        <f>CostoFijo*D144</f>
        <v>0</v>
      </c>
      <c r="R144" s="9">
        <f>M144-N144-O144-P144-Q144</f>
        <v>-5641480</v>
      </c>
      <c r="S144" s="21">
        <f>PuntoReorden</f>
        <v>7</v>
      </c>
    </row>
    <row r="145">
      <c r="A145" s="5">
        <f>A144+1</f>
        <v>140</v>
      </c>
      <c r="B145" s="20">
        <f>B144+IF(WEEKDAY(B144,2)=6,2,1)</f>
        <v>46185</v>
      </c>
      <c r="C145" s="5">
        <f>MONTH(B145)</f>
        <v>6</v>
      </c>
      <c r="D145" s="5">
        <f>IF(C145&lt;&gt;C144,1,0)</f>
        <v>0</v>
      </c>
      <c r="E145" s="5">
        <f>IF(L144=1,CantPedido,0)</f>
        <v>0</v>
      </c>
      <c r="F145" s="5">
        <f>J144+E145</f>
        <v>16</v>
      </c>
      <c r="G145" s="5">
        <f>VLOOKUP(RAND(),TablaEmpirica,2,TRUE)</f>
        <v>5</v>
      </c>
      <c r="H145" s="5">
        <f>MIN(F145,G145)</f>
        <v>5</v>
      </c>
      <c r="I145" s="5">
        <f>G145-H145</f>
        <v>0</v>
      </c>
      <c r="J145" s="5">
        <f>F145-H145</f>
        <v>11</v>
      </c>
      <c r="K145" s="5">
        <f>IF(I145&gt;0,1,0)</f>
        <v>0</v>
      </c>
      <c r="L145" s="5">
        <f>IF(J145&lt;PuntoReorden,1,0)</f>
        <v>0</v>
      </c>
      <c r="M145" s="9">
        <f>PrecioVenta*H145</f>
        <v>3400000</v>
      </c>
      <c r="N145" s="9">
        <f>CostoUnitario*E145</f>
        <v>0</v>
      </c>
      <c r="O145" s="9">
        <f>IF(E145&gt;0,CostoPedido,0)</f>
        <v>0</v>
      </c>
      <c r="P145" s="9">
        <f>CostoAlm*(F145+J145)/2</f>
        <v>1080</v>
      </c>
      <c r="Q145" s="9">
        <f>CostoFijo*D145</f>
        <v>0</v>
      </c>
      <c r="R145" s="9">
        <f>M145-N145-O145-P145-Q145</f>
        <v>3398920</v>
      </c>
      <c r="S145" s="21">
        <f>PuntoReorden</f>
        <v>7</v>
      </c>
    </row>
    <row r="146">
      <c r="A146" s="5">
        <f>A145+1</f>
        <v>141</v>
      </c>
      <c r="B146" s="20">
        <f>B145+IF(WEEKDAY(B145,2)=6,2,1)</f>
        <v>46186</v>
      </c>
      <c r="C146" s="5">
        <f>MONTH(B146)</f>
        <v>6</v>
      </c>
      <c r="D146" s="5">
        <f>IF(C146&lt;&gt;C145,1,0)</f>
        <v>0</v>
      </c>
      <c r="E146" s="5">
        <f>IF(L145=1,CantPedido,0)</f>
        <v>0</v>
      </c>
      <c r="F146" s="5">
        <f>J145+E146</f>
        <v>11</v>
      </c>
      <c r="G146" s="5">
        <f>VLOOKUP(RAND(),TablaEmpirica,2,TRUE)</f>
        <v>5</v>
      </c>
      <c r="H146" s="5">
        <f>MIN(F146,G146)</f>
        <v>5</v>
      </c>
      <c r="I146" s="5">
        <f>G146-H146</f>
        <v>0</v>
      </c>
      <c r="J146" s="5">
        <f>F146-H146</f>
        <v>6</v>
      </c>
      <c r="K146" s="5">
        <f>IF(I146&gt;0,1,0)</f>
        <v>0</v>
      </c>
      <c r="L146" s="5">
        <f>IF(J146&lt;PuntoReorden,1,0)</f>
        <v>1</v>
      </c>
      <c r="M146" s="9">
        <f>PrecioVenta*H146</f>
        <v>3400000</v>
      </c>
      <c r="N146" s="9">
        <f>CostoUnitario*E146</f>
        <v>0</v>
      </c>
      <c r="O146" s="9">
        <f>IF(E146&gt;0,CostoPedido,0)</f>
        <v>0</v>
      </c>
      <c r="P146" s="9">
        <f>CostoAlm*(F146+J146)/2</f>
        <v>680</v>
      </c>
      <c r="Q146" s="9">
        <f>CostoFijo*D146</f>
        <v>0</v>
      </c>
      <c r="R146" s="9">
        <f>M146-N146-O146-P146-Q146</f>
        <v>3399320</v>
      </c>
      <c r="S146" s="21">
        <f>PuntoReorden</f>
        <v>7</v>
      </c>
    </row>
    <row r="147">
      <c r="A147" s="5">
        <f>A146+1</f>
        <v>142</v>
      </c>
      <c r="B147" s="20">
        <f>B146+IF(WEEKDAY(B146,2)=6,2,1)</f>
        <v>46188</v>
      </c>
      <c r="C147" s="5">
        <f>MONTH(B147)</f>
        <v>6</v>
      </c>
      <c r="D147" s="5">
        <f>IF(C147&lt;&gt;C146,1,0)</f>
        <v>0</v>
      </c>
      <c r="E147" s="5">
        <f>IF(L146=1,CantPedido,0)</f>
        <v>15</v>
      </c>
      <c r="F147" s="5">
        <f>J146+E147</f>
        <v>21</v>
      </c>
      <c r="G147" s="5">
        <f>VLOOKUP(RAND(),TablaEmpirica,2,TRUE)</f>
        <v>3</v>
      </c>
      <c r="H147" s="5">
        <f>MIN(F147,G147)</f>
        <v>3</v>
      </c>
      <c r="I147" s="5">
        <f>G147-H147</f>
        <v>0</v>
      </c>
      <c r="J147" s="5">
        <f>F147-H147</f>
        <v>18</v>
      </c>
      <c r="K147" s="5">
        <f>IF(I147&gt;0,1,0)</f>
        <v>0</v>
      </c>
      <c r="L147" s="5">
        <f>IF(J147&lt;PuntoReorden,1,0)</f>
        <v>0</v>
      </c>
      <c r="M147" s="9">
        <f>PrecioVenta*H147</f>
        <v>2040000</v>
      </c>
      <c r="N147" s="9">
        <f>CostoUnitario*E147</f>
        <v>9000000</v>
      </c>
      <c r="O147" s="9">
        <f>IF(E147&gt;0,CostoPedido,0)</f>
        <v>40000</v>
      </c>
      <c r="P147" s="9">
        <f>CostoAlm*(F147+J147)/2</f>
        <v>1560</v>
      </c>
      <c r="Q147" s="9">
        <f>CostoFijo*D147</f>
        <v>0</v>
      </c>
      <c r="R147" s="9">
        <f>M147-N147-O147-P147-Q147</f>
        <v>-7001560</v>
      </c>
      <c r="S147" s="21">
        <f>PuntoReorden</f>
        <v>7</v>
      </c>
    </row>
    <row r="148">
      <c r="A148" s="5">
        <f>A147+1</f>
        <v>143</v>
      </c>
      <c r="B148" s="20">
        <f>B147+IF(WEEKDAY(B147,2)=6,2,1)</f>
        <v>46189</v>
      </c>
      <c r="C148" s="5">
        <f>MONTH(B148)</f>
        <v>6</v>
      </c>
      <c r="D148" s="5">
        <f>IF(C148&lt;&gt;C147,1,0)</f>
        <v>0</v>
      </c>
      <c r="E148" s="5">
        <f>IF(L147=1,CantPedido,0)</f>
        <v>0</v>
      </c>
      <c r="F148" s="5">
        <f>J147+E148</f>
        <v>18</v>
      </c>
      <c r="G148" s="5">
        <f>VLOOKUP(RAND(),TablaEmpirica,2,TRUE)</f>
        <v>6</v>
      </c>
      <c r="H148" s="5">
        <f>MIN(F148,G148)</f>
        <v>6</v>
      </c>
      <c r="I148" s="5">
        <f>G148-H148</f>
        <v>0</v>
      </c>
      <c r="J148" s="5">
        <f>F148-H148</f>
        <v>12</v>
      </c>
      <c r="K148" s="5">
        <f>IF(I148&gt;0,1,0)</f>
        <v>0</v>
      </c>
      <c r="L148" s="5">
        <f>IF(J148&lt;PuntoReorden,1,0)</f>
        <v>0</v>
      </c>
      <c r="M148" s="9">
        <f>PrecioVenta*H148</f>
        <v>4080000</v>
      </c>
      <c r="N148" s="9">
        <f>CostoUnitario*E148</f>
        <v>0</v>
      </c>
      <c r="O148" s="9">
        <f>IF(E148&gt;0,CostoPedido,0)</f>
        <v>0</v>
      </c>
      <c r="P148" s="9">
        <f>CostoAlm*(F148+J148)/2</f>
        <v>1200</v>
      </c>
      <c r="Q148" s="9">
        <f>CostoFijo*D148</f>
        <v>0</v>
      </c>
      <c r="R148" s="9">
        <f>M148-N148-O148-P148-Q148</f>
        <v>4078800</v>
      </c>
      <c r="S148" s="21">
        <f>PuntoReorden</f>
        <v>7</v>
      </c>
    </row>
    <row r="149">
      <c r="A149" s="5">
        <f>A148+1</f>
        <v>144</v>
      </c>
      <c r="B149" s="20">
        <f>B148+IF(WEEKDAY(B148,2)=6,2,1)</f>
        <v>46190</v>
      </c>
      <c r="C149" s="5">
        <f>MONTH(B149)</f>
        <v>6</v>
      </c>
      <c r="D149" s="5">
        <f>IF(C149&lt;&gt;C148,1,0)</f>
        <v>0</v>
      </c>
      <c r="E149" s="5">
        <f>IF(L148=1,CantPedido,0)</f>
        <v>0</v>
      </c>
      <c r="F149" s="5">
        <f>J148+E149</f>
        <v>12</v>
      </c>
      <c r="G149" s="5">
        <f>VLOOKUP(RAND(),TablaEmpirica,2,TRUE)</f>
        <v>5</v>
      </c>
      <c r="H149" s="5">
        <f>MIN(F149,G149)</f>
        <v>5</v>
      </c>
      <c r="I149" s="5">
        <f>G149-H149</f>
        <v>0</v>
      </c>
      <c r="J149" s="5">
        <f>F149-H149</f>
        <v>7</v>
      </c>
      <c r="K149" s="5">
        <f>IF(I149&gt;0,1,0)</f>
        <v>0</v>
      </c>
      <c r="L149" s="5">
        <f>IF(J149&lt;PuntoReorden,1,0)</f>
        <v>0</v>
      </c>
      <c r="M149" s="9">
        <f>PrecioVenta*H149</f>
        <v>3400000</v>
      </c>
      <c r="N149" s="9">
        <f>CostoUnitario*E149</f>
        <v>0</v>
      </c>
      <c r="O149" s="9">
        <f>IF(E149&gt;0,CostoPedido,0)</f>
        <v>0</v>
      </c>
      <c r="P149" s="9">
        <f>CostoAlm*(F149+J149)/2</f>
        <v>760</v>
      </c>
      <c r="Q149" s="9">
        <f>CostoFijo*D149</f>
        <v>0</v>
      </c>
      <c r="R149" s="9">
        <f>M149-N149-O149-P149-Q149</f>
        <v>3399240</v>
      </c>
      <c r="S149" s="21">
        <f>PuntoReorden</f>
        <v>7</v>
      </c>
    </row>
    <row r="150">
      <c r="A150" s="5">
        <f>A149+1</f>
        <v>145</v>
      </c>
      <c r="B150" s="20">
        <f>B149+IF(WEEKDAY(B149,2)=6,2,1)</f>
        <v>46191</v>
      </c>
      <c r="C150" s="5">
        <f>MONTH(B150)</f>
        <v>6</v>
      </c>
      <c r="D150" s="5">
        <f>IF(C150&lt;&gt;C149,1,0)</f>
        <v>0</v>
      </c>
      <c r="E150" s="5">
        <f>IF(L149=1,CantPedido,0)</f>
        <v>0</v>
      </c>
      <c r="F150" s="5">
        <f>J149+E150</f>
        <v>7</v>
      </c>
      <c r="G150" s="5">
        <f>VLOOKUP(RAND(),TablaEmpirica,2,TRUE)</f>
        <v>6</v>
      </c>
      <c r="H150" s="5">
        <f>MIN(F150,G150)</f>
        <v>6</v>
      </c>
      <c r="I150" s="5">
        <f>G150-H150</f>
        <v>0</v>
      </c>
      <c r="J150" s="5">
        <f>F150-H150</f>
        <v>1</v>
      </c>
      <c r="K150" s="5">
        <f>IF(I150&gt;0,1,0)</f>
        <v>0</v>
      </c>
      <c r="L150" s="5">
        <f>IF(J150&lt;PuntoReorden,1,0)</f>
        <v>1</v>
      </c>
      <c r="M150" s="9">
        <f>PrecioVenta*H150</f>
        <v>4080000</v>
      </c>
      <c r="N150" s="9">
        <f>CostoUnitario*E150</f>
        <v>0</v>
      </c>
      <c r="O150" s="9">
        <f>IF(E150&gt;0,CostoPedido,0)</f>
        <v>0</v>
      </c>
      <c r="P150" s="9">
        <f>CostoAlm*(F150+J150)/2</f>
        <v>320</v>
      </c>
      <c r="Q150" s="9">
        <f>CostoFijo*D150</f>
        <v>0</v>
      </c>
      <c r="R150" s="9">
        <f>M150-N150-O150-P150-Q150</f>
        <v>4079680</v>
      </c>
      <c r="S150" s="21">
        <f>PuntoReorden</f>
        <v>7</v>
      </c>
    </row>
    <row r="151">
      <c r="A151" s="5">
        <f>A150+1</f>
        <v>146</v>
      </c>
      <c r="B151" s="20">
        <f>B150+IF(WEEKDAY(B150,2)=6,2,1)</f>
        <v>46192</v>
      </c>
      <c r="C151" s="5">
        <f>MONTH(B151)</f>
        <v>6</v>
      </c>
      <c r="D151" s="5">
        <f>IF(C151&lt;&gt;C150,1,0)</f>
        <v>0</v>
      </c>
      <c r="E151" s="5">
        <f>IF(L150=1,CantPedido,0)</f>
        <v>15</v>
      </c>
      <c r="F151" s="5">
        <f>J150+E151</f>
        <v>16</v>
      </c>
      <c r="G151" s="5">
        <f>VLOOKUP(RAND(),TablaEmpirica,2,TRUE)</f>
        <v>3</v>
      </c>
      <c r="H151" s="5">
        <f>MIN(F151,G151)</f>
        <v>3</v>
      </c>
      <c r="I151" s="5">
        <f>G151-H151</f>
        <v>0</v>
      </c>
      <c r="J151" s="5">
        <f>F151-H151</f>
        <v>13</v>
      </c>
      <c r="K151" s="5">
        <f>IF(I151&gt;0,1,0)</f>
        <v>0</v>
      </c>
      <c r="L151" s="5">
        <f>IF(J151&lt;PuntoReorden,1,0)</f>
        <v>0</v>
      </c>
      <c r="M151" s="9">
        <f>PrecioVenta*H151</f>
        <v>2040000</v>
      </c>
      <c r="N151" s="9">
        <f>CostoUnitario*E151</f>
        <v>9000000</v>
      </c>
      <c r="O151" s="9">
        <f>IF(E151&gt;0,CostoPedido,0)</f>
        <v>40000</v>
      </c>
      <c r="P151" s="9">
        <f>CostoAlm*(F151+J151)/2</f>
        <v>1160</v>
      </c>
      <c r="Q151" s="9">
        <f>CostoFijo*D151</f>
        <v>0</v>
      </c>
      <c r="R151" s="9">
        <f>M151-N151-O151-P151-Q151</f>
        <v>-7001160</v>
      </c>
      <c r="S151" s="21">
        <f>PuntoReorden</f>
        <v>7</v>
      </c>
    </row>
    <row r="152">
      <c r="A152" s="5">
        <f>A151+1</f>
        <v>147</v>
      </c>
      <c r="B152" s="20">
        <f>B151+IF(WEEKDAY(B151,2)=6,2,1)</f>
        <v>46193</v>
      </c>
      <c r="C152" s="5">
        <f>MONTH(B152)</f>
        <v>6</v>
      </c>
      <c r="D152" s="5">
        <f>IF(C152&lt;&gt;C151,1,0)</f>
        <v>0</v>
      </c>
      <c r="E152" s="5">
        <f>IF(L151=1,CantPedido,0)</f>
        <v>0</v>
      </c>
      <c r="F152" s="5">
        <f>J151+E152</f>
        <v>13</v>
      </c>
      <c r="G152" s="5">
        <f>VLOOKUP(RAND(),TablaEmpirica,2,TRUE)</f>
        <v>6</v>
      </c>
      <c r="H152" s="5">
        <f>MIN(F152,G152)</f>
        <v>6</v>
      </c>
      <c r="I152" s="5">
        <f>G152-H152</f>
        <v>0</v>
      </c>
      <c r="J152" s="5">
        <f>F152-H152</f>
        <v>7</v>
      </c>
      <c r="K152" s="5">
        <f>IF(I152&gt;0,1,0)</f>
        <v>0</v>
      </c>
      <c r="L152" s="5">
        <f>IF(J152&lt;PuntoReorden,1,0)</f>
        <v>0</v>
      </c>
      <c r="M152" s="9">
        <f>PrecioVenta*H152</f>
        <v>4080000</v>
      </c>
      <c r="N152" s="9">
        <f>CostoUnitario*E152</f>
        <v>0</v>
      </c>
      <c r="O152" s="9">
        <f>IF(E152&gt;0,CostoPedido,0)</f>
        <v>0</v>
      </c>
      <c r="P152" s="9">
        <f>CostoAlm*(F152+J152)/2</f>
        <v>800</v>
      </c>
      <c r="Q152" s="9">
        <f>CostoFijo*D152</f>
        <v>0</v>
      </c>
      <c r="R152" s="9">
        <f>M152-N152-O152-P152-Q152</f>
        <v>4079200</v>
      </c>
      <c r="S152" s="21">
        <f>PuntoReorden</f>
        <v>7</v>
      </c>
    </row>
    <row r="153">
      <c r="A153" s="5">
        <f>A152+1</f>
        <v>148</v>
      </c>
      <c r="B153" s="20">
        <f>B152+IF(WEEKDAY(B152,2)=6,2,1)</f>
        <v>46195</v>
      </c>
      <c r="C153" s="5">
        <f>MONTH(B153)</f>
        <v>6</v>
      </c>
      <c r="D153" s="5">
        <f>IF(C153&lt;&gt;C152,1,0)</f>
        <v>0</v>
      </c>
      <c r="E153" s="5">
        <f>IF(L152=1,CantPedido,0)</f>
        <v>0</v>
      </c>
      <c r="F153" s="5">
        <f>J152+E153</f>
        <v>7</v>
      </c>
      <c r="G153" s="5">
        <f>VLOOKUP(RAND(),TablaEmpirica,2,TRUE)</f>
        <v>5</v>
      </c>
      <c r="H153" s="5">
        <f>MIN(F153,G153)</f>
        <v>5</v>
      </c>
      <c r="I153" s="5">
        <f>G153-H153</f>
        <v>0</v>
      </c>
      <c r="J153" s="5">
        <f>F153-H153</f>
        <v>2</v>
      </c>
      <c r="K153" s="5">
        <f>IF(I153&gt;0,1,0)</f>
        <v>0</v>
      </c>
      <c r="L153" s="5">
        <f>IF(J153&lt;PuntoReorden,1,0)</f>
        <v>1</v>
      </c>
      <c r="M153" s="9">
        <f>PrecioVenta*H153</f>
        <v>3400000</v>
      </c>
      <c r="N153" s="9">
        <f>CostoUnitario*E153</f>
        <v>0</v>
      </c>
      <c r="O153" s="9">
        <f>IF(E153&gt;0,CostoPedido,0)</f>
        <v>0</v>
      </c>
      <c r="P153" s="9">
        <f>CostoAlm*(F153+J153)/2</f>
        <v>360</v>
      </c>
      <c r="Q153" s="9">
        <f>CostoFijo*D153</f>
        <v>0</v>
      </c>
      <c r="R153" s="9">
        <f>M153-N153-O153-P153-Q153</f>
        <v>3399640</v>
      </c>
      <c r="S153" s="21">
        <f>PuntoReorden</f>
        <v>7</v>
      </c>
    </row>
    <row r="154">
      <c r="A154" s="5">
        <f>A153+1</f>
        <v>149</v>
      </c>
      <c r="B154" s="20">
        <f>B153+IF(WEEKDAY(B153,2)=6,2,1)</f>
        <v>46196</v>
      </c>
      <c r="C154" s="5">
        <f>MONTH(B154)</f>
        <v>6</v>
      </c>
      <c r="D154" s="5">
        <f>IF(C154&lt;&gt;C153,1,0)</f>
        <v>0</v>
      </c>
      <c r="E154" s="5">
        <f>IF(L153=1,CantPedido,0)</f>
        <v>15</v>
      </c>
      <c r="F154" s="5">
        <f>J153+E154</f>
        <v>17</v>
      </c>
      <c r="G154" s="5">
        <f>VLOOKUP(RAND(),TablaEmpirica,2,TRUE)</f>
        <v>5</v>
      </c>
      <c r="H154" s="5">
        <f>MIN(F154,G154)</f>
        <v>5</v>
      </c>
      <c r="I154" s="5">
        <f>G154-H154</f>
        <v>0</v>
      </c>
      <c r="J154" s="5">
        <f>F154-H154</f>
        <v>12</v>
      </c>
      <c r="K154" s="5">
        <f>IF(I154&gt;0,1,0)</f>
        <v>0</v>
      </c>
      <c r="L154" s="5">
        <f>IF(J154&lt;PuntoReorden,1,0)</f>
        <v>0</v>
      </c>
      <c r="M154" s="9">
        <f>PrecioVenta*H154</f>
        <v>3400000</v>
      </c>
      <c r="N154" s="9">
        <f>CostoUnitario*E154</f>
        <v>9000000</v>
      </c>
      <c r="O154" s="9">
        <f>IF(E154&gt;0,CostoPedido,0)</f>
        <v>40000</v>
      </c>
      <c r="P154" s="9">
        <f>CostoAlm*(F154+J154)/2</f>
        <v>1160</v>
      </c>
      <c r="Q154" s="9">
        <f>CostoFijo*D154</f>
        <v>0</v>
      </c>
      <c r="R154" s="9">
        <f>M154-N154-O154-P154-Q154</f>
        <v>-5641160</v>
      </c>
      <c r="S154" s="21">
        <f>PuntoReorden</f>
        <v>7</v>
      </c>
    </row>
    <row r="155">
      <c r="A155" s="5">
        <f>A154+1</f>
        <v>150</v>
      </c>
      <c r="B155" s="20">
        <f>B154+IF(WEEKDAY(B154,2)=6,2,1)</f>
        <v>46197</v>
      </c>
      <c r="C155" s="5">
        <f>MONTH(B155)</f>
        <v>6</v>
      </c>
      <c r="D155" s="5">
        <f>IF(C155&lt;&gt;C154,1,0)</f>
        <v>0</v>
      </c>
      <c r="E155" s="5">
        <f>IF(L154=1,CantPedido,0)</f>
        <v>0</v>
      </c>
      <c r="F155" s="5">
        <f>J154+E155</f>
        <v>12</v>
      </c>
      <c r="G155" s="5">
        <f>VLOOKUP(RAND(),TablaEmpirica,2,TRUE)</f>
        <v>5</v>
      </c>
      <c r="H155" s="5">
        <f>MIN(F155,G155)</f>
        <v>5</v>
      </c>
      <c r="I155" s="5">
        <f>G155-H155</f>
        <v>0</v>
      </c>
      <c r="J155" s="5">
        <f>F155-H155</f>
        <v>7</v>
      </c>
      <c r="K155" s="5">
        <f>IF(I155&gt;0,1,0)</f>
        <v>0</v>
      </c>
      <c r="L155" s="5">
        <f>IF(J155&lt;PuntoReorden,1,0)</f>
        <v>0</v>
      </c>
      <c r="M155" s="9">
        <f>PrecioVenta*H155</f>
        <v>3400000</v>
      </c>
      <c r="N155" s="9">
        <f>CostoUnitario*E155</f>
        <v>0</v>
      </c>
      <c r="O155" s="9">
        <f>IF(E155&gt;0,CostoPedido,0)</f>
        <v>0</v>
      </c>
      <c r="P155" s="9">
        <f>CostoAlm*(F155+J155)/2</f>
        <v>760</v>
      </c>
      <c r="Q155" s="9">
        <f>CostoFijo*D155</f>
        <v>0</v>
      </c>
      <c r="R155" s="9">
        <f>M155-N155-O155-P155-Q155</f>
        <v>3399240</v>
      </c>
      <c r="S155" s="21">
        <f>PuntoReorden</f>
        <v>7</v>
      </c>
    </row>
    <row r="156">
      <c r="A156" s="5">
        <f>A155+1</f>
        <v>151</v>
      </c>
      <c r="B156" s="20">
        <f>B155+IF(WEEKDAY(B155,2)=6,2,1)</f>
        <v>46198</v>
      </c>
      <c r="C156" s="5">
        <f>MONTH(B156)</f>
        <v>6</v>
      </c>
      <c r="D156" s="5">
        <f>IF(C156&lt;&gt;C155,1,0)</f>
        <v>0</v>
      </c>
      <c r="E156" s="5">
        <f>IF(L155=1,CantPedido,0)</f>
        <v>0</v>
      </c>
      <c r="F156" s="5">
        <f>J155+E156</f>
        <v>7</v>
      </c>
      <c r="G156" s="5">
        <f>VLOOKUP(RAND(),TablaEmpirica,2,TRUE)</f>
        <v>5</v>
      </c>
      <c r="H156" s="5">
        <f>MIN(F156,G156)</f>
        <v>5</v>
      </c>
      <c r="I156" s="5">
        <f>G156-H156</f>
        <v>0</v>
      </c>
      <c r="J156" s="5">
        <f>F156-H156</f>
        <v>2</v>
      </c>
      <c r="K156" s="5">
        <f>IF(I156&gt;0,1,0)</f>
        <v>0</v>
      </c>
      <c r="L156" s="5">
        <f>IF(J156&lt;PuntoReorden,1,0)</f>
        <v>1</v>
      </c>
      <c r="M156" s="9">
        <f>PrecioVenta*H156</f>
        <v>3400000</v>
      </c>
      <c r="N156" s="9">
        <f>CostoUnitario*E156</f>
        <v>0</v>
      </c>
      <c r="O156" s="9">
        <f>IF(E156&gt;0,CostoPedido,0)</f>
        <v>0</v>
      </c>
      <c r="P156" s="9">
        <f>CostoAlm*(F156+J156)/2</f>
        <v>360</v>
      </c>
      <c r="Q156" s="9">
        <f>CostoFijo*D156</f>
        <v>0</v>
      </c>
      <c r="R156" s="9">
        <f>M156-N156-O156-P156-Q156</f>
        <v>3399640</v>
      </c>
      <c r="S156" s="21">
        <f>PuntoReorden</f>
        <v>7</v>
      </c>
    </row>
    <row r="157">
      <c r="A157" s="5">
        <f>A156+1</f>
        <v>152</v>
      </c>
      <c r="B157" s="20">
        <f>B156+IF(WEEKDAY(B156,2)=6,2,1)</f>
        <v>46199</v>
      </c>
      <c r="C157" s="5">
        <f>MONTH(B157)</f>
        <v>6</v>
      </c>
      <c r="D157" s="5">
        <f>IF(C157&lt;&gt;C156,1,0)</f>
        <v>0</v>
      </c>
      <c r="E157" s="5">
        <f>IF(L156=1,CantPedido,0)</f>
        <v>15</v>
      </c>
      <c r="F157" s="5">
        <f>J156+E157</f>
        <v>17</v>
      </c>
      <c r="G157" s="5">
        <f>VLOOKUP(RAND(),TablaEmpirica,2,TRUE)</f>
        <v>5</v>
      </c>
      <c r="H157" s="5">
        <f>MIN(F157,G157)</f>
        <v>5</v>
      </c>
      <c r="I157" s="5">
        <f>G157-H157</f>
        <v>0</v>
      </c>
      <c r="J157" s="5">
        <f>F157-H157</f>
        <v>12</v>
      </c>
      <c r="K157" s="5">
        <f>IF(I157&gt;0,1,0)</f>
        <v>0</v>
      </c>
      <c r="L157" s="5">
        <f>IF(J157&lt;PuntoReorden,1,0)</f>
        <v>0</v>
      </c>
      <c r="M157" s="9">
        <f>PrecioVenta*H157</f>
        <v>3400000</v>
      </c>
      <c r="N157" s="9">
        <f>CostoUnitario*E157</f>
        <v>9000000</v>
      </c>
      <c r="O157" s="9">
        <f>IF(E157&gt;0,CostoPedido,0)</f>
        <v>40000</v>
      </c>
      <c r="P157" s="9">
        <f>CostoAlm*(F157+J157)/2</f>
        <v>1160</v>
      </c>
      <c r="Q157" s="9">
        <f>CostoFijo*D157</f>
        <v>0</v>
      </c>
      <c r="R157" s="9">
        <f>M157-N157-O157-P157-Q157</f>
        <v>-5641160</v>
      </c>
      <c r="S157" s="21">
        <f>PuntoReorden</f>
        <v>7</v>
      </c>
    </row>
    <row r="158">
      <c r="A158" s="5">
        <f>A157+1</f>
        <v>153</v>
      </c>
      <c r="B158" s="20">
        <f>B157+IF(WEEKDAY(B157,2)=6,2,1)</f>
        <v>46200</v>
      </c>
      <c r="C158" s="5">
        <f>MONTH(B158)</f>
        <v>6</v>
      </c>
      <c r="D158" s="5">
        <f>IF(C158&lt;&gt;C157,1,0)</f>
        <v>0</v>
      </c>
      <c r="E158" s="5">
        <f>IF(L157=1,CantPedido,0)</f>
        <v>0</v>
      </c>
      <c r="F158" s="5">
        <f>J157+E158</f>
        <v>12</v>
      </c>
      <c r="G158" s="5">
        <f>VLOOKUP(RAND(),TablaEmpirica,2,TRUE)</f>
        <v>6</v>
      </c>
      <c r="H158" s="5">
        <f>MIN(F158,G158)</f>
        <v>6</v>
      </c>
      <c r="I158" s="5">
        <f>G158-H158</f>
        <v>0</v>
      </c>
      <c r="J158" s="5">
        <f>F158-H158</f>
        <v>6</v>
      </c>
      <c r="K158" s="5">
        <f>IF(I158&gt;0,1,0)</f>
        <v>0</v>
      </c>
      <c r="L158" s="5">
        <f>IF(J158&lt;PuntoReorden,1,0)</f>
        <v>1</v>
      </c>
      <c r="M158" s="9">
        <f>PrecioVenta*H158</f>
        <v>4080000</v>
      </c>
      <c r="N158" s="9">
        <f>CostoUnitario*E158</f>
        <v>0</v>
      </c>
      <c r="O158" s="9">
        <f>IF(E158&gt;0,CostoPedido,0)</f>
        <v>0</v>
      </c>
      <c r="P158" s="9">
        <f>CostoAlm*(F158+J158)/2</f>
        <v>720</v>
      </c>
      <c r="Q158" s="9">
        <f>CostoFijo*D158</f>
        <v>0</v>
      </c>
      <c r="R158" s="9">
        <f>M158-N158-O158-P158-Q158</f>
        <v>4079280</v>
      </c>
      <c r="S158" s="21">
        <f>PuntoReorden</f>
        <v>7</v>
      </c>
    </row>
    <row r="159">
      <c r="A159" s="5">
        <f>A158+1</f>
        <v>154</v>
      </c>
      <c r="B159" s="20">
        <f>B158+IF(WEEKDAY(B158,2)=6,2,1)</f>
        <v>46202</v>
      </c>
      <c r="C159" s="5">
        <f>MONTH(B159)</f>
        <v>6</v>
      </c>
      <c r="D159" s="5">
        <f>IF(C159&lt;&gt;C158,1,0)</f>
        <v>0</v>
      </c>
      <c r="E159" s="5">
        <f>IF(L158=1,CantPedido,0)</f>
        <v>15</v>
      </c>
      <c r="F159" s="5">
        <f>J158+E159</f>
        <v>21</v>
      </c>
      <c r="G159" s="5">
        <f>VLOOKUP(RAND(),TablaEmpirica,2,TRUE)</f>
        <v>3</v>
      </c>
      <c r="H159" s="5">
        <f>MIN(F159,G159)</f>
        <v>3</v>
      </c>
      <c r="I159" s="5">
        <f>G159-H159</f>
        <v>0</v>
      </c>
      <c r="J159" s="5">
        <f>F159-H159</f>
        <v>18</v>
      </c>
      <c r="K159" s="5">
        <f>IF(I159&gt;0,1,0)</f>
        <v>0</v>
      </c>
      <c r="L159" s="5">
        <f>IF(J159&lt;PuntoReorden,1,0)</f>
        <v>0</v>
      </c>
      <c r="M159" s="9">
        <f>PrecioVenta*H159</f>
        <v>2040000</v>
      </c>
      <c r="N159" s="9">
        <f>CostoUnitario*E159</f>
        <v>9000000</v>
      </c>
      <c r="O159" s="9">
        <f>IF(E159&gt;0,CostoPedido,0)</f>
        <v>40000</v>
      </c>
      <c r="P159" s="9">
        <f>CostoAlm*(F159+J159)/2</f>
        <v>1560</v>
      </c>
      <c r="Q159" s="9">
        <f>CostoFijo*D159</f>
        <v>0</v>
      </c>
      <c r="R159" s="9">
        <f>M159-N159-O159-P159-Q159</f>
        <v>-7001560</v>
      </c>
      <c r="S159" s="21">
        <f>PuntoReorden</f>
        <v>7</v>
      </c>
    </row>
    <row r="160">
      <c r="A160" s="5">
        <f>A159+1</f>
        <v>155</v>
      </c>
      <c r="B160" s="20">
        <f>B159+IF(WEEKDAY(B159,2)=6,2,1)</f>
        <v>46203</v>
      </c>
      <c r="C160" s="5">
        <f>MONTH(B160)</f>
        <v>6</v>
      </c>
      <c r="D160" s="5">
        <f>IF(C160&lt;&gt;C159,1,0)</f>
        <v>0</v>
      </c>
      <c r="E160" s="5">
        <f>IF(L159=1,CantPedido,0)</f>
        <v>0</v>
      </c>
      <c r="F160" s="5">
        <f>J159+E160</f>
        <v>18</v>
      </c>
      <c r="G160" s="5">
        <f>VLOOKUP(RAND(),TablaEmpirica,2,TRUE)</f>
        <v>5</v>
      </c>
      <c r="H160" s="5">
        <f>MIN(F160,G160)</f>
        <v>5</v>
      </c>
      <c r="I160" s="5">
        <f>G160-H160</f>
        <v>0</v>
      </c>
      <c r="J160" s="5">
        <f>F160-H160</f>
        <v>13</v>
      </c>
      <c r="K160" s="5">
        <f>IF(I160&gt;0,1,0)</f>
        <v>0</v>
      </c>
      <c r="L160" s="5">
        <f>IF(J160&lt;PuntoReorden,1,0)</f>
        <v>0</v>
      </c>
      <c r="M160" s="9">
        <f>PrecioVenta*H160</f>
        <v>3400000</v>
      </c>
      <c r="N160" s="9">
        <f>CostoUnitario*E160</f>
        <v>0</v>
      </c>
      <c r="O160" s="9">
        <f>IF(E160&gt;0,CostoPedido,0)</f>
        <v>0</v>
      </c>
      <c r="P160" s="9">
        <f>CostoAlm*(F160+J160)/2</f>
        <v>1240</v>
      </c>
      <c r="Q160" s="9">
        <f>CostoFijo*D160</f>
        <v>0</v>
      </c>
      <c r="R160" s="9">
        <f>M160-N160-O160-P160-Q160</f>
        <v>3398760</v>
      </c>
      <c r="S160" s="21">
        <f>PuntoReorden</f>
        <v>7</v>
      </c>
    </row>
    <row r="161">
      <c r="A161" s="5">
        <f>A160+1</f>
        <v>156</v>
      </c>
      <c r="B161" s="20">
        <f>B160+IF(WEEKDAY(B160,2)=6,2,1)</f>
        <v>46204</v>
      </c>
      <c r="C161" s="5">
        <f>MONTH(B161)</f>
        <v>7</v>
      </c>
      <c r="D161" s="5">
        <f>IF(C161&lt;&gt;C160,1,0)</f>
        <v>1</v>
      </c>
      <c r="E161" s="5">
        <f>IF(L160=1,CantPedido,0)</f>
        <v>0</v>
      </c>
      <c r="F161" s="5">
        <f>J160+E161</f>
        <v>13</v>
      </c>
      <c r="G161" s="5">
        <f>VLOOKUP(RAND(),TablaEmpirica,2,TRUE)</f>
        <v>5</v>
      </c>
      <c r="H161" s="5">
        <f>MIN(F161,G161)</f>
        <v>5</v>
      </c>
      <c r="I161" s="5">
        <f>G161-H161</f>
        <v>0</v>
      </c>
      <c r="J161" s="5">
        <f>F161-H161</f>
        <v>8</v>
      </c>
      <c r="K161" s="5">
        <f>IF(I161&gt;0,1,0)</f>
        <v>0</v>
      </c>
      <c r="L161" s="5">
        <f>IF(J161&lt;PuntoReorden,1,0)</f>
        <v>0</v>
      </c>
      <c r="M161" s="9">
        <f>PrecioVenta*H161</f>
        <v>3400000</v>
      </c>
      <c r="N161" s="9">
        <f>CostoUnitario*E161</f>
        <v>0</v>
      </c>
      <c r="O161" s="9">
        <f>IF(E161&gt;0,CostoPedido,0)</f>
        <v>0</v>
      </c>
      <c r="P161" s="9">
        <f>CostoAlm*(F161+J161)/2</f>
        <v>840</v>
      </c>
      <c r="Q161" s="9">
        <f>CostoFijo*D161</f>
        <v>1000000</v>
      </c>
      <c r="R161" s="9">
        <f>M161-N161-O161-P161-Q161</f>
        <v>2399160</v>
      </c>
      <c r="S161" s="21">
        <f>PuntoReorden</f>
        <v>7</v>
      </c>
    </row>
    <row r="162">
      <c r="A162" s="5">
        <f>A161+1</f>
        <v>157</v>
      </c>
      <c r="B162" s="20">
        <f>B161+IF(WEEKDAY(B161,2)=6,2,1)</f>
        <v>46205</v>
      </c>
      <c r="C162" s="5">
        <f>MONTH(B162)</f>
        <v>7</v>
      </c>
      <c r="D162" s="5">
        <f>IF(C162&lt;&gt;C161,1,0)</f>
        <v>0</v>
      </c>
      <c r="E162" s="5">
        <f>IF(L161=1,CantPedido,0)</f>
        <v>0</v>
      </c>
      <c r="F162" s="5">
        <f>J161+E162</f>
        <v>8</v>
      </c>
      <c r="G162" s="5">
        <f>VLOOKUP(RAND(),TablaEmpirica,2,TRUE)</f>
        <v>6</v>
      </c>
      <c r="H162" s="5">
        <f>MIN(F162,G162)</f>
        <v>6</v>
      </c>
      <c r="I162" s="5">
        <f>G162-H162</f>
        <v>0</v>
      </c>
      <c r="J162" s="5">
        <f>F162-H162</f>
        <v>2</v>
      </c>
      <c r="K162" s="5">
        <f>IF(I162&gt;0,1,0)</f>
        <v>0</v>
      </c>
      <c r="L162" s="5">
        <f>IF(J162&lt;PuntoReorden,1,0)</f>
        <v>1</v>
      </c>
      <c r="M162" s="9">
        <f>PrecioVenta*H162</f>
        <v>4080000</v>
      </c>
      <c r="N162" s="9">
        <f>CostoUnitario*E162</f>
        <v>0</v>
      </c>
      <c r="O162" s="9">
        <f>IF(E162&gt;0,CostoPedido,0)</f>
        <v>0</v>
      </c>
      <c r="P162" s="9">
        <f>CostoAlm*(F162+J162)/2</f>
        <v>400</v>
      </c>
      <c r="Q162" s="9">
        <f>CostoFijo*D162</f>
        <v>0</v>
      </c>
      <c r="R162" s="9">
        <f>M162-N162-O162-P162-Q162</f>
        <v>4079600</v>
      </c>
      <c r="S162" s="21">
        <f>PuntoReorden</f>
        <v>7</v>
      </c>
    </row>
    <row r="163">
      <c r="A163" s="5">
        <f>A162+1</f>
        <v>158</v>
      </c>
      <c r="B163" s="20">
        <f>B162+IF(WEEKDAY(B162,2)=6,2,1)</f>
        <v>46206</v>
      </c>
      <c r="C163" s="5">
        <f>MONTH(B163)</f>
        <v>7</v>
      </c>
      <c r="D163" s="5">
        <f>IF(C163&lt;&gt;C162,1,0)</f>
        <v>0</v>
      </c>
      <c r="E163" s="5">
        <f>IF(L162=1,CantPedido,0)</f>
        <v>15</v>
      </c>
      <c r="F163" s="5">
        <f>J162+E163</f>
        <v>17</v>
      </c>
      <c r="G163" s="5">
        <f>VLOOKUP(RAND(),TablaEmpirica,2,TRUE)</f>
        <v>5</v>
      </c>
      <c r="H163" s="5">
        <f>MIN(F163,G163)</f>
        <v>5</v>
      </c>
      <c r="I163" s="5">
        <f>G163-H163</f>
        <v>0</v>
      </c>
      <c r="J163" s="5">
        <f>F163-H163</f>
        <v>12</v>
      </c>
      <c r="K163" s="5">
        <f>IF(I163&gt;0,1,0)</f>
        <v>0</v>
      </c>
      <c r="L163" s="5">
        <f>IF(J163&lt;PuntoReorden,1,0)</f>
        <v>0</v>
      </c>
      <c r="M163" s="9">
        <f>PrecioVenta*H163</f>
        <v>3400000</v>
      </c>
      <c r="N163" s="9">
        <f>CostoUnitario*E163</f>
        <v>9000000</v>
      </c>
      <c r="O163" s="9">
        <f>IF(E163&gt;0,CostoPedido,0)</f>
        <v>40000</v>
      </c>
      <c r="P163" s="9">
        <f>CostoAlm*(F163+J163)/2</f>
        <v>1160</v>
      </c>
      <c r="Q163" s="9">
        <f>CostoFijo*D163</f>
        <v>0</v>
      </c>
      <c r="R163" s="9">
        <f>M163-N163-O163-P163-Q163</f>
        <v>-5641160</v>
      </c>
      <c r="S163" s="21">
        <f>PuntoReorden</f>
        <v>7</v>
      </c>
    </row>
    <row r="164">
      <c r="A164" s="5">
        <f>A163+1</f>
        <v>159</v>
      </c>
      <c r="B164" s="20">
        <f>B163+IF(WEEKDAY(B163,2)=6,2,1)</f>
        <v>46207</v>
      </c>
      <c r="C164" s="5">
        <f>MONTH(B164)</f>
        <v>7</v>
      </c>
      <c r="D164" s="5">
        <f>IF(C164&lt;&gt;C163,1,0)</f>
        <v>0</v>
      </c>
      <c r="E164" s="5">
        <f>IF(L163=1,CantPedido,0)</f>
        <v>0</v>
      </c>
      <c r="F164" s="5">
        <f>J163+E164</f>
        <v>12</v>
      </c>
      <c r="G164" s="5">
        <f>VLOOKUP(RAND(),TablaEmpirica,2,TRUE)</f>
        <v>7</v>
      </c>
      <c r="H164" s="5">
        <f>MIN(F164,G164)</f>
        <v>7</v>
      </c>
      <c r="I164" s="5">
        <f>G164-H164</f>
        <v>0</v>
      </c>
      <c r="J164" s="5">
        <f>F164-H164</f>
        <v>5</v>
      </c>
      <c r="K164" s="5">
        <f>IF(I164&gt;0,1,0)</f>
        <v>0</v>
      </c>
      <c r="L164" s="5">
        <f>IF(J164&lt;PuntoReorden,1,0)</f>
        <v>1</v>
      </c>
      <c r="M164" s="9">
        <f>PrecioVenta*H164</f>
        <v>4760000</v>
      </c>
      <c r="N164" s="9">
        <f>CostoUnitario*E164</f>
        <v>0</v>
      </c>
      <c r="O164" s="9">
        <f>IF(E164&gt;0,CostoPedido,0)</f>
        <v>0</v>
      </c>
      <c r="P164" s="9">
        <f>CostoAlm*(F164+J164)/2</f>
        <v>680</v>
      </c>
      <c r="Q164" s="9">
        <f>CostoFijo*D164</f>
        <v>0</v>
      </c>
      <c r="R164" s="9">
        <f>M164-N164-O164-P164-Q164</f>
        <v>4759320</v>
      </c>
      <c r="S164" s="21">
        <f>PuntoReorden</f>
        <v>7</v>
      </c>
    </row>
    <row r="165">
      <c r="A165" s="5">
        <f>A164+1</f>
        <v>160</v>
      </c>
      <c r="B165" s="20">
        <f>B164+IF(WEEKDAY(B164,2)=6,2,1)</f>
        <v>46209</v>
      </c>
      <c r="C165" s="5">
        <f>MONTH(B165)</f>
        <v>7</v>
      </c>
      <c r="D165" s="5">
        <f>IF(C165&lt;&gt;C164,1,0)</f>
        <v>0</v>
      </c>
      <c r="E165" s="5">
        <f>IF(L164=1,CantPedido,0)</f>
        <v>15</v>
      </c>
      <c r="F165" s="5">
        <f>J164+E165</f>
        <v>20</v>
      </c>
      <c r="G165" s="5">
        <f>VLOOKUP(RAND(),TablaEmpirica,2,TRUE)</f>
        <v>7</v>
      </c>
      <c r="H165" s="5">
        <f>MIN(F165,G165)</f>
        <v>7</v>
      </c>
      <c r="I165" s="5">
        <f>G165-H165</f>
        <v>0</v>
      </c>
      <c r="J165" s="5">
        <f>F165-H165</f>
        <v>13</v>
      </c>
      <c r="K165" s="5">
        <f>IF(I165&gt;0,1,0)</f>
        <v>0</v>
      </c>
      <c r="L165" s="5">
        <f>IF(J165&lt;PuntoReorden,1,0)</f>
        <v>0</v>
      </c>
      <c r="M165" s="9">
        <f>PrecioVenta*H165</f>
        <v>4760000</v>
      </c>
      <c r="N165" s="9">
        <f>CostoUnitario*E165</f>
        <v>9000000</v>
      </c>
      <c r="O165" s="9">
        <f>IF(E165&gt;0,CostoPedido,0)</f>
        <v>40000</v>
      </c>
      <c r="P165" s="9">
        <f>CostoAlm*(F165+J165)/2</f>
        <v>1320</v>
      </c>
      <c r="Q165" s="9">
        <f>CostoFijo*D165</f>
        <v>0</v>
      </c>
      <c r="R165" s="9">
        <f>M165-N165-O165-P165-Q165</f>
        <v>-4281320</v>
      </c>
      <c r="S165" s="21">
        <f>PuntoReorden</f>
        <v>7</v>
      </c>
    </row>
    <row r="166">
      <c r="A166" s="5">
        <f>A165+1</f>
        <v>161</v>
      </c>
      <c r="B166" s="20">
        <f>B165+IF(WEEKDAY(B165,2)=6,2,1)</f>
        <v>46210</v>
      </c>
      <c r="C166" s="5">
        <f>MONTH(B166)</f>
        <v>7</v>
      </c>
      <c r="D166" s="5">
        <f>IF(C166&lt;&gt;C165,1,0)</f>
        <v>0</v>
      </c>
      <c r="E166" s="5">
        <f>IF(L165=1,CantPedido,0)</f>
        <v>0</v>
      </c>
      <c r="F166" s="5">
        <f>J165+E166</f>
        <v>13</v>
      </c>
      <c r="G166" s="5">
        <f>VLOOKUP(RAND(),TablaEmpirica,2,TRUE)</f>
        <v>6</v>
      </c>
      <c r="H166" s="5">
        <f>MIN(F166,G166)</f>
        <v>6</v>
      </c>
      <c r="I166" s="5">
        <f>G166-H166</f>
        <v>0</v>
      </c>
      <c r="J166" s="5">
        <f>F166-H166</f>
        <v>7</v>
      </c>
      <c r="K166" s="5">
        <f>IF(I166&gt;0,1,0)</f>
        <v>0</v>
      </c>
      <c r="L166" s="5">
        <f>IF(J166&lt;PuntoReorden,1,0)</f>
        <v>0</v>
      </c>
      <c r="M166" s="9">
        <f>PrecioVenta*H166</f>
        <v>4080000</v>
      </c>
      <c r="N166" s="9">
        <f>CostoUnitario*E166</f>
        <v>0</v>
      </c>
      <c r="O166" s="9">
        <f>IF(E166&gt;0,CostoPedido,0)</f>
        <v>0</v>
      </c>
      <c r="P166" s="9">
        <f>CostoAlm*(F166+J166)/2</f>
        <v>800</v>
      </c>
      <c r="Q166" s="9">
        <f>CostoFijo*D166</f>
        <v>0</v>
      </c>
      <c r="R166" s="9">
        <f>M166-N166-O166-P166-Q166</f>
        <v>4079200</v>
      </c>
      <c r="S166" s="21">
        <f>PuntoReorden</f>
        <v>7</v>
      </c>
    </row>
    <row r="167">
      <c r="A167" s="5">
        <f>A166+1</f>
        <v>162</v>
      </c>
      <c r="B167" s="20">
        <f>B166+IF(WEEKDAY(B166,2)=6,2,1)</f>
        <v>46211</v>
      </c>
      <c r="C167" s="5">
        <f>MONTH(B167)</f>
        <v>7</v>
      </c>
      <c r="D167" s="5">
        <f>IF(C167&lt;&gt;C166,1,0)</f>
        <v>0</v>
      </c>
      <c r="E167" s="5">
        <f>IF(L166=1,CantPedido,0)</f>
        <v>0</v>
      </c>
      <c r="F167" s="5">
        <f>J166+E167</f>
        <v>7</v>
      </c>
      <c r="G167" s="5">
        <f>VLOOKUP(RAND(),TablaEmpirica,2,TRUE)</f>
        <v>6</v>
      </c>
      <c r="H167" s="5">
        <f>MIN(F167,G167)</f>
        <v>6</v>
      </c>
      <c r="I167" s="5">
        <f>G167-H167</f>
        <v>0</v>
      </c>
      <c r="J167" s="5">
        <f>F167-H167</f>
        <v>1</v>
      </c>
      <c r="K167" s="5">
        <f>IF(I167&gt;0,1,0)</f>
        <v>0</v>
      </c>
      <c r="L167" s="5">
        <f>IF(J167&lt;PuntoReorden,1,0)</f>
        <v>1</v>
      </c>
      <c r="M167" s="9">
        <f>PrecioVenta*H167</f>
        <v>4080000</v>
      </c>
      <c r="N167" s="9">
        <f>CostoUnitario*E167</f>
        <v>0</v>
      </c>
      <c r="O167" s="9">
        <f>IF(E167&gt;0,CostoPedido,0)</f>
        <v>0</v>
      </c>
      <c r="P167" s="9">
        <f>CostoAlm*(F167+J167)/2</f>
        <v>320</v>
      </c>
      <c r="Q167" s="9">
        <f>CostoFijo*D167</f>
        <v>0</v>
      </c>
      <c r="R167" s="9">
        <f>M167-N167-O167-P167-Q167</f>
        <v>4079680</v>
      </c>
      <c r="S167" s="21">
        <f>PuntoReorden</f>
        <v>7</v>
      </c>
    </row>
    <row r="168">
      <c r="A168" s="5">
        <f>A167+1</f>
        <v>163</v>
      </c>
      <c r="B168" s="20">
        <f>B167+IF(WEEKDAY(B167,2)=6,2,1)</f>
        <v>46212</v>
      </c>
      <c r="C168" s="5">
        <f>MONTH(B168)</f>
        <v>7</v>
      </c>
      <c r="D168" s="5">
        <f>IF(C168&lt;&gt;C167,1,0)</f>
        <v>0</v>
      </c>
      <c r="E168" s="5">
        <f>IF(L167=1,CantPedido,0)</f>
        <v>15</v>
      </c>
      <c r="F168" s="5">
        <f>J167+E168</f>
        <v>16</v>
      </c>
      <c r="G168" s="5">
        <f>VLOOKUP(RAND(),TablaEmpirica,2,TRUE)</f>
        <v>3</v>
      </c>
      <c r="H168" s="5">
        <f>MIN(F168,G168)</f>
        <v>3</v>
      </c>
      <c r="I168" s="5">
        <f>G168-H168</f>
        <v>0</v>
      </c>
      <c r="J168" s="5">
        <f>F168-H168</f>
        <v>13</v>
      </c>
      <c r="K168" s="5">
        <f>IF(I168&gt;0,1,0)</f>
        <v>0</v>
      </c>
      <c r="L168" s="5">
        <f>IF(J168&lt;PuntoReorden,1,0)</f>
        <v>0</v>
      </c>
      <c r="M168" s="9">
        <f>PrecioVenta*H168</f>
        <v>2040000</v>
      </c>
      <c r="N168" s="9">
        <f>CostoUnitario*E168</f>
        <v>9000000</v>
      </c>
      <c r="O168" s="9">
        <f>IF(E168&gt;0,CostoPedido,0)</f>
        <v>40000</v>
      </c>
      <c r="P168" s="9">
        <f>CostoAlm*(F168+J168)/2</f>
        <v>1160</v>
      </c>
      <c r="Q168" s="9">
        <f>CostoFijo*D168</f>
        <v>0</v>
      </c>
      <c r="R168" s="9">
        <f>M168-N168-O168-P168-Q168</f>
        <v>-7001160</v>
      </c>
      <c r="S168" s="21">
        <f>PuntoReorden</f>
        <v>7</v>
      </c>
    </row>
    <row r="169">
      <c r="A169" s="5">
        <f>A168+1</f>
        <v>164</v>
      </c>
      <c r="B169" s="20">
        <f>B168+IF(WEEKDAY(B168,2)=6,2,1)</f>
        <v>46213</v>
      </c>
      <c r="C169" s="5">
        <f>MONTH(B169)</f>
        <v>7</v>
      </c>
      <c r="D169" s="5">
        <f>IF(C169&lt;&gt;C168,1,0)</f>
        <v>0</v>
      </c>
      <c r="E169" s="5">
        <f>IF(L168=1,CantPedido,0)</f>
        <v>0</v>
      </c>
      <c r="F169" s="5">
        <f>J168+E169</f>
        <v>13</v>
      </c>
      <c r="G169" s="5">
        <f>VLOOKUP(RAND(),TablaEmpirica,2,TRUE)</f>
        <v>5</v>
      </c>
      <c r="H169" s="5">
        <f>MIN(F169,G169)</f>
        <v>5</v>
      </c>
      <c r="I169" s="5">
        <f>G169-H169</f>
        <v>0</v>
      </c>
      <c r="J169" s="5">
        <f>F169-H169</f>
        <v>8</v>
      </c>
      <c r="K169" s="5">
        <f>IF(I169&gt;0,1,0)</f>
        <v>0</v>
      </c>
      <c r="L169" s="5">
        <f>IF(J169&lt;PuntoReorden,1,0)</f>
        <v>0</v>
      </c>
      <c r="M169" s="9">
        <f>PrecioVenta*H169</f>
        <v>3400000</v>
      </c>
      <c r="N169" s="9">
        <f>CostoUnitario*E169</f>
        <v>0</v>
      </c>
      <c r="O169" s="9">
        <f>IF(E169&gt;0,CostoPedido,0)</f>
        <v>0</v>
      </c>
      <c r="P169" s="9">
        <f>CostoAlm*(F169+J169)/2</f>
        <v>840</v>
      </c>
      <c r="Q169" s="9">
        <f>CostoFijo*D169</f>
        <v>0</v>
      </c>
      <c r="R169" s="9">
        <f>M169-N169-O169-P169-Q169</f>
        <v>3399160</v>
      </c>
      <c r="S169" s="21">
        <f>PuntoReorden</f>
        <v>7</v>
      </c>
    </row>
    <row r="170">
      <c r="A170" s="5">
        <f>A169+1</f>
        <v>165</v>
      </c>
      <c r="B170" s="20">
        <f>B169+IF(WEEKDAY(B169,2)=6,2,1)</f>
        <v>46214</v>
      </c>
      <c r="C170" s="5">
        <f>MONTH(B170)</f>
        <v>7</v>
      </c>
      <c r="D170" s="5">
        <f>IF(C170&lt;&gt;C169,1,0)</f>
        <v>0</v>
      </c>
      <c r="E170" s="5">
        <f>IF(L169=1,CantPedido,0)</f>
        <v>0</v>
      </c>
      <c r="F170" s="5">
        <f>J169+E170</f>
        <v>8</v>
      </c>
      <c r="G170" s="5">
        <f>VLOOKUP(RAND(),TablaEmpirica,2,TRUE)</f>
        <v>5</v>
      </c>
      <c r="H170" s="5">
        <f>MIN(F170,G170)</f>
        <v>5</v>
      </c>
      <c r="I170" s="5">
        <f>G170-H170</f>
        <v>0</v>
      </c>
      <c r="J170" s="5">
        <f>F170-H170</f>
        <v>3</v>
      </c>
      <c r="K170" s="5">
        <f>IF(I170&gt;0,1,0)</f>
        <v>0</v>
      </c>
      <c r="L170" s="5">
        <f>IF(J170&lt;PuntoReorden,1,0)</f>
        <v>1</v>
      </c>
      <c r="M170" s="9">
        <f>PrecioVenta*H170</f>
        <v>3400000</v>
      </c>
      <c r="N170" s="9">
        <f>CostoUnitario*E170</f>
        <v>0</v>
      </c>
      <c r="O170" s="9">
        <f>IF(E170&gt;0,CostoPedido,0)</f>
        <v>0</v>
      </c>
      <c r="P170" s="9">
        <f>CostoAlm*(F170+J170)/2</f>
        <v>440</v>
      </c>
      <c r="Q170" s="9">
        <f>CostoFijo*D170</f>
        <v>0</v>
      </c>
      <c r="R170" s="9">
        <f>M170-N170-O170-P170-Q170</f>
        <v>3399560</v>
      </c>
      <c r="S170" s="21">
        <f>PuntoReorden</f>
        <v>7</v>
      </c>
    </row>
    <row r="171">
      <c r="A171" s="5">
        <f>A170+1</f>
        <v>166</v>
      </c>
      <c r="B171" s="20">
        <f>B170+IF(WEEKDAY(B170,2)=6,2,1)</f>
        <v>46216</v>
      </c>
      <c r="C171" s="5">
        <f>MONTH(B171)</f>
        <v>7</v>
      </c>
      <c r="D171" s="5">
        <f>IF(C171&lt;&gt;C170,1,0)</f>
        <v>0</v>
      </c>
      <c r="E171" s="5">
        <f>IF(L170=1,CantPedido,0)</f>
        <v>15</v>
      </c>
      <c r="F171" s="5">
        <f>J170+E171</f>
        <v>18</v>
      </c>
      <c r="G171" s="5">
        <f>VLOOKUP(RAND(),TablaEmpirica,2,TRUE)</f>
        <v>5</v>
      </c>
      <c r="H171" s="5">
        <f>MIN(F171,G171)</f>
        <v>5</v>
      </c>
      <c r="I171" s="5">
        <f>G171-H171</f>
        <v>0</v>
      </c>
      <c r="J171" s="5">
        <f>F171-H171</f>
        <v>13</v>
      </c>
      <c r="K171" s="5">
        <f>IF(I171&gt;0,1,0)</f>
        <v>0</v>
      </c>
      <c r="L171" s="5">
        <f>IF(J171&lt;PuntoReorden,1,0)</f>
        <v>0</v>
      </c>
      <c r="M171" s="9">
        <f>PrecioVenta*H171</f>
        <v>3400000</v>
      </c>
      <c r="N171" s="9">
        <f>CostoUnitario*E171</f>
        <v>9000000</v>
      </c>
      <c r="O171" s="9">
        <f>IF(E171&gt;0,CostoPedido,0)</f>
        <v>40000</v>
      </c>
      <c r="P171" s="9">
        <f>CostoAlm*(F171+J171)/2</f>
        <v>1240</v>
      </c>
      <c r="Q171" s="9">
        <f>CostoFijo*D171</f>
        <v>0</v>
      </c>
      <c r="R171" s="9">
        <f>M171-N171-O171-P171-Q171</f>
        <v>-5641240</v>
      </c>
      <c r="S171" s="21">
        <f>PuntoReorden</f>
        <v>7</v>
      </c>
    </row>
    <row r="172">
      <c r="A172" s="5">
        <f>A171+1</f>
        <v>167</v>
      </c>
      <c r="B172" s="20">
        <f>B171+IF(WEEKDAY(B171,2)=6,2,1)</f>
        <v>46217</v>
      </c>
      <c r="C172" s="5">
        <f>MONTH(B172)</f>
        <v>7</v>
      </c>
      <c r="D172" s="5">
        <f>IF(C172&lt;&gt;C171,1,0)</f>
        <v>0</v>
      </c>
      <c r="E172" s="5">
        <f>IF(L171=1,CantPedido,0)</f>
        <v>0</v>
      </c>
      <c r="F172" s="5">
        <f>J171+E172</f>
        <v>13</v>
      </c>
      <c r="G172" s="5">
        <f>VLOOKUP(RAND(),TablaEmpirica,2,TRUE)</f>
        <v>3</v>
      </c>
      <c r="H172" s="5">
        <f>MIN(F172,G172)</f>
        <v>3</v>
      </c>
      <c r="I172" s="5">
        <f>G172-H172</f>
        <v>0</v>
      </c>
      <c r="J172" s="5">
        <f>F172-H172</f>
        <v>10</v>
      </c>
      <c r="K172" s="5">
        <f>IF(I172&gt;0,1,0)</f>
        <v>0</v>
      </c>
      <c r="L172" s="5">
        <f>IF(J172&lt;PuntoReorden,1,0)</f>
        <v>0</v>
      </c>
      <c r="M172" s="9">
        <f>PrecioVenta*H172</f>
        <v>2040000</v>
      </c>
      <c r="N172" s="9">
        <f>CostoUnitario*E172</f>
        <v>0</v>
      </c>
      <c r="O172" s="9">
        <f>IF(E172&gt;0,CostoPedido,0)</f>
        <v>0</v>
      </c>
      <c r="P172" s="9">
        <f>CostoAlm*(F172+J172)/2</f>
        <v>920</v>
      </c>
      <c r="Q172" s="9">
        <f>CostoFijo*D172</f>
        <v>0</v>
      </c>
      <c r="R172" s="9">
        <f>M172-N172-O172-P172-Q172</f>
        <v>2039080</v>
      </c>
      <c r="S172" s="21">
        <f>PuntoReorden</f>
        <v>7</v>
      </c>
    </row>
    <row r="173">
      <c r="A173" s="5">
        <f>A172+1</f>
        <v>168</v>
      </c>
      <c r="B173" s="20">
        <f>B172+IF(WEEKDAY(B172,2)=6,2,1)</f>
        <v>46218</v>
      </c>
      <c r="C173" s="5">
        <f>MONTH(B173)</f>
        <v>7</v>
      </c>
      <c r="D173" s="5">
        <f>IF(C173&lt;&gt;C172,1,0)</f>
        <v>0</v>
      </c>
      <c r="E173" s="5">
        <f>IF(L172=1,CantPedido,0)</f>
        <v>0</v>
      </c>
      <c r="F173" s="5">
        <f>J172+E173</f>
        <v>10</v>
      </c>
      <c r="G173" s="5">
        <f>VLOOKUP(RAND(),TablaEmpirica,2,TRUE)</f>
        <v>5</v>
      </c>
      <c r="H173" s="5">
        <f>MIN(F173,G173)</f>
        <v>5</v>
      </c>
      <c r="I173" s="5">
        <f>G173-H173</f>
        <v>0</v>
      </c>
      <c r="J173" s="5">
        <f>F173-H173</f>
        <v>5</v>
      </c>
      <c r="K173" s="5">
        <f>IF(I173&gt;0,1,0)</f>
        <v>0</v>
      </c>
      <c r="L173" s="5">
        <f>IF(J173&lt;PuntoReorden,1,0)</f>
        <v>1</v>
      </c>
      <c r="M173" s="9">
        <f>PrecioVenta*H173</f>
        <v>3400000</v>
      </c>
      <c r="N173" s="9">
        <f>CostoUnitario*E173</f>
        <v>0</v>
      </c>
      <c r="O173" s="9">
        <f>IF(E173&gt;0,CostoPedido,0)</f>
        <v>0</v>
      </c>
      <c r="P173" s="9">
        <f>CostoAlm*(F173+J173)/2</f>
        <v>600</v>
      </c>
      <c r="Q173" s="9">
        <f>CostoFijo*D173</f>
        <v>0</v>
      </c>
      <c r="R173" s="9">
        <f>M173-N173-O173-P173-Q173</f>
        <v>3399400</v>
      </c>
      <c r="S173" s="21">
        <f>PuntoReorden</f>
        <v>7</v>
      </c>
    </row>
    <row r="174">
      <c r="A174" s="5">
        <f>A173+1</f>
        <v>169</v>
      </c>
      <c r="B174" s="20">
        <f>B173+IF(WEEKDAY(B173,2)=6,2,1)</f>
        <v>46219</v>
      </c>
      <c r="C174" s="5">
        <f>MONTH(B174)</f>
        <v>7</v>
      </c>
      <c r="D174" s="5">
        <f>IF(C174&lt;&gt;C173,1,0)</f>
        <v>0</v>
      </c>
      <c r="E174" s="5">
        <f>IF(L173=1,CantPedido,0)</f>
        <v>15</v>
      </c>
      <c r="F174" s="5">
        <f>J173+E174</f>
        <v>20</v>
      </c>
      <c r="G174" s="5">
        <f>VLOOKUP(RAND(),TablaEmpirica,2,TRUE)</f>
        <v>6</v>
      </c>
      <c r="H174" s="5">
        <f>MIN(F174,G174)</f>
        <v>6</v>
      </c>
      <c r="I174" s="5">
        <f>G174-H174</f>
        <v>0</v>
      </c>
      <c r="J174" s="5">
        <f>F174-H174</f>
        <v>14</v>
      </c>
      <c r="K174" s="5">
        <f>IF(I174&gt;0,1,0)</f>
        <v>0</v>
      </c>
      <c r="L174" s="5">
        <f>IF(J174&lt;PuntoReorden,1,0)</f>
        <v>0</v>
      </c>
      <c r="M174" s="9">
        <f>PrecioVenta*H174</f>
        <v>4080000</v>
      </c>
      <c r="N174" s="9">
        <f>CostoUnitario*E174</f>
        <v>9000000</v>
      </c>
      <c r="O174" s="9">
        <f>IF(E174&gt;0,CostoPedido,0)</f>
        <v>40000</v>
      </c>
      <c r="P174" s="9">
        <f>CostoAlm*(F174+J174)/2</f>
        <v>1360</v>
      </c>
      <c r="Q174" s="9">
        <f>CostoFijo*D174</f>
        <v>0</v>
      </c>
      <c r="R174" s="9">
        <f>M174-N174-O174-P174-Q174</f>
        <v>-4961360</v>
      </c>
      <c r="S174" s="21">
        <f>PuntoReorden</f>
        <v>7</v>
      </c>
    </row>
    <row r="175">
      <c r="A175" s="5">
        <f>A174+1</f>
        <v>170</v>
      </c>
      <c r="B175" s="20">
        <f>B174+IF(WEEKDAY(B174,2)=6,2,1)</f>
        <v>46220</v>
      </c>
      <c r="C175" s="5">
        <f>MONTH(B175)</f>
        <v>7</v>
      </c>
      <c r="D175" s="5">
        <f>IF(C175&lt;&gt;C174,1,0)</f>
        <v>0</v>
      </c>
      <c r="E175" s="5">
        <f>IF(L174=1,CantPedido,0)</f>
        <v>0</v>
      </c>
      <c r="F175" s="5">
        <f>J174+E175</f>
        <v>14</v>
      </c>
      <c r="G175" s="5">
        <f>VLOOKUP(RAND(),TablaEmpirica,2,TRUE)</f>
        <v>6</v>
      </c>
      <c r="H175" s="5">
        <f>MIN(F175,G175)</f>
        <v>6</v>
      </c>
      <c r="I175" s="5">
        <f>G175-H175</f>
        <v>0</v>
      </c>
      <c r="J175" s="5">
        <f>F175-H175</f>
        <v>8</v>
      </c>
      <c r="K175" s="5">
        <f>IF(I175&gt;0,1,0)</f>
        <v>0</v>
      </c>
      <c r="L175" s="5">
        <f>IF(J175&lt;PuntoReorden,1,0)</f>
        <v>0</v>
      </c>
      <c r="M175" s="9">
        <f>PrecioVenta*H175</f>
        <v>4080000</v>
      </c>
      <c r="N175" s="9">
        <f>CostoUnitario*E175</f>
        <v>0</v>
      </c>
      <c r="O175" s="9">
        <f>IF(E175&gt;0,CostoPedido,0)</f>
        <v>0</v>
      </c>
      <c r="P175" s="9">
        <f>CostoAlm*(F175+J175)/2</f>
        <v>880</v>
      </c>
      <c r="Q175" s="9">
        <f>CostoFijo*D175</f>
        <v>0</v>
      </c>
      <c r="R175" s="9">
        <f>M175-N175-O175-P175-Q175</f>
        <v>4079120</v>
      </c>
      <c r="S175" s="21">
        <f>PuntoReorden</f>
        <v>7</v>
      </c>
    </row>
    <row r="176">
      <c r="A176" s="5">
        <f>A175+1</f>
        <v>171</v>
      </c>
      <c r="B176" s="20">
        <f>B175+IF(WEEKDAY(B175,2)=6,2,1)</f>
        <v>46221</v>
      </c>
      <c r="C176" s="5">
        <f>MONTH(B176)</f>
        <v>7</v>
      </c>
      <c r="D176" s="5">
        <f>IF(C176&lt;&gt;C175,1,0)</f>
        <v>0</v>
      </c>
      <c r="E176" s="5">
        <f>IF(L175=1,CantPedido,0)</f>
        <v>0</v>
      </c>
      <c r="F176" s="5">
        <f>J175+E176</f>
        <v>8</v>
      </c>
      <c r="G176" s="5">
        <f>VLOOKUP(RAND(),TablaEmpirica,2,TRUE)</f>
        <v>5</v>
      </c>
      <c r="H176" s="5">
        <f>MIN(F176,G176)</f>
        <v>5</v>
      </c>
      <c r="I176" s="5">
        <f>G176-H176</f>
        <v>0</v>
      </c>
      <c r="J176" s="5">
        <f>F176-H176</f>
        <v>3</v>
      </c>
      <c r="K176" s="5">
        <f>IF(I176&gt;0,1,0)</f>
        <v>0</v>
      </c>
      <c r="L176" s="5">
        <f>IF(J176&lt;PuntoReorden,1,0)</f>
        <v>1</v>
      </c>
      <c r="M176" s="9">
        <f>PrecioVenta*H176</f>
        <v>3400000</v>
      </c>
      <c r="N176" s="9">
        <f>CostoUnitario*E176</f>
        <v>0</v>
      </c>
      <c r="O176" s="9">
        <f>IF(E176&gt;0,CostoPedido,0)</f>
        <v>0</v>
      </c>
      <c r="P176" s="9">
        <f>CostoAlm*(F176+J176)/2</f>
        <v>440</v>
      </c>
      <c r="Q176" s="9">
        <f>CostoFijo*D176</f>
        <v>0</v>
      </c>
      <c r="R176" s="9">
        <f>M176-N176-O176-P176-Q176</f>
        <v>3399560</v>
      </c>
      <c r="S176" s="21">
        <f>PuntoReorden</f>
        <v>7</v>
      </c>
    </row>
    <row r="177">
      <c r="A177" s="5">
        <f>A176+1</f>
        <v>172</v>
      </c>
      <c r="B177" s="20">
        <f>B176+IF(WEEKDAY(B176,2)=6,2,1)</f>
        <v>46223</v>
      </c>
      <c r="C177" s="5">
        <f>MONTH(B177)</f>
        <v>7</v>
      </c>
      <c r="D177" s="5">
        <f>IF(C177&lt;&gt;C176,1,0)</f>
        <v>0</v>
      </c>
      <c r="E177" s="5">
        <f>IF(L176=1,CantPedido,0)</f>
        <v>15</v>
      </c>
      <c r="F177" s="5">
        <f>J176+E177</f>
        <v>18</v>
      </c>
      <c r="G177" s="5">
        <f>VLOOKUP(RAND(),TablaEmpirica,2,TRUE)</f>
        <v>5</v>
      </c>
      <c r="H177" s="5">
        <f>MIN(F177,G177)</f>
        <v>5</v>
      </c>
      <c r="I177" s="5">
        <f>G177-H177</f>
        <v>0</v>
      </c>
      <c r="J177" s="5">
        <f>F177-H177</f>
        <v>13</v>
      </c>
      <c r="K177" s="5">
        <f>IF(I177&gt;0,1,0)</f>
        <v>0</v>
      </c>
      <c r="L177" s="5">
        <f>IF(J177&lt;PuntoReorden,1,0)</f>
        <v>0</v>
      </c>
      <c r="M177" s="9">
        <f>PrecioVenta*H177</f>
        <v>3400000</v>
      </c>
      <c r="N177" s="9">
        <f>CostoUnitario*E177</f>
        <v>9000000</v>
      </c>
      <c r="O177" s="9">
        <f>IF(E177&gt;0,CostoPedido,0)</f>
        <v>40000</v>
      </c>
      <c r="P177" s="9">
        <f>CostoAlm*(F177+J177)/2</f>
        <v>1240</v>
      </c>
      <c r="Q177" s="9">
        <f>CostoFijo*D177</f>
        <v>0</v>
      </c>
      <c r="R177" s="9">
        <f>M177-N177-O177-P177-Q177</f>
        <v>-5641240</v>
      </c>
      <c r="S177" s="21">
        <f>PuntoReorden</f>
        <v>7</v>
      </c>
    </row>
    <row r="178">
      <c r="A178" s="5">
        <f>A177+1</f>
        <v>173</v>
      </c>
      <c r="B178" s="20">
        <f>B177+IF(WEEKDAY(B177,2)=6,2,1)</f>
        <v>46224</v>
      </c>
      <c r="C178" s="5">
        <f>MONTH(B178)</f>
        <v>7</v>
      </c>
      <c r="D178" s="5">
        <f>IF(C178&lt;&gt;C177,1,0)</f>
        <v>0</v>
      </c>
      <c r="E178" s="5">
        <f>IF(L177=1,CantPedido,0)</f>
        <v>0</v>
      </c>
      <c r="F178" s="5">
        <f>J177+E178</f>
        <v>13</v>
      </c>
      <c r="G178" s="5">
        <f>VLOOKUP(RAND(),TablaEmpirica,2,TRUE)</f>
        <v>5</v>
      </c>
      <c r="H178" s="5">
        <f>MIN(F178,G178)</f>
        <v>5</v>
      </c>
      <c r="I178" s="5">
        <f>G178-H178</f>
        <v>0</v>
      </c>
      <c r="J178" s="5">
        <f>F178-H178</f>
        <v>8</v>
      </c>
      <c r="K178" s="5">
        <f>IF(I178&gt;0,1,0)</f>
        <v>0</v>
      </c>
      <c r="L178" s="5">
        <f>IF(J178&lt;PuntoReorden,1,0)</f>
        <v>0</v>
      </c>
      <c r="M178" s="9">
        <f>PrecioVenta*H178</f>
        <v>3400000</v>
      </c>
      <c r="N178" s="9">
        <f>CostoUnitario*E178</f>
        <v>0</v>
      </c>
      <c r="O178" s="9">
        <f>IF(E178&gt;0,CostoPedido,0)</f>
        <v>0</v>
      </c>
      <c r="P178" s="9">
        <f>CostoAlm*(F178+J178)/2</f>
        <v>840</v>
      </c>
      <c r="Q178" s="9">
        <f>CostoFijo*D178</f>
        <v>0</v>
      </c>
      <c r="R178" s="9">
        <f>M178-N178-O178-P178-Q178</f>
        <v>3399160</v>
      </c>
      <c r="S178" s="21">
        <f>PuntoReorden</f>
        <v>7</v>
      </c>
    </row>
    <row r="179">
      <c r="A179" s="5">
        <f>A178+1</f>
        <v>174</v>
      </c>
      <c r="B179" s="20">
        <f>B178+IF(WEEKDAY(B178,2)=6,2,1)</f>
        <v>46225</v>
      </c>
      <c r="C179" s="5">
        <f>MONTH(B179)</f>
        <v>7</v>
      </c>
      <c r="D179" s="5">
        <f>IF(C179&lt;&gt;C178,1,0)</f>
        <v>0</v>
      </c>
      <c r="E179" s="5">
        <f>IF(L178=1,CantPedido,0)</f>
        <v>0</v>
      </c>
      <c r="F179" s="5">
        <f>J178+E179</f>
        <v>8</v>
      </c>
      <c r="G179" s="5">
        <f>VLOOKUP(RAND(),TablaEmpirica,2,TRUE)</f>
        <v>7</v>
      </c>
      <c r="H179" s="5">
        <f>MIN(F179,G179)</f>
        <v>7</v>
      </c>
      <c r="I179" s="5">
        <f>G179-H179</f>
        <v>0</v>
      </c>
      <c r="J179" s="5">
        <f>F179-H179</f>
        <v>1</v>
      </c>
      <c r="K179" s="5">
        <f>IF(I179&gt;0,1,0)</f>
        <v>0</v>
      </c>
      <c r="L179" s="5">
        <f>IF(J179&lt;PuntoReorden,1,0)</f>
        <v>1</v>
      </c>
      <c r="M179" s="9">
        <f>PrecioVenta*H179</f>
        <v>4760000</v>
      </c>
      <c r="N179" s="9">
        <f>CostoUnitario*E179</f>
        <v>0</v>
      </c>
      <c r="O179" s="9">
        <f>IF(E179&gt;0,CostoPedido,0)</f>
        <v>0</v>
      </c>
      <c r="P179" s="9">
        <f>CostoAlm*(F179+J179)/2</f>
        <v>360</v>
      </c>
      <c r="Q179" s="9">
        <f>CostoFijo*D179</f>
        <v>0</v>
      </c>
      <c r="R179" s="9">
        <f>M179-N179-O179-P179-Q179</f>
        <v>4759640</v>
      </c>
      <c r="S179" s="21">
        <f>PuntoReorden</f>
        <v>7</v>
      </c>
    </row>
    <row r="180">
      <c r="A180" s="5">
        <f>A179+1</f>
        <v>175</v>
      </c>
      <c r="B180" s="20">
        <f>B179+IF(WEEKDAY(B179,2)=6,2,1)</f>
        <v>46226</v>
      </c>
      <c r="C180" s="5">
        <f>MONTH(B180)</f>
        <v>7</v>
      </c>
      <c r="D180" s="5">
        <f>IF(C180&lt;&gt;C179,1,0)</f>
        <v>0</v>
      </c>
      <c r="E180" s="5">
        <f>IF(L179=1,CantPedido,0)</f>
        <v>15</v>
      </c>
      <c r="F180" s="5">
        <f>J179+E180</f>
        <v>16</v>
      </c>
      <c r="G180" s="5">
        <f>VLOOKUP(RAND(),TablaEmpirica,2,TRUE)</f>
        <v>5</v>
      </c>
      <c r="H180" s="5">
        <f>MIN(F180,G180)</f>
        <v>5</v>
      </c>
      <c r="I180" s="5">
        <f>G180-H180</f>
        <v>0</v>
      </c>
      <c r="J180" s="5">
        <f>F180-H180</f>
        <v>11</v>
      </c>
      <c r="K180" s="5">
        <f>IF(I180&gt;0,1,0)</f>
        <v>0</v>
      </c>
      <c r="L180" s="5">
        <f>IF(J180&lt;PuntoReorden,1,0)</f>
        <v>0</v>
      </c>
      <c r="M180" s="9">
        <f>PrecioVenta*H180</f>
        <v>3400000</v>
      </c>
      <c r="N180" s="9">
        <f>CostoUnitario*E180</f>
        <v>9000000</v>
      </c>
      <c r="O180" s="9">
        <f>IF(E180&gt;0,CostoPedido,0)</f>
        <v>40000</v>
      </c>
      <c r="P180" s="9">
        <f>CostoAlm*(F180+J180)/2</f>
        <v>1080</v>
      </c>
      <c r="Q180" s="9">
        <f>CostoFijo*D180</f>
        <v>0</v>
      </c>
      <c r="R180" s="9">
        <f>M180-N180-O180-P180-Q180</f>
        <v>-5641080</v>
      </c>
      <c r="S180" s="21">
        <f>PuntoReorden</f>
        <v>7</v>
      </c>
    </row>
    <row r="181">
      <c r="A181" s="5">
        <f>A180+1</f>
        <v>176</v>
      </c>
      <c r="B181" s="20">
        <f>B180+IF(WEEKDAY(B180,2)=6,2,1)</f>
        <v>46227</v>
      </c>
      <c r="C181" s="5">
        <f>MONTH(B181)</f>
        <v>7</v>
      </c>
      <c r="D181" s="5">
        <f>IF(C181&lt;&gt;C180,1,0)</f>
        <v>0</v>
      </c>
      <c r="E181" s="5">
        <f>IF(L180=1,CantPedido,0)</f>
        <v>0</v>
      </c>
      <c r="F181" s="5">
        <f>J180+E181</f>
        <v>11</v>
      </c>
      <c r="G181" s="5">
        <f>VLOOKUP(RAND(),TablaEmpirica,2,TRUE)</f>
        <v>5</v>
      </c>
      <c r="H181" s="5">
        <f>MIN(F181,G181)</f>
        <v>5</v>
      </c>
      <c r="I181" s="5">
        <f>G181-H181</f>
        <v>0</v>
      </c>
      <c r="J181" s="5">
        <f>F181-H181</f>
        <v>6</v>
      </c>
      <c r="K181" s="5">
        <f>IF(I181&gt;0,1,0)</f>
        <v>0</v>
      </c>
      <c r="L181" s="5">
        <f>IF(J181&lt;PuntoReorden,1,0)</f>
        <v>1</v>
      </c>
      <c r="M181" s="9">
        <f>PrecioVenta*H181</f>
        <v>3400000</v>
      </c>
      <c r="N181" s="9">
        <f>CostoUnitario*E181</f>
        <v>0</v>
      </c>
      <c r="O181" s="9">
        <f>IF(E181&gt;0,CostoPedido,0)</f>
        <v>0</v>
      </c>
      <c r="P181" s="9">
        <f>CostoAlm*(F181+J181)/2</f>
        <v>680</v>
      </c>
      <c r="Q181" s="9">
        <f>CostoFijo*D181</f>
        <v>0</v>
      </c>
      <c r="R181" s="9">
        <f>M181-N181-O181-P181-Q181</f>
        <v>3399320</v>
      </c>
      <c r="S181" s="21">
        <f>PuntoReorden</f>
        <v>7</v>
      </c>
    </row>
    <row r="182">
      <c r="A182" s="5">
        <f>A181+1</f>
        <v>177</v>
      </c>
      <c r="B182" s="20">
        <f>B181+IF(WEEKDAY(B181,2)=6,2,1)</f>
        <v>46228</v>
      </c>
      <c r="C182" s="5">
        <f>MONTH(B182)</f>
        <v>7</v>
      </c>
      <c r="D182" s="5">
        <f>IF(C182&lt;&gt;C181,1,0)</f>
        <v>0</v>
      </c>
      <c r="E182" s="5">
        <f>IF(L181=1,CantPedido,0)</f>
        <v>15</v>
      </c>
      <c r="F182" s="5">
        <f>J181+E182</f>
        <v>21</v>
      </c>
      <c r="G182" s="5">
        <f>VLOOKUP(RAND(),TablaEmpirica,2,TRUE)</f>
        <v>3</v>
      </c>
      <c r="H182" s="5">
        <f>MIN(F182,G182)</f>
        <v>3</v>
      </c>
      <c r="I182" s="5">
        <f>G182-H182</f>
        <v>0</v>
      </c>
      <c r="J182" s="5">
        <f>F182-H182</f>
        <v>18</v>
      </c>
      <c r="K182" s="5">
        <f>IF(I182&gt;0,1,0)</f>
        <v>0</v>
      </c>
      <c r="L182" s="5">
        <f>IF(J182&lt;PuntoReorden,1,0)</f>
        <v>0</v>
      </c>
      <c r="M182" s="9">
        <f>PrecioVenta*H182</f>
        <v>2040000</v>
      </c>
      <c r="N182" s="9">
        <f>CostoUnitario*E182</f>
        <v>9000000</v>
      </c>
      <c r="O182" s="9">
        <f>IF(E182&gt;0,CostoPedido,0)</f>
        <v>40000</v>
      </c>
      <c r="P182" s="9">
        <f>CostoAlm*(F182+J182)/2</f>
        <v>1560</v>
      </c>
      <c r="Q182" s="9">
        <f>CostoFijo*D182</f>
        <v>0</v>
      </c>
      <c r="R182" s="9">
        <f>M182-N182-O182-P182-Q182</f>
        <v>-7001560</v>
      </c>
      <c r="S182" s="21">
        <f>PuntoReorden</f>
        <v>7</v>
      </c>
    </row>
    <row r="183">
      <c r="A183" s="5">
        <f>A182+1</f>
        <v>178</v>
      </c>
      <c r="B183" s="20">
        <f>B182+IF(WEEKDAY(B182,2)=6,2,1)</f>
        <v>46230</v>
      </c>
      <c r="C183" s="5">
        <f>MONTH(B183)</f>
        <v>7</v>
      </c>
      <c r="D183" s="5">
        <f>IF(C183&lt;&gt;C182,1,0)</f>
        <v>0</v>
      </c>
      <c r="E183" s="5">
        <f>IF(L182=1,CantPedido,0)</f>
        <v>0</v>
      </c>
      <c r="F183" s="5">
        <f>J182+E183</f>
        <v>18</v>
      </c>
      <c r="G183" s="5">
        <f>VLOOKUP(RAND(),TablaEmpirica,2,TRUE)</f>
        <v>5</v>
      </c>
      <c r="H183" s="5">
        <f>MIN(F183,G183)</f>
        <v>5</v>
      </c>
      <c r="I183" s="5">
        <f>G183-H183</f>
        <v>0</v>
      </c>
      <c r="J183" s="5">
        <f>F183-H183</f>
        <v>13</v>
      </c>
      <c r="K183" s="5">
        <f>IF(I183&gt;0,1,0)</f>
        <v>0</v>
      </c>
      <c r="L183" s="5">
        <f>IF(J183&lt;PuntoReorden,1,0)</f>
        <v>0</v>
      </c>
      <c r="M183" s="9">
        <f>PrecioVenta*H183</f>
        <v>3400000</v>
      </c>
      <c r="N183" s="9">
        <f>CostoUnitario*E183</f>
        <v>0</v>
      </c>
      <c r="O183" s="9">
        <f>IF(E183&gt;0,CostoPedido,0)</f>
        <v>0</v>
      </c>
      <c r="P183" s="9">
        <f>CostoAlm*(F183+J183)/2</f>
        <v>1240</v>
      </c>
      <c r="Q183" s="9">
        <f>CostoFijo*D183</f>
        <v>0</v>
      </c>
      <c r="R183" s="9">
        <f>M183-N183-O183-P183-Q183</f>
        <v>3398760</v>
      </c>
      <c r="S183" s="21">
        <f>PuntoReorden</f>
        <v>7</v>
      </c>
    </row>
    <row r="184">
      <c r="A184" s="5">
        <f>A183+1</f>
        <v>179</v>
      </c>
      <c r="B184" s="20">
        <f>B183+IF(WEEKDAY(B183,2)=6,2,1)</f>
        <v>46231</v>
      </c>
      <c r="C184" s="5">
        <f>MONTH(B184)</f>
        <v>7</v>
      </c>
      <c r="D184" s="5">
        <f>IF(C184&lt;&gt;C183,1,0)</f>
        <v>0</v>
      </c>
      <c r="E184" s="5">
        <f>IF(L183=1,CantPedido,0)</f>
        <v>0</v>
      </c>
      <c r="F184" s="5">
        <f>J183+E184</f>
        <v>13</v>
      </c>
      <c r="G184" s="5">
        <f>VLOOKUP(RAND(),TablaEmpirica,2,TRUE)</f>
        <v>3</v>
      </c>
      <c r="H184" s="5">
        <f>MIN(F184,G184)</f>
        <v>3</v>
      </c>
      <c r="I184" s="5">
        <f>G184-H184</f>
        <v>0</v>
      </c>
      <c r="J184" s="5">
        <f>F184-H184</f>
        <v>10</v>
      </c>
      <c r="K184" s="5">
        <f>IF(I184&gt;0,1,0)</f>
        <v>0</v>
      </c>
      <c r="L184" s="5">
        <f>IF(J184&lt;PuntoReorden,1,0)</f>
        <v>0</v>
      </c>
      <c r="M184" s="9">
        <f>PrecioVenta*H184</f>
        <v>2040000</v>
      </c>
      <c r="N184" s="9">
        <f>CostoUnitario*E184</f>
        <v>0</v>
      </c>
      <c r="O184" s="9">
        <f>IF(E184&gt;0,CostoPedido,0)</f>
        <v>0</v>
      </c>
      <c r="P184" s="9">
        <f>CostoAlm*(F184+J184)/2</f>
        <v>920</v>
      </c>
      <c r="Q184" s="9">
        <f>CostoFijo*D184</f>
        <v>0</v>
      </c>
      <c r="R184" s="9">
        <f>M184-N184-O184-P184-Q184</f>
        <v>2039080</v>
      </c>
      <c r="S184" s="21">
        <f>PuntoReorden</f>
        <v>7</v>
      </c>
    </row>
    <row r="185">
      <c r="A185" s="5">
        <f>A184+1</f>
        <v>180</v>
      </c>
      <c r="B185" s="20">
        <f>B184+IF(WEEKDAY(B184,2)=6,2,1)</f>
        <v>46232</v>
      </c>
      <c r="C185" s="5">
        <f>MONTH(B185)</f>
        <v>7</v>
      </c>
      <c r="D185" s="5">
        <f>IF(C185&lt;&gt;C184,1,0)</f>
        <v>0</v>
      </c>
      <c r="E185" s="5">
        <f>IF(L184=1,CantPedido,0)</f>
        <v>0</v>
      </c>
      <c r="F185" s="5">
        <f>J184+E185</f>
        <v>10</v>
      </c>
      <c r="G185" s="5">
        <f>VLOOKUP(RAND(),TablaEmpirica,2,TRUE)</f>
        <v>6</v>
      </c>
      <c r="H185" s="5">
        <f>MIN(F185,G185)</f>
        <v>6</v>
      </c>
      <c r="I185" s="5">
        <f>G185-H185</f>
        <v>0</v>
      </c>
      <c r="J185" s="5">
        <f>F185-H185</f>
        <v>4</v>
      </c>
      <c r="K185" s="5">
        <f>IF(I185&gt;0,1,0)</f>
        <v>0</v>
      </c>
      <c r="L185" s="5">
        <f>IF(J185&lt;PuntoReorden,1,0)</f>
        <v>1</v>
      </c>
      <c r="M185" s="9">
        <f>PrecioVenta*H185</f>
        <v>4080000</v>
      </c>
      <c r="N185" s="9">
        <f>CostoUnitario*E185</f>
        <v>0</v>
      </c>
      <c r="O185" s="9">
        <f>IF(E185&gt;0,CostoPedido,0)</f>
        <v>0</v>
      </c>
      <c r="P185" s="9">
        <f>CostoAlm*(F185+J185)/2</f>
        <v>560</v>
      </c>
      <c r="Q185" s="9">
        <f>CostoFijo*D185</f>
        <v>0</v>
      </c>
      <c r="R185" s="9">
        <f>M185-N185-O185-P185-Q185</f>
        <v>4079440</v>
      </c>
      <c r="S185" s="21">
        <f>PuntoReorden</f>
        <v>7</v>
      </c>
    </row>
    <row r="186">
      <c r="A186" s="5">
        <f>A185+1</f>
        <v>181</v>
      </c>
      <c r="B186" s="20">
        <f>B185+IF(WEEKDAY(B185,2)=6,2,1)</f>
        <v>46233</v>
      </c>
      <c r="C186" s="5">
        <f>MONTH(B186)</f>
        <v>7</v>
      </c>
      <c r="D186" s="5">
        <f>IF(C186&lt;&gt;C185,1,0)</f>
        <v>0</v>
      </c>
      <c r="E186" s="5">
        <f>IF(L185=1,CantPedido,0)</f>
        <v>15</v>
      </c>
      <c r="F186" s="5">
        <f>J185+E186</f>
        <v>19</v>
      </c>
      <c r="G186" s="5">
        <f>VLOOKUP(RAND(),TablaEmpirica,2,TRUE)</f>
        <v>6</v>
      </c>
      <c r="H186" s="5">
        <f>MIN(F186,G186)</f>
        <v>6</v>
      </c>
      <c r="I186" s="5">
        <f>G186-H186</f>
        <v>0</v>
      </c>
      <c r="J186" s="5">
        <f>F186-H186</f>
        <v>13</v>
      </c>
      <c r="K186" s="5">
        <f>IF(I186&gt;0,1,0)</f>
        <v>0</v>
      </c>
      <c r="L186" s="5">
        <f>IF(J186&lt;PuntoReorden,1,0)</f>
        <v>0</v>
      </c>
      <c r="M186" s="9">
        <f>PrecioVenta*H186</f>
        <v>4080000</v>
      </c>
      <c r="N186" s="9">
        <f>CostoUnitario*E186</f>
        <v>9000000</v>
      </c>
      <c r="O186" s="9">
        <f>IF(E186&gt;0,CostoPedido,0)</f>
        <v>40000</v>
      </c>
      <c r="P186" s="9">
        <f>CostoAlm*(F186+J186)/2</f>
        <v>1280</v>
      </c>
      <c r="Q186" s="9">
        <f>CostoFijo*D186</f>
        <v>0</v>
      </c>
      <c r="R186" s="9">
        <f>M186-N186-O186-P186-Q186</f>
        <v>-4961280</v>
      </c>
      <c r="S186" s="21">
        <f>PuntoReorden</f>
        <v>7</v>
      </c>
    </row>
    <row r="187">
      <c r="A187" s="5">
        <f>A186+1</f>
        <v>182</v>
      </c>
      <c r="B187" s="20">
        <f>B186+IF(WEEKDAY(B186,2)=6,2,1)</f>
        <v>46234</v>
      </c>
      <c r="C187" s="5">
        <f>MONTH(B187)</f>
        <v>7</v>
      </c>
      <c r="D187" s="5">
        <f>IF(C187&lt;&gt;C186,1,0)</f>
        <v>0</v>
      </c>
      <c r="E187" s="5">
        <f>IF(L186=1,CantPedido,0)</f>
        <v>0</v>
      </c>
      <c r="F187" s="5">
        <f>J186+E187</f>
        <v>13</v>
      </c>
      <c r="G187" s="5">
        <f>VLOOKUP(RAND(),TablaEmpirica,2,TRUE)</f>
        <v>6</v>
      </c>
      <c r="H187" s="5">
        <f>MIN(F187,G187)</f>
        <v>6</v>
      </c>
      <c r="I187" s="5">
        <f>G187-H187</f>
        <v>0</v>
      </c>
      <c r="J187" s="5">
        <f>F187-H187</f>
        <v>7</v>
      </c>
      <c r="K187" s="5">
        <f>IF(I187&gt;0,1,0)</f>
        <v>0</v>
      </c>
      <c r="L187" s="5">
        <f>IF(J187&lt;PuntoReorden,1,0)</f>
        <v>0</v>
      </c>
      <c r="M187" s="9">
        <f>PrecioVenta*H187</f>
        <v>4080000</v>
      </c>
      <c r="N187" s="9">
        <f>CostoUnitario*E187</f>
        <v>0</v>
      </c>
      <c r="O187" s="9">
        <f>IF(E187&gt;0,CostoPedido,0)</f>
        <v>0</v>
      </c>
      <c r="P187" s="9">
        <f>CostoAlm*(F187+J187)/2</f>
        <v>800</v>
      </c>
      <c r="Q187" s="9">
        <f>CostoFijo*D187</f>
        <v>0</v>
      </c>
      <c r="R187" s="9">
        <f>M187-N187-O187-P187-Q187</f>
        <v>4079200</v>
      </c>
      <c r="S187" s="21">
        <f>PuntoReorden</f>
        <v>7</v>
      </c>
    </row>
    <row r="188">
      <c r="A188" s="5">
        <f>A187+1</f>
        <v>183</v>
      </c>
      <c r="B188" s="20">
        <f>B187+IF(WEEKDAY(B187,2)=6,2,1)</f>
        <v>46235</v>
      </c>
      <c r="C188" s="5">
        <f>MONTH(B188)</f>
        <v>8</v>
      </c>
      <c r="D188" s="5">
        <f>IF(C188&lt;&gt;C187,1,0)</f>
        <v>1</v>
      </c>
      <c r="E188" s="5">
        <f>IF(L187=1,CantPedido,0)</f>
        <v>0</v>
      </c>
      <c r="F188" s="5">
        <f>J187+E188</f>
        <v>7</v>
      </c>
      <c r="G188" s="5">
        <f>VLOOKUP(RAND(),TablaEmpirica,2,TRUE)</f>
        <v>5</v>
      </c>
      <c r="H188" s="5">
        <f>MIN(F188,G188)</f>
        <v>5</v>
      </c>
      <c r="I188" s="5">
        <f>G188-H188</f>
        <v>0</v>
      </c>
      <c r="J188" s="5">
        <f>F188-H188</f>
        <v>2</v>
      </c>
      <c r="K188" s="5">
        <f>IF(I188&gt;0,1,0)</f>
        <v>0</v>
      </c>
      <c r="L188" s="5">
        <f>IF(J188&lt;PuntoReorden,1,0)</f>
        <v>1</v>
      </c>
      <c r="M188" s="9">
        <f>PrecioVenta*H188</f>
        <v>3400000</v>
      </c>
      <c r="N188" s="9">
        <f>CostoUnitario*E188</f>
        <v>0</v>
      </c>
      <c r="O188" s="9">
        <f>IF(E188&gt;0,CostoPedido,0)</f>
        <v>0</v>
      </c>
      <c r="P188" s="9">
        <f>CostoAlm*(F188+J188)/2</f>
        <v>360</v>
      </c>
      <c r="Q188" s="9">
        <f>CostoFijo*D188</f>
        <v>1000000</v>
      </c>
      <c r="R188" s="9">
        <f>M188-N188-O188-P188-Q188</f>
        <v>2399640</v>
      </c>
      <c r="S188" s="21">
        <f>PuntoReorden</f>
        <v>7</v>
      </c>
    </row>
    <row r="189">
      <c r="A189" s="5">
        <f>A188+1</f>
        <v>184</v>
      </c>
      <c r="B189" s="20">
        <f>B188+IF(WEEKDAY(B188,2)=6,2,1)</f>
        <v>46237</v>
      </c>
      <c r="C189" s="5">
        <f>MONTH(B189)</f>
        <v>8</v>
      </c>
      <c r="D189" s="5">
        <f>IF(C189&lt;&gt;C188,1,0)</f>
        <v>0</v>
      </c>
      <c r="E189" s="5">
        <f>IF(L188=1,CantPedido,0)</f>
        <v>15</v>
      </c>
      <c r="F189" s="5">
        <f>J188+E189</f>
        <v>17</v>
      </c>
      <c r="G189" s="5">
        <f>VLOOKUP(RAND(),TablaEmpirica,2,TRUE)</f>
        <v>7</v>
      </c>
      <c r="H189" s="5">
        <f>MIN(F189,G189)</f>
        <v>7</v>
      </c>
      <c r="I189" s="5">
        <f>G189-H189</f>
        <v>0</v>
      </c>
      <c r="J189" s="5">
        <f>F189-H189</f>
        <v>10</v>
      </c>
      <c r="K189" s="5">
        <f>IF(I189&gt;0,1,0)</f>
        <v>0</v>
      </c>
      <c r="L189" s="5">
        <f>IF(J189&lt;PuntoReorden,1,0)</f>
        <v>0</v>
      </c>
      <c r="M189" s="9">
        <f>PrecioVenta*H189</f>
        <v>4760000</v>
      </c>
      <c r="N189" s="9">
        <f>CostoUnitario*E189</f>
        <v>9000000</v>
      </c>
      <c r="O189" s="9">
        <f>IF(E189&gt;0,CostoPedido,0)</f>
        <v>40000</v>
      </c>
      <c r="P189" s="9">
        <f>CostoAlm*(F189+J189)/2</f>
        <v>1080</v>
      </c>
      <c r="Q189" s="9">
        <f>CostoFijo*D189</f>
        <v>0</v>
      </c>
      <c r="R189" s="9">
        <f>M189-N189-O189-P189-Q189</f>
        <v>-4281080</v>
      </c>
      <c r="S189" s="21">
        <f>PuntoReorden</f>
        <v>7</v>
      </c>
    </row>
    <row r="190">
      <c r="A190" s="5">
        <f>A189+1</f>
        <v>185</v>
      </c>
      <c r="B190" s="20">
        <f>B189+IF(WEEKDAY(B189,2)=6,2,1)</f>
        <v>46238</v>
      </c>
      <c r="C190" s="5">
        <f>MONTH(B190)</f>
        <v>8</v>
      </c>
      <c r="D190" s="5">
        <f>IF(C190&lt;&gt;C189,1,0)</f>
        <v>0</v>
      </c>
      <c r="E190" s="5">
        <f>IF(L189=1,CantPedido,0)</f>
        <v>0</v>
      </c>
      <c r="F190" s="5">
        <f>J189+E190</f>
        <v>10</v>
      </c>
      <c r="G190" s="5">
        <f>VLOOKUP(RAND(),TablaEmpirica,2,TRUE)</f>
        <v>7</v>
      </c>
      <c r="H190" s="5">
        <f>MIN(F190,G190)</f>
        <v>7</v>
      </c>
      <c r="I190" s="5">
        <f>G190-H190</f>
        <v>0</v>
      </c>
      <c r="J190" s="5">
        <f>F190-H190</f>
        <v>3</v>
      </c>
      <c r="K190" s="5">
        <f>IF(I190&gt;0,1,0)</f>
        <v>0</v>
      </c>
      <c r="L190" s="5">
        <f>IF(J190&lt;PuntoReorden,1,0)</f>
        <v>1</v>
      </c>
      <c r="M190" s="9">
        <f>PrecioVenta*H190</f>
        <v>4760000</v>
      </c>
      <c r="N190" s="9">
        <f>CostoUnitario*E190</f>
        <v>0</v>
      </c>
      <c r="O190" s="9">
        <f>IF(E190&gt;0,CostoPedido,0)</f>
        <v>0</v>
      </c>
      <c r="P190" s="9">
        <f>CostoAlm*(F190+J190)/2</f>
        <v>520</v>
      </c>
      <c r="Q190" s="9">
        <f>CostoFijo*D190</f>
        <v>0</v>
      </c>
      <c r="R190" s="9">
        <f>M190-N190-O190-P190-Q190</f>
        <v>4759480</v>
      </c>
      <c r="S190" s="21">
        <f>PuntoReorden</f>
        <v>7</v>
      </c>
    </row>
    <row r="191">
      <c r="A191" s="5">
        <f>A190+1</f>
        <v>186</v>
      </c>
      <c r="B191" s="20">
        <f>B190+IF(WEEKDAY(B190,2)=6,2,1)</f>
        <v>46239</v>
      </c>
      <c r="C191" s="5">
        <f>MONTH(B191)</f>
        <v>8</v>
      </c>
      <c r="D191" s="5">
        <f>IF(C191&lt;&gt;C190,1,0)</f>
        <v>0</v>
      </c>
      <c r="E191" s="5">
        <f>IF(L190=1,CantPedido,0)</f>
        <v>15</v>
      </c>
      <c r="F191" s="5">
        <f>J190+E191</f>
        <v>18</v>
      </c>
      <c r="G191" s="5">
        <f>VLOOKUP(RAND(),TablaEmpirica,2,TRUE)</f>
        <v>5</v>
      </c>
      <c r="H191" s="5">
        <f>MIN(F191,G191)</f>
        <v>5</v>
      </c>
      <c r="I191" s="5">
        <f>G191-H191</f>
        <v>0</v>
      </c>
      <c r="J191" s="5">
        <f>F191-H191</f>
        <v>13</v>
      </c>
      <c r="K191" s="5">
        <f>IF(I191&gt;0,1,0)</f>
        <v>0</v>
      </c>
      <c r="L191" s="5">
        <f>IF(J191&lt;PuntoReorden,1,0)</f>
        <v>0</v>
      </c>
      <c r="M191" s="9">
        <f>PrecioVenta*H191</f>
        <v>3400000</v>
      </c>
      <c r="N191" s="9">
        <f>CostoUnitario*E191</f>
        <v>9000000</v>
      </c>
      <c r="O191" s="9">
        <f>IF(E191&gt;0,CostoPedido,0)</f>
        <v>40000</v>
      </c>
      <c r="P191" s="9">
        <f>CostoAlm*(F191+J191)/2</f>
        <v>1240</v>
      </c>
      <c r="Q191" s="9">
        <f>CostoFijo*D191</f>
        <v>0</v>
      </c>
      <c r="R191" s="9">
        <f>M191-N191-O191-P191-Q191</f>
        <v>-5641240</v>
      </c>
      <c r="S191" s="21">
        <f>PuntoReorden</f>
        <v>7</v>
      </c>
    </row>
    <row r="192">
      <c r="A192" s="5">
        <f>A191+1</f>
        <v>187</v>
      </c>
      <c r="B192" s="20">
        <f>B191+IF(WEEKDAY(B191,2)=6,2,1)</f>
        <v>46240</v>
      </c>
      <c r="C192" s="5">
        <f>MONTH(B192)</f>
        <v>8</v>
      </c>
      <c r="D192" s="5">
        <f>IF(C192&lt;&gt;C191,1,0)</f>
        <v>0</v>
      </c>
      <c r="E192" s="5">
        <f>IF(L191=1,CantPedido,0)</f>
        <v>0</v>
      </c>
      <c r="F192" s="5">
        <f>J191+E192</f>
        <v>13</v>
      </c>
      <c r="G192" s="5">
        <f>VLOOKUP(RAND(),TablaEmpirica,2,TRUE)</f>
        <v>5</v>
      </c>
      <c r="H192" s="5">
        <f>MIN(F192,G192)</f>
        <v>5</v>
      </c>
      <c r="I192" s="5">
        <f>G192-H192</f>
        <v>0</v>
      </c>
      <c r="J192" s="5">
        <f>F192-H192</f>
        <v>8</v>
      </c>
      <c r="K192" s="5">
        <f>IF(I192&gt;0,1,0)</f>
        <v>0</v>
      </c>
      <c r="L192" s="5">
        <f>IF(J192&lt;PuntoReorden,1,0)</f>
        <v>0</v>
      </c>
      <c r="M192" s="9">
        <f>PrecioVenta*H192</f>
        <v>3400000</v>
      </c>
      <c r="N192" s="9">
        <f>CostoUnitario*E192</f>
        <v>0</v>
      </c>
      <c r="O192" s="9">
        <f>IF(E192&gt;0,CostoPedido,0)</f>
        <v>0</v>
      </c>
      <c r="P192" s="9">
        <f>CostoAlm*(F192+J192)/2</f>
        <v>840</v>
      </c>
      <c r="Q192" s="9">
        <f>CostoFijo*D192</f>
        <v>0</v>
      </c>
      <c r="R192" s="9">
        <f>M192-N192-O192-P192-Q192</f>
        <v>3399160</v>
      </c>
      <c r="S192" s="21">
        <f>PuntoReorden</f>
        <v>7</v>
      </c>
    </row>
    <row r="193">
      <c r="A193" s="5">
        <f>A192+1</f>
        <v>188</v>
      </c>
      <c r="B193" s="20">
        <f>B192+IF(WEEKDAY(B192,2)=6,2,1)</f>
        <v>46241</v>
      </c>
      <c r="C193" s="5">
        <f>MONTH(B193)</f>
        <v>8</v>
      </c>
      <c r="D193" s="5">
        <f>IF(C193&lt;&gt;C192,1,0)</f>
        <v>0</v>
      </c>
      <c r="E193" s="5">
        <f>IF(L192=1,CantPedido,0)</f>
        <v>0</v>
      </c>
      <c r="F193" s="5">
        <f>J192+E193</f>
        <v>8</v>
      </c>
      <c r="G193" s="5">
        <f>VLOOKUP(RAND(),TablaEmpirica,2,TRUE)</f>
        <v>6</v>
      </c>
      <c r="H193" s="5">
        <f>MIN(F193,G193)</f>
        <v>6</v>
      </c>
      <c r="I193" s="5">
        <f>G193-H193</f>
        <v>0</v>
      </c>
      <c r="J193" s="5">
        <f>F193-H193</f>
        <v>2</v>
      </c>
      <c r="K193" s="5">
        <f>IF(I193&gt;0,1,0)</f>
        <v>0</v>
      </c>
      <c r="L193" s="5">
        <f>IF(J193&lt;PuntoReorden,1,0)</f>
        <v>1</v>
      </c>
      <c r="M193" s="9">
        <f>PrecioVenta*H193</f>
        <v>4080000</v>
      </c>
      <c r="N193" s="9">
        <f>CostoUnitario*E193</f>
        <v>0</v>
      </c>
      <c r="O193" s="9">
        <f>IF(E193&gt;0,CostoPedido,0)</f>
        <v>0</v>
      </c>
      <c r="P193" s="9">
        <f>CostoAlm*(F193+J193)/2</f>
        <v>400</v>
      </c>
      <c r="Q193" s="9">
        <f>CostoFijo*D193</f>
        <v>0</v>
      </c>
      <c r="R193" s="9">
        <f>M193-N193-O193-P193-Q193</f>
        <v>4079600</v>
      </c>
      <c r="S193" s="21">
        <f>PuntoReorden</f>
        <v>7</v>
      </c>
    </row>
    <row r="194">
      <c r="A194" s="5">
        <f>A193+1</f>
        <v>189</v>
      </c>
      <c r="B194" s="20">
        <f>B193+IF(WEEKDAY(B193,2)=6,2,1)</f>
        <v>46242</v>
      </c>
      <c r="C194" s="5">
        <f>MONTH(B194)</f>
        <v>8</v>
      </c>
      <c r="D194" s="5">
        <f>IF(C194&lt;&gt;C193,1,0)</f>
        <v>0</v>
      </c>
      <c r="E194" s="5">
        <f>IF(L193=1,CantPedido,0)</f>
        <v>15</v>
      </c>
      <c r="F194" s="5">
        <f>J193+E194</f>
        <v>17</v>
      </c>
      <c r="G194" s="5">
        <f>VLOOKUP(RAND(),TablaEmpirica,2,TRUE)</f>
        <v>6</v>
      </c>
      <c r="H194" s="5">
        <f>MIN(F194,G194)</f>
        <v>6</v>
      </c>
      <c r="I194" s="5">
        <f>G194-H194</f>
        <v>0</v>
      </c>
      <c r="J194" s="5">
        <f>F194-H194</f>
        <v>11</v>
      </c>
      <c r="K194" s="5">
        <f>IF(I194&gt;0,1,0)</f>
        <v>0</v>
      </c>
      <c r="L194" s="5">
        <f>IF(J194&lt;PuntoReorden,1,0)</f>
        <v>0</v>
      </c>
      <c r="M194" s="9">
        <f>PrecioVenta*H194</f>
        <v>4080000</v>
      </c>
      <c r="N194" s="9">
        <f>CostoUnitario*E194</f>
        <v>9000000</v>
      </c>
      <c r="O194" s="9">
        <f>IF(E194&gt;0,CostoPedido,0)</f>
        <v>40000</v>
      </c>
      <c r="P194" s="9">
        <f>CostoAlm*(F194+J194)/2</f>
        <v>1120</v>
      </c>
      <c r="Q194" s="9">
        <f>CostoFijo*D194</f>
        <v>0</v>
      </c>
      <c r="R194" s="9">
        <f>M194-N194-O194-P194-Q194</f>
        <v>-4961120</v>
      </c>
      <c r="S194" s="21">
        <f>PuntoReorden</f>
        <v>7</v>
      </c>
    </row>
    <row r="195">
      <c r="A195" s="5">
        <f>A194+1</f>
        <v>190</v>
      </c>
      <c r="B195" s="20">
        <f>B194+IF(WEEKDAY(B194,2)=6,2,1)</f>
        <v>46244</v>
      </c>
      <c r="C195" s="5">
        <f>MONTH(B195)</f>
        <v>8</v>
      </c>
      <c r="D195" s="5">
        <f>IF(C195&lt;&gt;C194,1,0)</f>
        <v>0</v>
      </c>
      <c r="E195" s="5">
        <f>IF(L194=1,CantPedido,0)</f>
        <v>0</v>
      </c>
      <c r="F195" s="5">
        <f>J194+E195</f>
        <v>11</v>
      </c>
      <c r="G195" s="5">
        <f>VLOOKUP(RAND(),TablaEmpirica,2,TRUE)</f>
        <v>5</v>
      </c>
      <c r="H195" s="5">
        <f>MIN(F195,G195)</f>
        <v>5</v>
      </c>
      <c r="I195" s="5">
        <f>G195-H195</f>
        <v>0</v>
      </c>
      <c r="J195" s="5">
        <f>F195-H195</f>
        <v>6</v>
      </c>
      <c r="K195" s="5">
        <f>IF(I195&gt;0,1,0)</f>
        <v>0</v>
      </c>
      <c r="L195" s="5">
        <f>IF(J195&lt;PuntoReorden,1,0)</f>
        <v>1</v>
      </c>
      <c r="M195" s="9">
        <f>PrecioVenta*H195</f>
        <v>3400000</v>
      </c>
      <c r="N195" s="9">
        <f>CostoUnitario*E195</f>
        <v>0</v>
      </c>
      <c r="O195" s="9">
        <f>IF(E195&gt;0,CostoPedido,0)</f>
        <v>0</v>
      </c>
      <c r="P195" s="9">
        <f>CostoAlm*(F195+J195)/2</f>
        <v>680</v>
      </c>
      <c r="Q195" s="9">
        <f>CostoFijo*D195</f>
        <v>0</v>
      </c>
      <c r="R195" s="9">
        <f>M195-N195-O195-P195-Q195</f>
        <v>3399320</v>
      </c>
      <c r="S195" s="21">
        <f>PuntoReorden</f>
        <v>7</v>
      </c>
    </row>
    <row r="196">
      <c r="A196" s="5">
        <f>A195+1</f>
        <v>191</v>
      </c>
      <c r="B196" s="20">
        <f>B195+IF(WEEKDAY(B195,2)=6,2,1)</f>
        <v>46245</v>
      </c>
      <c r="C196" s="5">
        <f>MONTH(B196)</f>
        <v>8</v>
      </c>
      <c r="D196" s="5">
        <f>IF(C196&lt;&gt;C195,1,0)</f>
        <v>0</v>
      </c>
      <c r="E196" s="5">
        <f>IF(L195=1,CantPedido,0)</f>
        <v>15</v>
      </c>
      <c r="F196" s="5">
        <f>J195+E196</f>
        <v>21</v>
      </c>
      <c r="G196" s="5">
        <f>VLOOKUP(RAND(),TablaEmpirica,2,TRUE)</f>
        <v>6</v>
      </c>
      <c r="H196" s="5">
        <f>MIN(F196,G196)</f>
        <v>6</v>
      </c>
      <c r="I196" s="5">
        <f>G196-H196</f>
        <v>0</v>
      </c>
      <c r="J196" s="5">
        <f>F196-H196</f>
        <v>15</v>
      </c>
      <c r="K196" s="5">
        <f>IF(I196&gt;0,1,0)</f>
        <v>0</v>
      </c>
      <c r="L196" s="5">
        <f>IF(J196&lt;PuntoReorden,1,0)</f>
        <v>0</v>
      </c>
      <c r="M196" s="9">
        <f>PrecioVenta*H196</f>
        <v>4080000</v>
      </c>
      <c r="N196" s="9">
        <f>CostoUnitario*E196</f>
        <v>9000000</v>
      </c>
      <c r="O196" s="9">
        <f>IF(E196&gt;0,CostoPedido,0)</f>
        <v>40000</v>
      </c>
      <c r="P196" s="9">
        <f>CostoAlm*(F196+J196)/2</f>
        <v>1440</v>
      </c>
      <c r="Q196" s="9">
        <f>CostoFijo*D196</f>
        <v>0</v>
      </c>
      <c r="R196" s="9">
        <f>M196-N196-O196-P196-Q196</f>
        <v>-4961440</v>
      </c>
      <c r="S196" s="21">
        <f>PuntoReorden</f>
        <v>7</v>
      </c>
    </row>
    <row r="197">
      <c r="A197" s="5">
        <f>A196+1</f>
        <v>192</v>
      </c>
      <c r="B197" s="20">
        <f>B196+IF(WEEKDAY(B196,2)=6,2,1)</f>
        <v>46246</v>
      </c>
      <c r="C197" s="5">
        <f>MONTH(B197)</f>
        <v>8</v>
      </c>
      <c r="D197" s="5">
        <f>IF(C197&lt;&gt;C196,1,0)</f>
        <v>0</v>
      </c>
      <c r="E197" s="5">
        <f>IF(L196=1,CantPedido,0)</f>
        <v>0</v>
      </c>
      <c r="F197" s="5">
        <f>J196+E197</f>
        <v>15</v>
      </c>
      <c r="G197" s="5">
        <f>VLOOKUP(RAND(),TablaEmpirica,2,TRUE)</f>
        <v>5</v>
      </c>
      <c r="H197" s="5">
        <f>MIN(F197,G197)</f>
        <v>5</v>
      </c>
      <c r="I197" s="5">
        <f>G197-H197</f>
        <v>0</v>
      </c>
      <c r="J197" s="5">
        <f>F197-H197</f>
        <v>10</v>
      </c>
      <c r="K197" s="5">
        <f>IF(I197&gt;0,1,0)</f>
        <v>0</v>
      </c>
      <c r="L197" s="5">
        <f>IF(J197&lt;PuntoReorden,1,0)</f>
        <v>0</v>
      </c>
      <c r="M197" s="9">
        <f>PrecioVenta*H197</f>
        <v>3400000</v>
      </c>
      <c r="N197" s="9">
        <f>CostoUnitario*E197</f>
        <v>0</v>
      </c>
      <c r="O197" s="9">
        <f>IF(E197&gt;0,CostoPedido,0)</f>
        <v>0</v>
      </c>
      <c r="P197" s="9">
        <f>CostoAlm*(F197+J197)/2</f>
        <v>1000</v>
      </c>
      <c r="Q197" s="9">
        <f>CostoFijo*D197</f>
        <v>0</v>
      </c>
      <c r="R197" s="9">
        <f>M197-N197-O197-P197-Q197</f>
        <v>3399000</v>
      </c>
      <c r="S197" s="21">
        <f>PuntoReorden</f>
        <v>7</v>
      </c>
    </row>
    <row r="198">
      <c r="A198" s="5">
        <f>A197+1</f>
        <v>193</v>
      </c>
      <c r="B198" s="20">
        <f>B197+IF(WEEKDAY(B197,2)=6,2,1)</f>
        <v>46247</v>
      </c>
      <c r="C198" s="5">
        <f>MONTH(B198)</f>
        <v>8</v>
      </c>
      <c r="D198" s="5">
        <f>IF(C198&lt;&gt;C197,1,0)</f>
        <v>0</v>
      </c>
      <c r="E198" s="5">
        <f>IF(L197=1,CantPedido,0)</f>
        <v>0</v>
      </c>
      <c r="F198" s="5">
        <f>J197+E198</f>
        <v>10</v>
      </c>
      <c r="G198" s="5">
        <f>VLOOKUP(RAND(),TablaEmpirica,2,TRUE)</f>
        <v>6</v>
      </c>
      <c r="H198" s="5">
        <f>MIN(F198,G198)</f>
        <v>6</v>
      </c>
      <c r="I198" s="5">
        <f>G198-H198</f>
        <v>0</v>
      </c>
      <c r="J198" s="5">
        <f>F198-H198</f>
        <v>4</v>
      </c>
      <c r="K198" s="5">
        <f>IF(I198&gt;0,1,0)</f>
        <v>0</v>
      </c>
      <c r="L198" s="5">
        <f>IF(J198&lt;PuntoReorden,1,0)</f>
        <v>1</v>
      </c>
      <c r="M198" s="9">
        <f>PrecioVenta*H198</f>
        <v>4080000</v>
      </c>
      <c r="N198" s="9">
        <f>CostoUnitario*E198</f>
        <v>0</v>
      </c>
      <c r="O198" s="9">
        <f>IF(E198&gt;0,CostoPedido,0)</f>
        <v>0</v>
      </c>
      <c r="P198" s="9">
        <f>CostoAlm*(F198+J198)/2</f>
        <v>560</v>
      </c>
      <c r="Q198" s="9">
        <f>CostoFijo*D198</f>
        <v>0</v>
      </c>
      <c r="R198" s="9">
        <f>M198-N198-O198-P198-Q198</f>
        <v>4079440</v>
      </c>
      <c r="S198" s="21">
        <f>PuntoReorden</f>
        <v>7</v>
      </c>
    </row>
    <row r="199">
      <c r="A199" s="5">
        <f>A198+1</f>
        <v>194</v>
      </c>
      <c r="B199" s="20">
        <f>B198+IF(WEEKDAY(B198,2)=6,2,1)</f>
        <v>46248</v>
      </c>
      <c r="C199" s="5">
        <f>MONTH(B199)</f>
        <v>8</v>
      </c>
      <c r="D199" s="5">
        <f>IF(C199&lt;&gt;C198,1,0)</f>
        <v>0</v>
      </c>
      <c r="E199" s="5">
        <f>IF(L198=1,CantPedido,0)</f>
        <v>15</v>
      </c>
      <c r="F199" s="5">
        <f>J198+E199</f>
        <v>19</v>
      </c>
      <c r="G199" s="5">
        <f>VLOOKUP(RAND(),TablaEmpirica,2,TRUE)</f>
        <v>6</v>
      </c>
      <c r="H199" s="5">
        <f>MIN(F199,G199)</f>
        <v>6</v>
      </c>
      <c r="I199" s="5">
        <f>G199-H199</f>
        <v>0</v>
      </c>
      <c r="J199" s="5">
        <f>F199-H199</f>
        <v>13</v>
      </c>
      <c r="K199" s="5">
        <f>IF(I199&gt;0,1,0)</f>
        <v>0</v>
      </c>
      <c r="L199" s="5">
        <f>IF(J199&lt;PuntoReorden,1,0)</f>
        <v>0</v>
      </c>
      <c r="M199" s="9">
        <f>PrecioVenta*H199</f>
        <v>4080000</v>
      </c>
      <c r="N199" s="9">
        <f>CostoUnitario*E199</f>
        <v>9000000</v>
      </c>
      <c r="O199" s="9">
        <f>IF(E199&gt;0,CostoPedido,0)</f>
        <v>40000</v>
      </c>
      <c r="P199" s="9">
        <f>CostoAlm*(F199+J199)/2</f>
        <v>1280</v>
      </c>
      <c r="Q199" s="9">
        <f>CostoFijo*D199</f>
        <v>0</v>
      </c>
      <c r="R199" s="9">
        <f>M199-N199-O199-P199-Q199</f>
        <v>-4961280</v>
      </c>
      <c r="S199" s="21">
        <f>PuntoReorden</f>
        <v>7</v>
      </c>
    </row>
    <row r="200">
      <c r="A200" s="5">
        <f>A199+1</f>
        <v>195</v>
      </c>
      <c r="B200" s="20">
        <f>B199+IF(WEEKDAY(B199,2)=6,2,1)</f>
        <v>46249</v>
      </c>
      <c r="C200" s="5">
        <f>MONTH(B200)</f>
        <v>8</v>
      </c>
      <c r="D200" s="5">
        <f>IF(C200&lt;&gt;C199,1,0)</f>
        <v>0</v>
      </c>
      <c r="E200" s="5">
        <f>IF(L199=1,CantPedido,0)</f>
        <v>0</v>
      </c>
      <c r="F200" s="5">
        <f>J199+E200</f>
        <v>13</v>
      </c>
      <c r="G200" s="5">
        <f>VLOOKUP(RAND(),TablaEmpirica,2,TRUE)</f>
        <v>7</v>
      </c>
      <c r="H200" s="5">
        <f>MIN(F200,G200)</f>
        <v>7</v>
      </c>
      <c r="I200" s="5">
        <f>G200-H200</f>
        <v>0</v>
      </c>
      <c r="J200" s="5">
        <f>F200-H200</f>
        <v>6</v>
      </c>
      <c r="K200" s="5">
        <f>IF(I200&gt;0,1,0)</f>
        <v>0</v>
      </c>
      <c r="L200" s="5">
        <f>IF(J200&lt;PuntoReorden,1,0)</f>
        <v>1</v>
      </c>
      <c r="M200" s="9">
        <f>PrecioVenta*H200</f>
        <v>4760000</v>
      </c>
      <c r="N200" s="9">
        <f>CostoUnitario*E200</f>
        <v>0</v>
      </c>
      <c r="O200" s="9">
        <f>IF(E200&gt;0,CostoPedido,0)</f>
        <v>0</v>
      </c>
      <c r="P200" s="9">
        <f>CostoAlm*(F200+J200)/2</f>
        <v>760</v>
      </c>
      <c r="Q200" s="9">
        <f>CostoFijo*D200</f>
        <v>0</v>
      </c>
      <c r="R200" s="9">
        <f>M200-N200-O200-P200-Q200</f>
        <v>4759240</v>
      </c>
      <c r="S200" s="21">
        <f>PuntoReorden</f>
        <v>7</v>
      </c>
    </row>
    <row r="201">
      <c r="A201" s="5">
        <f>A200+1</f>
        <v>196</v>
      </c>
      <c r="B201" s="20">
        <f>B200+IF(WEEKDAY(B200,2)=6,2,1)</f>
        <v>46251</v>
      </c>
      <c r="C201" s="5">
        <f>MONTH(B201)</f>
        <v>8</v>
      </c>
      <c r="D201" s="5">
        <f>IF(C201&lt;&gt;C200,1,0)</f>
        <v>0</v>
      </c>
      <c r="E201" s="5">
        <f>IF(L200=1,CantPedido,0)</f>
        <v>15</v>
      </c>
      <c r="F201" s="5">
        <f>J200+E201</f>
        <v>21</v>
      </c>
      <c r="G201" s="5">
        <f>VLOOKUP(RAND(),TablaEmpirica,2,TRUE)</f>
        <v>6</v>
      </c>
      <c r="H201" s="5">
        <f>MIN(F201,G201)</f>
        <v>6</v>
      </c>
      <c r="I201" s="5">
        <f>G201-H201</f>
        <v>0</v>
      </c>
      <c r="J201" s="5">
        <f>F201-H201</f>
        <v>15</v>
      </c>
      <c r="K201" s="5">
        <f>IF(I201&gt;0,1,0)</f>
        <v>0</v>
      </c>
      <c r="L201" s="5">
        <f>IF(J201&lt;PuntoReorden,1,0)</f>
        <v>0</v>
      </c>
      <c r="M201" s="9">
        <f>PrecioVenta*H201</f>
        <v>4080000</v>
      </c>
      <c r="N201" s="9">
        <f>CostoUnitario*E201</f>
        <v>9000000</v>
      </c>
      <c r="O201" s="9">
        <f>IF(E201&gt;0,CostoPedido,0)</f>
        <v>40000</v>
      </c>
      <c r="P201" s="9">
        <f>CostoAlm*(F201+J201)/2</f>
        <v>1440</v>
      </c>
      <c r="Q201" s="9">
        <f>CostoFijo*D201</f>
        <v>0</v>
      </c>
      <c r="R201" s="9">
        <f>M201-N201-O201-P201-Q201</f>
        <v>-4961440</v>
      </c>
      <c r="S201" s="21">
        <f>PuntoReorden</f>
        <v>7</v>
      </c>
    </row>
    <row r="202">
      <c r="A202" s="5">
        <f>A201+1</f>
        <v>197</v>
      </c>
      <c r="B202" s="20">
        <f>B201+IF(WEEKDAY(B201,2)=6,2,1)</f>
        <v>46252</v>
      </c>
      <c r="C202" s="5">
        <f>MONTH(B202)</f>
        <v>8</v>
      </c>
      <c r="D202" s="5">
        <f>IF(C202&lt;&gt;C201,1,0)</f>
        <v>0</v>
      </c>
      <c r="E202" s="5">
        <f>IF(L201=1,CantPedido,0)</f>
        <v>0</v>
      </c>
      <c r="F202" s="5">
        <f>J201+E202</f>
        <v>15</v>
      </c>
      <c r="G202" s="5">
        <f>VLOOKUP(RAND(),TablaEmpirica,2,TRUE)</f>
        <v>3</v>
      </c>
      <c r="H202" s="5">
        <f>MIN(F202,G202)</f>
        <v>3</v>
      </c>
      <c r="I202" s="5">
        <f>G202-H202</f>
        <v>0</v>
      </c>
      <c r="J202" s="5">
        <f>F202-H202</f>
        <v>12</v>
      </c>
      <c r="K202" s="5">
        <f>IF(I202&gt;0,1,0)</f>
        <v>0</v>
      </c>
      <c r="L202" s="5">
        <f>IF(J202&lt;PuntoReorden,1,0)</f>
        <v>0</v>
      </c>
      <c r="M202" s="9">
        <f>PrecioVenta*H202</f>
        <v>2040000</v>
      </c>
      <c r="N202" s="9">
        <f>CostoUnitario*E202</f>
        <v>0</v>
      </c>
      <c r="O202" s="9">
        <f>IF(E202&gt;0,CostoPedido,0)</f>
        <v>0</v>
      </c>
      <c r="P202" s="9">
        <f>CostoAlm*(F202+J202)/2</f>
        <v>1080</v>
      </c>
      <c r="Q202" s="9">
        <f>CostoFijo*D202</f>
        <v>0</v>
      </c>
      <c r="R202" s="9">
        <f>M202-N202-O202-P202-Q202</f>
        <v>2038920</v>
      </c>
      <c r="S202" s="21">
        <f>PuntoReorden</f>
        <v>7</v>
      </c>
    </row>
    <row r="203">
      <c r="A203" s="5">
        <f>A202+1</f>
        <v>198</v>
      </c>
      <c r="B203" s="20">
        <f>B202+IF(WEEKDAY(B202,2)=6,2,1)</f>
        <v>46253</v>
      </c>
      <c r="C203" s="5">
        <f>MONTH(B203)</f>
        <v>8</v>
      </c>
      <c r="D203" s="5">
        <f>IF(C203&lt;&gt;C202,1,0)</f>
        <v>0</v>
      </c>
      <c r="E203" s="5">
        <f>IF(L202=1,CantPedido,0)</f>
        <v>0</v>
      </c>
      <c r="F203" s="5">
        <f>J202+E203</f>
        <v>12</v>
      </c>
      <c r="G203" s="5">
        <f>VLOOKUP(RAND(),TablaEmpirica,2,TRUE)</f>
        <v>3</v>
      </c>
      <c r="H203" s="5">
        <f>MIN(F203,G203)</f>
        <v>3</v>
      </c>
      <c r="I203" s="5">
        <f>G203-H203</f>
        <v>0</v>
      </c>
      <c r="J203" s="5">
        <f>F203-H203</f>
        <v>9</v>
      </c>
      <c r="K203" s="5">
        <f>IF(I203&gt;0,1,0)</f>
        <v>0</v>
      </c>
      <c r="L203" s="5">
        <f>IF(J203&lt;PuntoReorden,1,0)</f>
        <v>0</v>
      </c>
      <c r="M203" s="9">
        <f>PrecioVenta*H203</f>
        <v>2040000</v>
      </c>
      <c r="N203" s="9">
        <f>CostoUnitario*E203</f>
        <v>0</v>
      </c>
      <c r="O203" s="9">
        <f>IF(E203&gt;0,CostoPedido,0)</f>
        <v>0</v>
      </c>
      <c r="P203" s="9">
        <f>CostoAlm*(F203+J203)/2</f>
        <v>840</v>
      </c>
      <c r="Q203" s="9">
        <f>CostoFijo*D203</f>
        <v>0</v>
      </c>
      <c r="R203" s="9">
        <f>M203-N203-O203-P203-Q203</f>
        <v>2039160</v>
      </c>
      <c r="S203" s="21">
        <f>PuntoReorden</f>
        <v>7</v>
      </c>
    </row>
    <row r="204">
      <c r="A204" s="5">
        <f>A203+1</f>
        <v>199</v>
      </c>
      <c r="B204" s="20">
        <f>B203+IF(WEEKDAY(B203,2)=6,2,1)</f>
        <v>46254</v>
      </c>
      <c r="C204" s="5">
        <f>MONTH(B204)</f>
        <v>8</v>
      </c>
      <c r="D204" s="5">
        <f>IF(C204&lt;&gt;C203,1,0)</f>
        <v>0</v>
      </c>
      <c r="E204" s="5">
        <f>IF(L203=1,CantPedido,0)</f>
        <v>0</v>
      </c>
      <c r="F204" s="5">
        <f>J203+E204</f>
        <v>9</v>
      </c>
      <c r="G204" s="5">
        <f>VLOOKUP(RAND(),TablaEmpirica,2,TRUE)</f>
        <v>7</v>
      </c>
      <c r="H204" s="5">
        <f>MIN(F204,G204)</f>
        <v>7</v>
      </c>
      <c r="I204" s="5">
        <f>G204-H204</f>
        <v>0</v>
      </c>
      <c r="J204" s="5">
        <f>F204-H204</f>
        <v>2</v>
      </c>
      <c r="K204" s="5">
        <f>IF(I204&gt;0,1,0)</f>
        <v>0</v>
      </c>
      <c r="L204" s="5">
        <f>IF(J204&lt;PuntoReorden,1,0)</f>
        <v>1</v>
      </c>
      <c r="M204" s="9">
        <f>PrecioVenta*H204</f>
        <v>4760000</v>
      </c>
      <c r="N204" s="9">
        <f>CostoUnitario*E204</f>
        <v>0</v>
      </c>
      <c r="O204" s="9">
        <f>IF(E204&gt;0,CostoPedido,0)</f>
        <v>0</v>
      </c>
      <c r="P204" s="9">
        <f>CostoAlm*(F204+J204)/2</f>
        <v>440</v>
      </c>
      <c r="Q204" s="9">
        <f>CostoFijo*D204</f>
        <v>0</v>
      </c>
      <c r="R204" s="9">
        <f>M204-N204-O204-P204-Q204</f>
        <v>4759560</v>
      </c>
      <c r="S204" s="21">
        <f>PuntoReorden</f>
        <v>7</v>
      </c>
    </row>
    <row r="205">
      <c r="A205" s="5">
        <f>A204+1</f>
        <v>200</v>
      </c>
      <c r="B205" s="20">
        <f>B204+IF(WEEKDAY(B204,2)=6,2,1)</f>
        <v>46255</v>
      </c>
      <c r="C205" s="5">
        <f>MONTH(B205)</f>
        <v>8</v>
      </c>
      <c r="D205" s="5">
        <f>IF(C205&lt;&gt;C204,1,0)</f>
        <v>0</v>
      </c>
      <c r="E205" s="5">
        <f>IF(L204=1,CantPedido,0)</f>
        <v>15</v>
      </c>
      <c r="F205" s="5">
        <f>J204+E205</f>
        <v>17</v>
      </c>
      <c r="G205" s="5">
        <f>VLOOKUP(RAND(),TablaEmpirica,2,TRUE)</f>
        <v>5</v>
      </c>
      <c r="H205" s="5">
        <f>MIN(F205,G205)</f>
        <v>5</v>
      </c>
      <c r="I205" s="5">
        <f>G205-H205</f>
        <v>0</v>
      </c>
      <c r="J205" s="5">
        <f>F205-H205</f>
        <v>12</v>
      </c>
      <c r="K205" s="5">
        <f>IF(I205&gt;0,1,0)</f>
        <v>0</v>
      </c>
      <c r="L205" s="5">
        <f>IF(J205&lt;PuntoReorden,1,0)</f>
        <v>0</v>
      </c>
      <c r="M205" s="9">
        <f>PrecioVenta*H205</f>
        <v>3400000</v>
      </c>
      <c r="N205" s="9">
        <f>CostoUnitario*E205</f>
        <v>9000000</v>
      </c>
      <c r="O205" s="9">
        <f>IF(E205&gt;0,CostoPedido,0)</f>
        <v>40000</v>
      </c>
      <c r="P205" s="9">
        <f>CostoAlm*(F205+J205)/2</f>
        <v>1160</v>
      </c>
      <c r="Q205" s="9">
        <f>CostoFijo*D205</f>
        <v>0</v>
      </c>
      <c r="R205" s="9">
        <f>M205-N205-O205-P205-Q205</f>
        <v>-5641160</v>
      </c>
      <c r="S205" s="21">
        <f>PuntoReorden</f>
        <v>7</v>
      </c>
    </row>
    <row r="206">
      <c r="A206" s="5">
        <f>A205+1</f>
        <v>201</v>
      </c>
      <c r="B206" s="20">
        <f>B205+IF(WEEKDAY(B205,2)=6,2,1)</f>
        <v>46256</v>
      </c>
      <c r="C206" s="5">
        <f>MONTH(B206)</f>
        <v>8</v>
      </c>
      <c r="D206" s="5">
        <f>IF(C206&lt;&gt;C205,1,0)</f>
        <v>0</v>
      </c>
      <c r="E206" s="5">
        <f>IF(L205=1,CantPedido,0)</f>
        <v>0</v>
      </c>
      <c r="F206" s="5">
        <f>J205+E206</f>
        <v>12</v>
      </c>
      <c r="G206" s="5">
        <f>VLOOKUP(RAND(),TablaEmpirica,2,TRUE)</f>
        <v>3</v>
      </c>
      <c r="H206" s="5">
        <f>MIN(F206,G206)</f>
        <v>3</v>
      </c>
      <c r="I206" s="5">
        <f>G206-H206</f>
        <v>0</v>
      </c>
      <c r="J206" s="5">
        <f>F206-H206</f>
        <v>9</v>
      </c>
      <c r="K206" s="5">
        <f>IF(I206&gt;0,1,0)</f>
        <v>0</v>
      </c>
      <c r="L206" s="5">
        <f>IF(J206&lt;PuntoReorden,1,0)</f>
        <v>0</v>
      </c>
      <c r="M206" s="9">
        <f>PrecioVenta*H206</f>
        <v>2040000</v>
      </c>
      <c r="N206" s="9">
        <f>CostoUnitario*E206</f>
        <v>0</v>
      </c>
      <c r="O206" s="9">
        <f>IF(E206&gt;0,CostoPedido,0)</f>
        <v>0</v>
      </c>
      <c r="P206" s="9">
        <f>CostoAlm*(F206+J206)/2</f>
        <v>840</v>
      </c>
      <c r="Q206" s="9">
        <f>CostoFijo*D206</f>
        <v>0</v>
      </c>
      <c r="R206" s="9">
        <f>M206-N206-O206-P206-Q206</f>
        <v>2039160</v>
      </c>
      <c r="S206" s="21">
        <f>PuntoReorden</f>
        <v>7</v>
      </c>
    </row>
    <row r="207">
      <c r="A207" s="5">
        <f>A206+1</f>
        <v>202</v>
      </c>
      <c r="B207" s="20">
        <f>B206+IF(WEEKDAY(B206,2)=6,2,1)</f>
        <v>46258</v>
      </c>
      <c r="C207" s="5">
        <f>MONTH(B207)</f>
        <v>8</v>
      </c>
      <c r="D207" s="5">
        <f>IF(C207&lt;&gt;C206,1,0)</f>
        <v>0</v>
      </c>
      <c r="E207" s="5">
        <f>IF(L206=1,CantPedido,0)</f>
        <v>0</v>
      </c>
      <c r="F207" s="5">
        <f>J206+E207</f>
        <v>9</v>
      </c>
      <c r="G207" s="5">
        <f>VLOOKUP(RAND(),TablaEmpirica,2,TRUE)</f>
        <v>5</v>
      </c>
      <c r="H207" s="5">
        <f>MIN(F207,G207)</f>
        <v>5</v>
      </c>
      <c r="I207" s="5">
        <f>G207-H207</f>
        <v>0</v>
      </c>
      <c r="J207" s="5">
        <f>F207-H207</f>
        <v>4</v>
      </c>
      <c r="K207" s="5">
        <f>IF(I207&gt;0,1,0)</f>
        <v>0</v>
      </c>
      <c r="L207" s="5">
        <f>IF(J207&lt;PuntoReorden,1,0)</f>
        <v>1</v>
      </c>
      <c r="M207" s="9">
        <f>PrecioVenta*H207</f>
        <v>3400000</v>
      </c>
      <c r="N207" s="9">
        <f>CostoUnitario*E207</f>
        <v>0</v>
      </c>
      <c r="O207" s="9">
        <f>IF(E207&gt;0,CostoPedido,0)</f>
        <v>0</v>
      </c>
      <c r="P207" s="9">
        <f>CostoAlm*(F207+J207)/2</f>
        <v>520</v>
      </c>
      <c r="Q207" s="9">
        <f>CostoFijo*D207</f>
        <v>0</v>
      </c>
      <c r="R207" s="9">
        <f>M207-N207-O207-P207-Q207</f>
        <v>3399480</v>
      </c>
      <c r="S207" s="21">
        <f>PuntoReorden</f>
        <v>7</v>
      </c>
    </row>
    <row r="208">
      <c r="A208" s="5">
        <f>A207+1</f>
        <v>203</v>
      </c>
      <c r="B208" s="20">
        <f>B207+IF(WEEKDAY(B207,2)=6,2,1)</f>
        <v>46259</v>
      </c>
      <c r="C208" s="5">
        <f>MONTH(B208)</f>
        <v>8</v>
      </c>
      <c r="D208" s="5">
        <f>IF(C208&lt;&gt;C207,1,0)</f>
        <v>0</v>
      </c>
      <c r="E208" s="5">
        <f>IF(L207=1,CantPedido,0)</f>
        <v>15</v>
      </c>
      <c r="F208" s="5">
        <f>J207+E208</f>
        <v>19</v>
      </c>
      <c r="G208" s="5">
        <f>VLOOKUP(RAND(),TablaEmpirica,2,TRUE)</f>
        <v>5</v>
      </c>
      <c r="H208" s="5">
        <f>MIN(F208,G208)</f>
        <v>5</v>
      </c>
      <c r="I208" s="5">
        <f>G208-H208</f>
        <v>0</v>
      </c>
      <c r="J208" s="5">
        <f>F208-H208</f>
        <v>14</v>
      </c>
      <c r="K208" s="5">
        <f>IF(I208&gt;0,1,0)</f>
        <v>0</v>
      </c>
      <c r="L208" s="5">
        <f>IF(J208&lt;PuntoReorden,1,0)</f>
        <v>0</v>
      </c>
      <c r="M208" s="9">
        <f>PrecioVenta*H208</f>
        <v>3400000</v>
      </c>
      <c r="N208" s="9">
        <f>CostoUnitario*E208</f>
        <v>9000000</v>
      </c>
      <c r="O208" s="9">
        <f>IF(E208&gt;0,CostoPedido,0)</f>
        <v>40000</v>
      </c>
      <c r="P208" s="9">
        <f>CostoAlm*(F208+J208)/2</f>
        <v>1320</v>
      </c>
      <c r="Q208" s="9">
        <f>CostoFijo*D208</f>
        <v>0</v>
      </c>
      <c r="R208" s="9">
        <f>M208-N208-O208-P208-Q208</f>
        <v>-5641320</v>
      </c>
      <c r="S208" s="21">
        <f>PuntoReorden</f>
        <v>7</v>
      </c>
    </row>
    <row r="209">
      <c r="A209" s="5">
        <f>A208+1</f>
        <v>204</v>
      </c>
      <c r="B209" s="20">
        <f>B208+IF(WEEKDAY(B208,2)=6,2,1)</f>
        <v>46260</v>
      </c>
      <c r="C209" s="5">
        <f>MONTH(B209)</f>
        <v>8</v>
      </c>
      <c r="D209" s="5">
        <f>IF(C209&lt;&gt;C208,1,0)</f>
        <v>0</v>
      </c>
      <c r="E209" s="5">
        <f>IF(L208=1,CantPedido,0)</f>
        <v>0</v>
      </c>
      <c r="F209" s="5">
        <f>J208+E209</f>
        <v>14</v>
      </c>
      <c r="G209" s="5">
        <f>VLOOKUP(RAND(),TablaEmpirica,2,TRUE)</f>
        <v>7</v>
      </c>
      <c r="H209" s="5">
        <f>MIN(F209,G209)</f>
        <v>7</v>
      </c>
      <c r="I209" s="5">
        <f>G209-H209</f>
        <v>0</v>
      </c>
      <c r="J209" s="5">
        <f>F209-H209</f>
        <v>7</v>
      </c>
      <c r="K209" s="5">
        <f>IF(I209&gt;0,1,0)</f>
        <v>0</v>
      </c>
      <c r="L209" s="5">
        <f>IF(J209&lt;PuntoReorden,1,0)</f>
        <v>0</v>
      </c>
      <c r="M209" s="9">
        <f>PrecioVenta*H209</f>
        <v>4760000</v>
      </c>
      <c r="N209" s="9">
        <f>CostoUnitario*E209</f>
        <v>0</v>
      </c>
      <c r="O209" s="9">
        <f>IF(E209&gt;0,CostoPedido,0)</f>
        <v>0</v>
      </c>
      <c r="P209" s="9">
        <f>CostoAlm*(F209+J209)/2</f>
        <v>840</v>
      </c>
      <c r="Q209" s="9">
        <f>CostoFijo*D209</f>
        <v>0</v>
      </c>
      <c r="R209" s="9">
        <f>M209-N209-O209-P209-Q209</f>
        <v>4759160</v>
      </c>
      <c r="S209" s="21">
        <f>PuntoReorden</f>
        <v>7</v>
      </c>
    </row>
    <row r="210">
      <c r="A210" s="5">
        <f>A209+1</f>
        <v>205</v>
      </c>
      <c r="B210" s="20">
        <f>B209+IF(WEEKDAY(B209,2)=6,2,1)</f>
        <v>46261</v>
      </c>
      <c r="C210" s="5">
        <f>MONTH(B210)</f>
        <v>8</v>
      </c>
      <c r="D210" s="5">
        <f>IF(C210&lt;&gt;C209,1,0)</f>
        <v>0</v>
      </c>
      <c r="E210" s="5">
        <f>IF(L209=1,CantPedido,0)</f>
        <v>0</v>
      </c>
      <c r="F210" s="5">
        <f>J209+E210</f>
        <v>7</v>
      </c>
      <c r="G210" s="5">
        <f>VLOOKUP(RAND(),TablaEmpirica,2,TRUE)</f>
        <v>7</v>
      </c>
      <c r="H210" s="5">
        <f>MIN(F210,G210)</f>
        <v>7</v>
      </c>
      <c r="I210" s="5">
        <f>G210-H210</f>
        <v>0</v>
      </c>
      <c r="J210" s="5">
        <f>F210-H210</f>
        <v>0</v>
      </c>
      <c r="K210" s="5">
        <f>IF(I210&gt;0,1,0)</f>
        <v>0</v>
      </c>
      <c r="L210" s="5">
        <f>IF(J210&lt;PuntoReorden,1,0)</f>
        <v>1</v>
      </c>
      <c r="M210" s="9">
        <f>PrecioVenta*H210</f>
        <v>4760000</v>
      </c>
      <c r="N210" s="9">
        <f>CostoUnitario*E210</f>
        <v>0</v>
      </c>
      <c r="O210" s="9">
        <f>IF(E210&gt;0,CostoPedido,0)</f>
        <v>0</v>
      </c>
      <c r="P210" s="9">
        <f>CostoAlm*(F210+J210)/2</f>
        <v>280</v>
      </c>
      <c r="Q210" s="9">
        <f>CostoFijo*D210</f>
        <v>0</v>
      </c>
      <c r="R210" s="9">
        <f>M210-N210-O210-P210-Q210</f>
        <v>4759720</v>
      </c>
      <c r="S210" s="21">
        <f>PuntoReorden</f>
        <v>7</v>
      </c>
    </row>
    <row r="211">
      <c r="A211" s="5">
        <f>A210+1</f>
        <v>206</v>
      </c>
      <c r="B211" s="20">
        <f>B210+IF(WEEKDAY(B210,2)=6,2,1)</f>
        <v>46262</v>
      </c>
      <c r="C211" s="5">
        <f>MONTH(B211)</f>
        <v>8</v>
      </c>
      <c r="D211" s="5">
        <f>IF(C211&lt;&gt;C210,1,0)</f>
        <v>0</v>
      </c>
      <c r="E211" s="5">
        <f>IF(L210=1,CantPedido,0)</f>
        <v>15</v>
      </c>
      <c r="F211" s="5">
        <f>J210+E211</f>
        <v>15</v>
      </c>
      <c r="G211" s="5">
        <f>VLOOKUP(RAND(),TablaEmpirica,2,TRUE)</f>
        <v>5</v>
      </c>
      <c r="H211" s="5">
        <f>MIN(F211,G211)</f>
        <v>5</v>
      </c>
      <c r="I211" s="5">
        <f>G211-H211</f>
        <v>0</v>
      </c>
      <c r="J211" s="5">
        <f>F211-H211</f>
        <v>10</v>
      </c>
      <c r="K211" s="5">
        <f>IF(I211&gt;0,1,0)</f>
        <v>0</v>
      </c>
      <c r="L211" s="5">
        <f>IF(J211&lt;PuntoReorden,1,0)</f>
        <v>0</v>
      </c>
      <c r="M211" s="9">
        <f>PrecioVenta*H211</f>
        <v>3400000</v>
      </c>
      <c r="N211" s="9">
        <f>CostoUnitario*E211</f>
        <v>9000000</v>
      </c>
      <c r="O211" s="9">
        <f>IF(E211&gt;0,CostoPedido,0)</f>
        <v>40000</v>
      </c>
      <c r="P211" s="9">
        <f>CostoAlm*(F211+J211)/2</f>
        <v>1000</v>
      </c>
      <c r="Q211" s="9">
        <f>CostoFijo*D211</f>
        <v>0</v>
      </c>
      <c r="R211" s="9">
        <f>M211-N211-O211-P211-Q211</f>
        <v>-5641000</v>
      </c>
      <c r="S211" s="21">
        <f>PuntoReorden</f>
        <v>7</v>
      </c>
    </row>
    <row r="212">
      <c r="A212" s="5">
        <f>A211+1</f>
        <v>207</v>
      </c>
      <c r="B212" s="20">
        <f>B211+IF(WEEKDAY(B211,2)=6,2,1)</f>
        <v>46263</v>
      </c>
      <c r="C212" s="5">
        <f>MONTH(B212)</f>
        <v>8</v>
      </c>
      <c r="D212" s="5">
        <f>IF(C212&lt;&gt;C211,1,0)</f>
        <v>0</v>
      </c>
      <c r="E212" s="5">
        <f>IF(L211=1,CantPedido,0)</f>
        <v>0</v>
      </c>
      <c r="F212" s="5">
        <f>J211+E212</f>
        <v>10</v>
      </c>
      <c r="G212" s="5">
        <f>VLOOKUP(RAND(),TablaEmpirica,2,TRUE)</f>
        <v>4</v>
      </c>
      <c r="H212" s="5">
        <f>MIN(F212,G212)</f>
        <v>4</v>
      </c>
      <c r="I212" s="5">
        <f>G212-H212</f>
        <v>0</v>
      </c>
      <c r="J212" s="5">
        <f>F212-H212</f>
        <v>6</v>
      </c>
      <c r="K212" s="5">
        <f>IF(I212&gt;0,1,0)</f>
        <v>0</v>
      </c>
      <c r="L212" s="5">
        <f>IF(J212&lt;PuntoReorden,1,0)</f>
        <v>1</v>
      </c>
      <c r="M212" s="9">
        <f>PrecioVenta*H212</f>
        <v>2720000</v>
      </c>
      <c r="N212" s="9">
        <f>CostoUnitario*E212</f>
        <v>0</v>
      </c>
      <c r="O212" s="9">
        <f>IF(E212&gt;0,CostoPedido,0)</f>
        <v>0</v>
      </c>
      <c r="P212" s="9">
        <f>CostoAlm*(F212+J212)/2</f>
        <v>640</v>
      </c>
      <c r="Q212" s="9">
        <f>CostoFijo*D212</f>
        <v>0</v>
      </c>
      <c r="R212" s="9">
        <f>M212-N212-O212-P212-Q212</f>
        <v>2719360</v>
      </c>
      <c r="S212" s="21">
        <f>PuntoReorden</f>
        <v>7</v>
      </c>
    </row>
    <row r="213">
      <c r="A213" s="5">
        <f>A212+1</f>
        <v>208</v>
      </c>
      <c r="B213" s="20">
        <f>B212+IF(WEEKDAY(B212,2)=6,2,1)</f>
        <v>46265</v>
      </c>
      <c r="C213" s="5">
        <f>MONTH(B213)</f>
        <v>8</v>
      </c>
      <c r="D213" s="5">
        <f>IF(C213&lt;&gt;C212,1,0)</f>
        <v>0</v>
      </c>
      <c r="E213" s="5">
        <f>IF(L212=1,CantPedido,0)</f>
        <v>15</v>
      </c>
      <c r="F213" s="5">
        <f>J212+E213</f>
        <v>21</v>
      </c>
      <c r="G213" s="5">
        <f>VLOOKUP(RAND(),TablaEmpirica,2,TRUE)</f>
        <v>3</v>
      </c>
      <c r="H213" s="5">
        <f>MIN(F213,G213)</f>
        <v>3</v>
      </c>
      <c r="I213" s="5">
        <f>G213-H213</f>
        <v>0</v>
      </c>
      <c r="J213" s="5">
        <f>F213-H213</f>
        <v>18</v>
      </c>
      <c r="K213" s="5">
        <f>IF(I213&gt;0,1,0)</f>
        <v>0</v>
      </c>
      <c r="L213" s="5">
        <f>IF(J213&lt;PuntoReorden,1,0)</f>
        <v>0</v>
      </c>
      <c r="M213" s="9">
        <f>PrecioVenta*H213</f>
        <v>2040000</v>
      </c>
      <c r="N213" s="9">
        <f>CostoUnitario*E213</f>
        <v>9000000</v>
      </c>
      <c r="O213" s="9">
        <f>IF(E213&gt;0,CostoPedido,0)</f>
        <v>40000</v>
      </c>
      <c r="P213" s="9">
        <f>CostoAlm*(F213+J213)/2</f>
        <v>1560</v>
      </c>
      <c r="Q213" s="9">
        <f>CostoFijo*D213</f>
        <v>0</v>
      </c>
      <c r="R213" s="9">
        <f>M213-N213-O213-P213-Q213</f>
        <v>-7001560</v>
      </c>
      <c r="S213" s="21">
        <f>PuntoReorden</f>
        <v>7</v>
      </c>
    </row>
    <row r="214">
      <c r="A214" s="5">
        <f>A213+1</f>
        <v>209</v>
      </c>
      <c r="B214" s="20">
        <f>B213+IF(WEEKDAY(B213,2)=6,2,1)</f>
        <v>46266</v>
      </c>
      <c r="C214" s="5">
        <f>MONTH(B214)</f>
        <v>9</v>
      </c>
      <c r="D214" s="5">
        <f>IF(C214&lt;&gt;C213,1,0)</f>
        <v>1</v>
      </c>
      <c r="E214" s="5">
        <f>IF(L213=1,CantPedido,0)</f>
        <v>0</v>
      </c>
      <c r="F214" s="5">
        <f>J213+E214</f>
        <v>18</v>
      </c>
      <c r="G214" s="5">
        <f>VLOOKUP(RAND(),TablaEmpirica,2,TRUE)</f>
        <v>5</v>
      </c>
      <c r="H214" s="5">
        <f>MIN(F214,G214)</f>
        <v>5</v>
      </c>
      <c r="I214" s="5">
        <f>G214-H214</f>
        <v>0</v>
      </c>
      <c r="J214" s="5">
        <f>F214-H214</f>
        <v>13</v>
      </c>
      <c r="K214" s="5">
        <f>IF(I214&gt;0,1,0)</f>
        <v>0</v>
      </c>
      <c r="L214" s="5">
        <f>IF(J214&lt;PuntoReorden,1,0)</f>
        <v>0</v>
      </c>
      <c r="M214" s="9">
        <f>PrecioVenta*H214</f>
        <v>3400000</v>
      </c>
      <c r="N214" s="9">
        <f>CostoUnitario*E214</f>
        <v>0</v>
      </c>
      <c r="O214" s="9">
        <f>IF(E214&gt;0,CostoPedido,0)</f>
        <v>0</v>
      </c>
      <c r="P214" s="9">
        <f>CostoAlm*(F214+J214)/2</f>
        <v>1240</v>
      </c>
      <c r="Q214" s="9">
        <f>CostoFijo*D214</f>
        <v>1000000</v>
      </c>
      <c r="R214" s="9">
        <f>M214-N214-O214-P214-Q214</f>
        <v>2398760</v>
      </c>
      <c r="S214" s="21">
        <f>PuntoReorden</f>
        <v>7</v>
      </c>
    </row>
    <row r="215">
      <c r="A215" s="5">
        <f>A214+1</f>
        <v>210</v>
      </c>
      <c r="B215" s="20">
        <f>B214+IF(WEEKDAY(B214,2)=6,2,1)</f>
        <v>46267</v>
      </c>
      <c r="C215" s="5">
        <f>MONTH(B215)</f>
        <v>9</v>
      </c>
      <c r="D215" s="5">
        <f>IF(C215&lt;&gt;C214,1,0)</f>
        <v>0</v>
      </c>
      <c r="E215" s="5">
        <f>IF(L214=1,CantPedido,0)</f>
        <v>0</v>
      </c>
      <c r="F215" s="5">
        <f>J214+E215</f>
        <v>13</v>
      </c>
      <c r="G215" s="5">
        <f>VLOOKUP(RAND(),TablaEmpirica,2,TRUE)</f>
        <v>3</v>
      </c>
      <c r="H215" s="5">
        <f>MIN(F215,G215)</f>
        <v>3</v>
      </c>
      <c r="I215" s="5">
        <f>G215-H215</f>
        <v>0</v>
      </c>
      <c r="J215" s="5">
        <f>F215-H215</f>
        <v>10</v>
      </c>
      <c r="K215" s="5">
        <f>IF(I215&gt;0,1,0)</f>
        <v>0</v>
      </c>
      <c r="L215" s="5">
        <f>IF(J215&lt;PuntoReorden,1,0)</f>
        <v>0</v>
      </c>
      <c r="M215" s="9">
        <f>PrecioVenta*H215</f>
        <v>2040000</v>
      </c>
      <c r="N215" s="9">
        <f>CostoUnitario*E215</f>
        <v>0</v>
      </c>
      <c r="O215" s="9">
        <f>IF(E215&gt;0,CostoPedido,0)</f>
        <v>0</v>
      </c>
      <c r="P215" s="9">
        <f>CostoAlm*(F215+J215)/2</f>
        <v>920</v>
      </c>
      <c r="Q215" s="9">
        <f>CostoFijo*D215</f>
        <v>0</v>
      </c>
      <c r="R215" s="9">
        <f>M215-N215-O215-P215-Q215</f>
        <v>2039080</v>
      </c>
      <c r="S215" s="21">
        <f>PuntoReorden</f>
        <v>7</v>
      </c>
    </row>
    <row r="216">
      <c r="A216" s="5">
        <f>A215+1</f>
        <v>211</v>
      </c>
      <c r="B216" s="20">
        <f>B215+IF(WEEKDAY(B215,2)=6,2,1)</f>
        <v>46268</v>
      </c>
      <c r="C216" s="5">
        <f>MONTH(B216)</f>
        <v>9</v>
      </c>
      <c r="D216" s="5">
        <f>IF(C216&lt;&gt;C215,1,0)</f>
        <v>0</v>
      </c>
      <c r="E216" s="5">
        <f>IF(L215=1,CantPedido,0)</f>
        <v>0</v>
      </c>
      <c r="F216" s="5">
        <f>J215+E216</f>
        <v>10</v>
      </c>
      <c r="G216" s="5">
        <f>VLOOKUP(RAND(),TablaEmpirica,2,TRUE)</f>
        <v>7</v>
      </c>
      <c r="H216" s="5">
        <f>MIN(F216,G216)</f>
        <v>7</v>
      </c>
      <c r="I216" s="5">
        <f>G216-H216</f>
        <v>0</v>
      </c>
      <c r="J216" s="5">
        <f>F216-H216</f>
        <v>3</v>
      </c>
      <c r="K216" s="5">
        <f>IF(I216&gt;0,1,0)</f>
        <v>0</v>
      </c>
      <c r="L216" s="5">
        <f>IF(J216&lt;PuntoReorden,1,0)</f>
        <v>1</v>
      </c>
      <c r="M216" s="9">
        <f>PrecioVenta*H216</f>
        <v>4760000</v>
      </c>
      <c r="N216" s="9">
        <f>CostoUnitario*E216</f>
        <v>0</v>
      </c>
      <c r="O216" s="9">
        <f>IF(E216&gt;0,CostoPedido,0)</f>
        <v>0</v>
      </c>
      <c r="P216" s="9">
        <f>CostoAlm*(F216+J216)/2</f>
        <v>520</v>
      </c>
      <c r="Q216" s="9">
        <f>CostoFijo*D216</f>
        <v>0</v>
      </c>
      <c r="R216" s="9">
        <f>M216-N216-O216-P216-Q216</f>
        <v>4759480</v>
      </c>
      <c r="S216" s="21">
        <f>PuntoReorden</f>
        <v>7</v>
      </c>
    </row>
    <row r="217">
      <c r="A217" s="5">
        <f>A216+1</f>
        <v>212</v>
      </c>
      <c r="B217" s="20">
        <f>B216+IF(WEEKDAY(B216,2)=6,2,1)</f>
        <v>46269</v>
      </c>
      <c r="C217" s="5">
        <f>MONTH(B217)</f>
        <v>9</v>
      </c>
      <c r="D217" s="5">
        <f>IF(C217&lt;&gt;C216,1,0)</f>
        <v>0</v>
      </c>
      <c r="E217" s="5">
        <f>IF(L216=1,CantPedido,0)</f>
        <v>15</v>
      </c>
      <c r="F217" s="5">
        <f>J216+E217</f>
        <v>18</v>
      </c>
      <c r="G217" s="5">
        <f>VLOOKUP(RAND(),TablaEmpirica,2,TRUE)</f>
        <v>5</v>
      </c>
      <c r="H217" s="5">
        <f>MIN(F217,G217)</f>
        <v>5</v>
      </c>
      <c r="I217" s="5">
        <f>G217-H217</f>
        <v>0</v>
      </c>
      <c r="J217" s="5">
        <f>F217-H217</f>
        <v>13</v>
      </c>
      <c r="K217" s="5">
        <f>IF(I217&gt;0,1,0)</f>
        <v>0</v>
      </c>
      <c r="L217" s="5">
        <f>IF(J217&lt;PuntoReorden,1,0)</f>
        <v>0</v>
      </c>
      <c r="M217" s="9">
        <f>PrecioVenta*H217</f>
        <v>3400000</v>
      </c>
      <c r="N217" s="9">
        <f>CostoUnitario*E217</f>
        <v>9000000</v>
      </c>
      <c r="O217" s="9">
        <f>IF(E217&gt;0,CostoPedido,0)</f>
        <v>40000</v>
      </c>
      <c r="P217" s="9">
        <f>CostoAlm*(F217+J217)/2</f>
        <v>1240</v>
      </c>
      <c r="Q217" s="9">
        <f>CostoFijo*D217</f>
        <v>0</v>
      </c>
      <c r="R217" s="9">
        <f>M217-N217-O217-P217-Q217</f>
        <v>-5641240</v>
      </c>
      <c r="S217" s="21">
        <f>PuntoReorden</f>
        <v>7</v>
      </c>
    </row>
    <row r="218">
      <c r="A218" s="5">
        <f>A217+1</f>
        <v>213</v>
      </c>
      <c r="B218" s="20">
        <f>B217+IF(WEEKDAY(B217,2)=6,2,1)</f>
        <v>46270</v>
      </c>
      <c r="C218" s="5">
        <f>MONTH(B218)</f>
        <v>9</v>
      </c>
      <c r="D218" s="5">
        <f>IF(C218&lt;&gt;C217,1,0)</f>
        <v>0</v>
      </c>
      <c r="E218" s="5">
        <f>IF(L217=1,CantPedido,0)</f>
        <v>0</v>
      </c>
      <c r="F218" s="5">
        <f>J217+E218</f>
        <v>13</v>
      </c>
      <c r="G218" s="5">
        <f>VLOOKUP(RAND(),TablaEmpirica,2,TRUE)</f>
        <v>3</v>
      </c>
      <c r="H218" s="5">
        <f>MIN(F218,G218)</f>
        <v>3</v>
      </c>
      <c r="I218" s="5">
        <f>G218-H218</f>
        <v>0</v>
      </c>
      <c r="J218" s="5">
        <f>F218-H218</f>
        <v>10</v>
      </c>
      <c r="K218" s="5">
        <f>IF(I218&gt;0,1,0)</f>
        <v>0</v>
      </c>
      <c r="L218" s="5">
        <f>IF(J218&lt;PuntoReorden,1,0)</f>
        <v>0</v>
      </c>
      <c r="M218" s="9">
        <f>PrecioVenta*H218</f>
        <v>2040000</v>
      </c>
      <c r="N218" s="9">
        <f>CostoUnitario*E218</f>
        <v>0</v>
      </c>
      <c r="O218" s="9">
        <f>IF(E218&gt;0,CostoPedido,0)</f>
        <v>0</v>
      </c>
      <c r="P218" s="9">
        <f>CostoAlm*(F218+J218)/2</f>
        <v>920</v>
      </c>
      <c r="Q218" s="9">
        <f>CostoFijo*D218</f>
        <v>0</v>
      </c>
      <c r="R218" s="9">
        <f>M218-N218-O218-P218-Q218</f>
        <v>2039080</v>
      </c>
      <c r="S218" s="21">
        <f>PuntoReorden</f>
        <v>7</v>
      </c>
    </row>
    <row r="219">
      <c r="A219" s="5">
        <f>A218+1</f>
        <v>214</v>
      </c>
      <c r="B219" s="20">
        <f>B218+IF(WEEKDAY(B218,2)=6,2,1)</f>
        <v>46272</v>
      </c>
      <c r="C219" s="5">
        <f>MONTH(B219)</f>
        <v>9</v>
      </c>
      <c r="D219" s="5">
        <f>IF(C219&lt;&gt;C218,1,0)</f>
        <v>0</v>
      </c>
      <c r="E219" s="5">
        <f>IF(L218=1,CantPedido,0)</f>
        <v>0</v>
      </c>
      <c r="F219" s="5">
        <f>J218+E219</f>
        <v>10</v>
      </c>
      <c r="G219" s="5">
        <f>VLOOKUP(RAND(),TablaEmpirica,2,TRUE)</f>
        <v>7</v>
      </c>
      <c r="H219" s="5">
        <f>MIN(F219,G219)</f>
        <v>7</v>
      </c>
      <c r="I219" s="5">
        <f>G219-H219</f>
        <v>0</v>
      </c>
      <c r="J219" s="5">
        <f>F219-H219</f>
        <v>3</v>
      </c>
      <c r="K219" s="5">
        <f>IF(I219&gt;0,1,0)</f>
        <v>0</v>
      </c>
      <c r="L219" s="5">
        <f>IF(J219&lt;PuntoReorden,1,0)</f>
        <v>1</v>
      </c>
      <c r="M219" s="9">
        <f>PrecioVenta*H219</f>
        <v>4760000</v>
      </c>
      <c r="N219" s="9">
        <f>CostoUnitario*E219</f>
        <v>0</v>
      </c>
      <c r="O219" s="9">
        <f>IF(E219&gt;0,CostoPedido,0)</f>
        <v>0</v>
      </c>
      <c r="P219" s="9">
        <f>CostoAlm*(F219+J219)/2</f>
        <v>520</v>
      </c>
      <c r="Q219" s="9">
        <f>CostoFijo*D219</f>
        <v>0</v>
      </c>
      <c r="R219" s="9">
        <f>M219-N219-O219-P219-Q219</f>
        <v>4759480</v>
      </c>
      <c r="S219" s="21">
        <f>PuntoReorden</f>
        <v>7</v>
      </c>
    </row>
    <row r="220">
      <c r="A220" s="5">
        <f>A219+1</f>
        <v>215</v>
      </c>
      <c r="B220" s="20">
        <f>B219+IF(WEEKDAY(B219,2)=6,2,1)</f>
        <v>46273</v>
      </c>
      <c r="C220" s="5">
        <f>MONTH(B220)</f>
        <v>9</v>
      </c>
      <c r="D220" s="5">
        <f>IF(C220&lt;&gt;C219,1,0)</f>
        <v>0</v>
      </c>
      <c r="E220" s="5">
        <f>IF(L219=1,CantPedido,0)</f>
        <v>15</v>
      </c>
      <c r="F220" s="5">
        <f>J219+E220</f>
        <v>18</v>
      </c>
      <c r="G220" s="5">
        <f>VLOOKUP(RAND(),TablaEmpirica,2,TRUE)</f>
        <v>5</v>
      </c>
      <c r="H220" s="5">
        <f>MIN(F220,G220)</f>
        <v>5</v>
      </c>
      <c r="I220" s="5">
        <f>G220-H220</f>
        <v>0</v>
      </c>
      <c r="J220" s="5">
        <f>F220-H220</f>
        <v>13</v>
      </c>
      <c r="K220" s="5">
        <f>IF(I220&gt;0,1,0)</f>
        <v>0</v>
      </c>
      <c r="L220" s="5">
        <f>IF(J220&lt;PuntoReorden,1,0)</f>
        <v>0</v>
      </c>
      <c r="M220" s="9">
        <f>PrecioVenta*H220</f>
        <v>3400000</v>
      </c>
      <c r="N220" s="9">
        <f>CostoUnitario*E220</f>
        <v>9000000</v>
      </c>
      <c r="O220" s="9">
        <f>IF(E220&gt;0,CostoPedido,0)</f>
        <v>40000</v>
      </c>
      <c r="P220" s="9">
        <f>CostoAlm*(F220+J220)/2</f>
        <v>1240</v>
      </c>
      <c r="Q220" s="9">
        <f>CostoFijo*D220</f>
        <v>0</v>
      </c>
      <c r="R220" s="9">
        <f>M220-N220-O220-P220-Q220</f>
        <v>-5641240</v>
      </c>
      <c r="S220" s="21">
        <f>PuntoReorden</f>
        <v>7</v>
      </c>
    </row>
    <row r="221">
      <c r="A221" s="5">
        <f>A220+1</f>
        <v>216</v>
      </c>
      <c r="B221" s="20">
        <f>B220+IF(WEEKDAY(B220,2)=6,2,1)</f>
        <v>46274</v>
      </c>
      <c r="C221" s="5">
        <f>MONTH(B221)</f>
        <v>9</v>
      </c>
      <c r="D221" s="5">
        <f>IF(C221&lt;&gt;C220,1,0)</f>
        <v>0</v>
      </c>
      <c r="E221" s="5">
        <f>IF(L220=1,CantPedido,0)</f>
        <v>0</v>
      </c>
      <c r="F221" s="5">
        <f>J220+E221</f>
        <v>13</v>
      </c>
      <c r="G221" s="5">
        <f>VLOOKUP(RAND(),TablaEmpirica,2,TRUE)</f>
        <v>3</v>
      </c>
      <c r="H221" s="5">
        <f>MIN(F221,G221)</f>
        <v>3</v>
      </c>
      <c r="I221" s="5">
        <f>G221-H221</f>
        <v>0</v>
      </c>
      <c r="J221" s="5">
        <f>F221-H221</f>
        <v>10</v>
      </c>
      <c r="K221" s="5">
        <f>IF(I221&gt;0,1,0)</f>
        <v>0</v>
      </c>
      <c r="L221" s="5">
        <f>IF(J221&lt;PuntoReorden,1,0)</f>
        <v>0</v>
      </c>
      <c r="M221" s="9">
        <f>PrecioVenta*H221</f>
        <v>2040000</v>
      </c>
      <c r="N221" s="9">
        <f>CostoUnitario*E221</f>
        <v>0</v>
      </c>
      <c r="O221" s="9">
        <f>IF(E221&gt;0,CostoPedido,0)</f>
        <v>0</v>
      </c>
      <c r="P221" s="9">
        <f>CostoAlm*(F221+J221)/2</f>
        <v>920</v>
      </c>
      <c r="Q221" s="9">
        <f>CostoFijo*D221</f>
        <v>0</v>
      </c>
      <c r="R221" s="9">
        <f>M221-N221-O221-P221-Q221</f>
        <v>2039080</v>
      </c>
      <c r="S221" s="21">
        <f>PuntoReorden</f>
        <v>7</v>
      </c>
    </row>
    <row r="222">
      <c r="A222" s="5">
        <f>A221+1</f>
        <v>217</v>
      </c>
      <c r="B222" s="20">
        <f>B221+IF(WEEKDAY(B221,2)=6,2,1)</f>
        <v>46275</v>
      </c>
      <c r="C222" s="5">
        <f>MONTH(B222)</f>
        <v>9</v>
      </c>
      <c r="D222" s="5">
        <f>IF(C222&lt;&gt;C221,1,0)</f>
        <v>0</v>
      </c>
      <c r="E222" s="5">
        <f>IF(L221=1,CantPedido,0)</f>
        <v>0</v>
      </c>
      <c r="F222" s="5">
        <f>J221+E222</f>
        <v>10</v>
      </c>
      <c r="G222" s="5">
        <f>VLOOKUP(RAND(),TablaEmpirica,2,TRUE)</f>
        <v>6</v>
      </c>
      <c r="H222" s="5">
        <f>MIN(F222,G222)</f>
        <v>6</v>
      </c>
      <c r="I222" s="5">
        <f>G222-H222</f>
        <v>0</v>
      </c>
      <c r="J222" s="5">
        <f>F222-H222</f>
        <v>4</v>
      </c>
      <c r="K222" s="5">
        <f>IF(I222&gt;0,1,0)</f>
        <v>0</v>
      </c>
      <c r="L222" s="5">
        <f>IF(J222&lt;PuntoReorden,1,0)</f>
        <v>1</v>
      </c>
      <c r="M222" s="9">
        <f>PrecioVenta*H222</f>
        <v>4080000</v>
      </c>
      <c r="N222" s="9">
        <f>CostoUnitario*E222</f>
        <v>0</v>
      </c>
      <c r="O222" s="9">
        <f>IF(E222&gt;0,CostoPedido,0)</f>
        <v>0</v>
      </c>
      <c r="P222" s="9">
        <f>CostoAlm*(F222+J222)/2</f>
        <v>560</v>
      </c>
      <c r="Q222" s="9">
        <f>CostoFijo*D222</f>
        <v>0</v>
      </c>
      <c r="R222" s="9">
        <f>M222-N222-O222-P222-Q222</f>
        <v>4079440</v>
      </c>
      <c r="S222" s="21">
        <f>PuntoReorden</f>
        <v>7</v>
      </c>
    </row>
    <row r="223">
      <c r="A223" s="5">
        <f>A222+1</f>
        <v>218</v>
      </c>
      <c r="B223" s="20">
        <f>B222+IF(WEEKDAY(B222,2)=6,2,1)</f>
        <v>46276</v>
      </c>
      <c r="C223" s="5">
        <f>MONTH(B223)</f>
        <v>9</v>
      </c>
      <c r="D223" s="5">
        <f>IF(C223&lt;&gt;C222,1,0)</f>
        <v>0</v>
      </c>
      <c r="E223" s="5">
        <f>IF(L222=1,CantPedido,0)</f>
        <v>15</v>
      </c>
      <c r="F223" s="5">
        <f>J222+E223</f>
        <v>19</v>
      </c>
      <c r="G223" s="5">
        <f>VLOOKUP(RAND(),TablaEmpirica,2,TRUE)</f>
        <v>5</v>
      </c>
      <c r="H223" s="5">
        <f>MIN(F223,G223)</f>
        <v>5</v>
      </c>
      <c r="I223" s="5">
        <f>G223-H223</f>
        <v>0</v>
      </c>
      <c r="J223" s="5">
        <f>F223-H223</f>
        <v>14</v>
      </c>
      <c r="K223" s="5">
        <f>IF(I223&gt;0,1,0)</f>
        <v>0</v>
      </c>
      <c r="L223" s="5">
        <f>IF(J223&lt;PuntoReorden,1,0)</f>
        <v>0</v>
      </c>
      <c r="M223" s="9">
        <f>PrecioVenta*H223</f>
        <v>3400000</v>
      </c>
      <c r="N223" s="9">
        <f>CostoUnitario*E223</f>
        <v>9000000</v>
      </c>
      <c r="O223" s="9">
        <f>IF(E223&gt;0,CostoPedido,0)</f>
        <v>40000</v>
      </c>
      <c r="P223" s="9">
        <f>CostoAlm*(F223+J223)/2</f>
        <v>1320</v>
      </c>
      <c r="Q223" s="9">
        <f>CostoFijo*D223</f>
        <v>0</v>
      </c>
      <c r="R223" s="9">
        <f>M223-N223-O223-P223-Q223</f>
        <v>-5641320</v>
      </c>
      <c r="S223" s="21">
        <f>PuntoReorden</f>
        <v>7</v>
      </c>
    </row>
    <row r="224">
      <c r="A224" s="5">
        <f>A223+1</f>
        <v>219</v>
      </c>
      <c r="B224" s="20">
        <f>B223+IF(WEEKDAY(B223,2)=6,2,1)</f>
        <v>46277</v>
      </c>
      <c r="C224" s="5">
        <f>MONTH(B224)</f>
        <v>9</v>
      </c>
      <c r="D224" s="5">
        <f>IF(C224&lt;&gt;C223,1,0)</f>
        <v>0</v>
      </c>
      <c r="E224" s="5">
        <f>IF(L223=1,CantPedido,0)</f>
        <v>0</v>
      </c>
      <c r="F224" s="5">
        <f>J223+E224</f>
        <v>14</v>
      </c>
      <c r="G224" s="5">
        <f>VLOOKUP(RAND(),TablaEmpirica,2,TRUE)</f>
        <v>5</v>
      </c>
      <c r="H224" s="5">
        <f>MIN(F224,G224)</f>
        <v>5</v>
      </c>
      <c r="I224" s="5">
        <f>G224-H224</f>
        <v>0</v>
      </c>
      <c r="J224" s="5">
        <f>F224-H224</f>
        <v>9</v>
      </c>
      <c r="K224" s="5">
        <f>IF(I224&gt;0,1,0)</f>
        <v>0</v>
      </c>
      <c r="L224" s="5">
        <f>IF(J224&lt;PuntoReorden,1,0)</f>
        <v>0</v>
      </c>
      <c r="M224" s="9">
        <f>PrecioVenta*H224</f>
        <v>3400000</v>
      </c>
      <c r="N224" s="9">
        <f>CostoUnitario*E224</f>
        <v>0</v>
      </c>
      <c r="O224" s="9">
        <f>IF(E224&gt;0,CostoPedido,0)</f>
        <v>0</v>
      </c>
      <c r="P224" s="9">
        <f>CostoAlm*(F224+J224)/2</f>
        <v>920</v>
      </c>
      <c r="Q224" s="9">
        <f>CostoFijo*D224</f>
        <v>0</v>
      </c>
      <c r="R224" s="9">
        <f>M224-N224-O224-P224-Q224</f>
        <v>3399080</v>
      </c>
      <c r="S224" s="21">
        <f>PuntoReorden</f>
        <v>7</v>
      </c>
    </row>
    <row r="225">
      <c r="A225" s="5">
        <f>A224+1</f>
        <v>220</v>
      </c>
      <c r="B225" s="20">
        <f>B224+IF(WEEKDAY(B224,2)=6,2,1)</f>
        <v>46279</v>
      </c>
      <c r="C225" s="5">
        <f>MONTH(B225)</f>
        <v>9</v>
      </c>
      <c r="D225" s="5">
        <f>IF(C225&lt;&gt;C224,1,0)</f>
        <v>0</v>
      </c>
      <c r="E225" s="5">
        <f>IF(L224=1,CantPedido,0)</f>
        <v>0</v>
      </c>
      <c r="F225" s="5">
        <f>J224+E225</f>
        <v>9</v>
      </c>
      <c r="G225" s="5">
        <f>VLOOKUP(RAND(),TablaEmpirica,2,TRUE)</f>
        <v>7</v>
      </c>
      <c r="H225" s="5">
        <f>MIN(F225,G225)</f>
        <v>7</v>
      </c>
      <c r="I225" s="5">
        <f>G225-H225</f>
        <v>0</v>
      </c>
      <c r="J225" s="5">
        <f>F225-H225</f>
        <v>2</v>
      </c>
      <c r="K225" s="5">
        <f>IF(I225&gt;0,1,0)</f>
        <v>0</v>
      </c>
      <c r="L225" s="5">
        <f>IF(J225&lt;PuntoReorden,1,0)</f>
        <v>1</v>
      </c>
      <c r="M225" s="9">
        <f>PrecioVenta*H225</f>
        <v>4760000</v>
      </c>
      <c r="N225" s="9">
        <f>CostoUnitario*E225</f>
        <v>0</v>
      </c>
      <c r="O225" s="9">
        <f>IF(E225&gt;0,CostoPedido,0)</f>
        <v>0</v>
      </c>
      <c r="P225" s="9">
        <f>CostoAlm*(F225+J225)/2</f>
        <v>440</v>
      </c>
      <c r="Q225" s="9">
        <f>CostoFijo*D225</f>
        <v>0</v>
      </c>
      <c r="R225" s="9">
        <f>M225-N225-O225-P225-Q225</f>
        <v>4759560</v>
      </c>
      <c r="S225" s="21">
        <f>PuntoReorden</f>
        <v>7</v>
      </c>
    </row>
    <row r="226">
      <c r="A226" s="5">
        <f>A225+1</f>
        <v>221</v>
      </c>
      <c r="B226" s="20">
        <f>B225+IF(WEEKDAY(B225,2)=6,2,1)</f>
        <v>46280</v>
      </c>
      <c r="C226" s="5">
        <f>MONTH(B226)</f>
        <v>9</v>
      </c>
      <c r="D226" s="5">
        <f>IF(C226&lt;&gt;C225,1,0)</f>
        <v>0</v>
      </c>
      <c r="E226" s="5">
        <f>IF(L225=1,CantPedido,0)</f>
        <v>15</v>
      </c>
      <c r="F226" s="5">
        <f>J225+E226</f>
        <v>17</v>
      </c>
      <c r="G226" s="5">
        <f>VLOOKUP(RAND(),TablaEmpirica,2,TRUE)</f>
        <v>5</v>
      </c>
      <c r="H226" s="5">
        <f>MIN(F226,G226)</f>
        <v>5</v>
      </c>
      <c r="I226" s="5">
        <f>G226-H226</f>
        <v>0</v>
      </c>
      <c r="J226" s="5">
        <f>F226-H226</f>
        <v>12</v>
      </c>
      <c r="K226" s="5">
        <f>IF(I226&gt;0,1,0)</f>
        <v>0</v>
      </c>
      <c r="L226" s="5">
        <f>IF(J226&lt;PuntoReorden,1,0)</f>
        <v>0</v>
      </c>
      <c r="M226" s="9">
        <f>PrecioVenta*H226</f>
        <v>3400000</v>
      </c>
      <c r="N226" s="9">
        <f>CostoUnitario*E226</f>
        <v>9000000</v>
      </c>
      <c r="O226" s="9">
        <f>IF(E226&gt;0,CostoPedido,0)</f>
        <v>40000</v>
      </c>
      <c r="P226" s="9">
        <f>CostoAlm*(F226+J226)/2</f>
        <v>1160</v>
      </c>
      <c r="Q226" s="9">
        <f>CostoFijo*D226</f>
        <v>0</v>
      </c>
      <c r="R226" s="9">
        <f>M226-N226-O226-P226-Q226</f>
        <v>-5641160</v>
      </c>
      <c r="S226" s="21">
        <f>PuntoReorden</f>
        <v>7</v>
      </c>
    </row>
    <row r="227">
      <c r="A227" s="5">
        <f>A226+1</f>
        <v>222</v>
      </c>
      <c r="B227" s="20">
        <f>B226+IF(WEEKDAY(B226,2)=6,2,1)</f>
        <v>46281</v>
      </c>
      <c r="C227" s="5">
        <f>MONTH(B227)</f>
        <v>9</v>
      </c>
      <c r="D227" s="5">
        <f>IF(C227&lt;&gt;C226,1,0)</f>
        <v>0</v>
      </c>
      <c r="E227" s="5">
        <f>IF(L226=1,CantPedido,0)</f>
        <v>0</v>
      </c>
      <c r="F227" s="5">
        <f>J226+E227</f>
        <v>12</v>
      </c>
      <c r="G227" s="5">
        <f>VLOOKUP(RAND(),TablaEmpirica,2,TRUE)</f>
        <v>6</v>
      </c>
      <c r="H227" s="5">
        <f>MIN(F227,G227)</f>
        <v>6</v>
      </c>
      <c r="I227" s="5">
        <f>G227-H227</f>
        <v>0</v>
      </c>
      <c r="J227" s="5">
        <f>F227-H227</f>
        <v>6</v>
      </c>
      <c r="K227" s="5">
        <f>IF(I227&gt;0,1,0)</f>
        <v>0</v>
      </c>
      <c r="L227" s="5">
        <f>IF(J227&lt;PuntoReorden,1,0)</f>
        <v>1</v>
      </c>
      <c r="M227" s="9">
        <f>PrecioVenta*H227</f>
        <v>4080000</v>
      </c>
      <c r="N227" s="9">
        <f>CostoUnitario*E227</f>
        <v>0</v>
      </c>
      <c r="O227" s="9">
        <f>IF(E227&gt;0,CostoPedido,0)</f>
        <v>0</v>
      </c>
      <c r="P227" s="9">
        <f>CostoAlm*(F227+J227)/2</f>
        <v>720</v>
      </c>
      <c r="Q227" s="9">
        <f>CostoFijo*D227</f>
        <v>0</v>
      </c>
      <c r="R227" s="9">
        <f>M227-N227-O227-P227-Q227</f>
        <v>4079280</v>
      </c>
      <c r="S227" s="21">
        <f>PuntoReorden</f>
        <v>7</v>
      </c>
    </row>
    <row r="228">
      <c r="A228" s="5">
        <f>A227+1</f>
        <v>223</v>
      </c>
      <c r="B228" s="20">
        <f>B227+IF(WEEKDAY(B227,2)=6,2,1)</f>
        <v>46282</v>
      </c>
      <c r="C228" s="5">
        <f>MONTH(B228)</f>
        <v>9</v>
      </c>
      <c r="D228" s="5">
        <f>IF(C228&lt;&gt;C227,1,0)</f>
        <v>0</v>
      </c>
      <c r="E228" s="5">
        <f>IF(L227=1,CantPedido,0)</f>
        <v>15</v>
      </c>
      <c r="F228" s="5">
        <f>J227+E228</f>
        <v>21</v>
      </c>
      <c r="G228" s="5">
        <f>VLOOKUP(RAND(),TablaEmpirica,2,TRUE)</f>
        <v>6</v>
      </c>
      <c r="H228" s="5">
        <f>MIN(F228,G228)</f>
        <v>6</v>
      </c>
      <c r="I228" s="5">
        <f>G228-H228</f>
        <v>0</v>
      </c>
      <c r="J228" s="5">
        <f>F228-H228</f>
        <v>15</v>
      </c>
      <c r="K228" s="5">
        <f>IF(I228&gt;0,1,0)</f>
        <v>0</v>
      </c>
      <c r="L228" s="5">
        <f>IF(J228&lt;PuntoReorden,1,0)</f>
        <v>0</v>
      </c>
      <c r="M228" s="9">
        <f>PrecioVenta*H228</f>
        <v>4080000</v>
      </c>
      <c r="N228" s="9">
        <f>CostoUnitario*E228</f>
        <v>9000000</v>
      </c>
      <c r="O228" s="9">
        <f>IF(E228&gt;0,CostoPedido,0)</f>
        <v>40000</v>
      </c>
      <c r="P228" s="9">
        <f>CostoAlm*(F228+J228)/2</f>
        <v>1440</v>
      </c>
      <c r="Q228" s="9">
        <f>CostoFijo*D228</f>
        <v>0</v>
      </c>
      <c r="R228" s="9">
        <f>M228-N228-O228-P228-Q228</f>
        <v>-4961440</v>
      </c>
      <c r="S228" s="21">
        <f>PuntoReorden</f>
        <v>7</v>
      </c>
    </row>
    <row r="229">
      <c r="A229" s="5">
        <f>A228+1</f>
        <v>224</v>
      </c>
      <c r="B229" s="20">
        <f>B228+IF(WEEKDAY(B228,2)=6,2,1)</f>
        <v>46283</v>
      </c>
      <c r="C229" s="5">
        <f>MONTH(B229)</f>
        <v>9</v>
      </c>
      <c r="D229" s="5">
        <f>IF(C229&lt;&gt;C228,1,0)</f>
        <v>0</v>
      </c>
      <c r="E229" s="5">
        <f>IF(L228=1,CantPedido,0)</f>
        <v>0</v>
      </c>
      <c r="F229" s="5">
        <f>J228+E229</f>
        <v>15</v>
      </c>
      <c r="G229" s="5">
        <f>VLOOKUP(RAND(),TablaEmpirica,2,TRUE)</f>
        <v>5</v>
      </c>
      <c r="H229" s="5">
        <f>MIN(F229,G229)</f>
        <v>5</v>
      </c>
      <c r="I229" s="5">
        <f>G229-H229</f>
        <v>0</v>
      </c>
      <c r="J229" s="5">
        <f>F229-H229</f>
        <v>10</v>
      </c>
      <c r="K229" s="5">
        <f>IF(I229&gt;0,1,0)</f>
        <v>0</v>
      </c>
      <c r="L229" s="5">
        <f>IF(J229&lt;PuntoReorden,1,0)</f>
        <v>0</v>
      </c>
      <c r="M229" s="9">
        <f>PrecioVenta*H229</f>
        <v>3400000</v>
      </c>
      <c r="N229" s="9">
        <f>CostoUnitario*E229</f>
        <v>0</v>
      </c>
      <c r="O229" s="9">
        <f>IF(E229&gt;0,CostoPedido,0)</f>
        <v>0</v>
      </c>
      <c r="P229" s="9">
        <f>CostoAlm*(F229+J229)/2</f>
        <v>1000</v>
      </c>
      <c r="Q229" s="9">
        <f>CostoFijo*D229</f>
        <v>0</v>
      </c>
      <c r="R229" s="9">
        <f>M229-N229-O229-P229-Q229</f>
        <v>3399000</v>
      </c>
      <c r="S229" s="21">
        <f>PuntoReorden</f>
        <v>7</v>
      </c>
    </row>
    <row r="230">
      <c r="A230" s="5">
        <f>A229+1</f>
        <v>225</v>
      </c>
      <c r="B230" s="20">
        <f>B229+IF(WEEKDAY(B229,2)=6,2,1)</f>
        <v>46284</v>
      </c>
      <c r="C230" s="5">
        <f>MONTH(B230)</f>
        <v>9</v>
      </c>
      <c r="D230" s="5">
        <f>IF(C230&lt;&gt;C229,1,0)</f>
        <v>0</v>
      </c>
      <c r="E230" s="5">
        <f>IF(L229=1,CantPedido,0)</f>
        <v>0</v>
      </c>
      <c r="F230" s="5">
        <f>J229+E230</f>
        <v>10</v>
      </c>
      <c r="G230" s="5">
        <f>VLOOKUP(RAND(),TablaEmpirica,2,TRUE)</f>
        <v>3</v>
      </c>
      <c r="H230" s="5">
        <f>MIN(F230,G230)</f>
        <v>3</v>
      </c>
      <c r="I230" s="5">
        <f>G230-H230</f>
        <v>0</v>
      </c>
      <c r="J230" s="5">
        <f>F230-H230</f>
        <v>7</v>
      </c>
      <c r="K230" s="5">
        <f>IF(I230&gt;0,1,0)</f>
        <v>0</v>
      </c>
      <c r="L230" s="5">
        <f>IF(J230&lt;PuntoReorden,1,0)</f>
        <v>0</v>
      </c>
      <c r="M230" s="9">
        <f>PrecioVenta*H230</f>
        <v>2040000</v>
      </c>
      <c r="N230" s="9">
        <f>CostoUnitario*E230</f>
        <v>0</v>
      </c>
      <c r="O230" s="9">
        <f>IF(E230&gt;0,CostoPedido,0)</f>
        <v>0</v>
      </c>
      <c r="P230" s="9">
        <f>CostoAlm*(F230+J230)/2</f>
        <v>680</v>
      </c>
      <c r="Q230" s="9">
        <f>CostoFijo*D230</f>
        <v>0</v>
      </c>
      <c r="R230" s="9">
        <f>M230-N230-O230-P230-Q230</f>
        <v>2039320</v>
      </c>
      <c r="S230" s="21">
        <f>PuntoReorden</f>
        <v>7</v>
      </c>
    </row>
    <row r="231">
      <c r="A231" s="5">
        <f>A230+1</f>
        <v>226</v>
      </c>
      <c r="B231" s="20">
        <f>B230+IF(WEEKDAY(B230,2)=6,2,1)</f>
        <v>46286</v>
      </c>
      <c r="C231" s="5">
        <f>MONTH(B231)</f>
        <v>9</v>
      </c>
      <c r="D231" s="5">
        <f>IF(C231&lt;&gt;C230,1,0)</f>
        <v>0</v>
      </c>
      <c r="E231" s="5">
        <f>IF(L230=1,CantPedido,0)</f>
        <v>0</v>
      </c>
      <c r="F231" s="5">
        <f>J230+E231</f>
        <v>7</v>
      </c>
      <c r="G231" s="5">
        <f>VLOOKUP(RAND(),TablaEmpirica,2,TRUE)</f>
        <v>6</v>
      </c>
      <c r="H231" s="5">
        <f>MIN(F231,G231)</f>
        <v>6</v>
      </c>
      <c r="I231" s="5">
        <f>G231-H231</f>
        <v>0</v>
      </c>
      <c r="J231" s="5">
        <f>F231-H231</f>
        <v>1</v>
      </c>
      <c r="K231" s="5">
        <f>IF(I231&gt;0,1,0)</f>
        <v>0</v>
      </c>
      <c r="L231" s="5">
        <f>IF(J231&lt;PuntoReorden,1,0)</f>
        <v>1</v>
      </c>
      <c r="M231" s="9">
        <f>PrecioVenta*H231</f>
        <v>4080000</v>
      </c>
      <c r="N231" s="9">
        <f>CostoUnitario*E231</f>
        <v>0</v>
      </c>
      <c r="O231" s="9">
        <f>IF(E231&gt;0,CostoPedido,0)</f>
        <v>0</v>
      </c>
      <c r="P231" s="9">
        <f>CostoAlm*(F231+J231)/2</f>
        <v>320</v>
      </c>
      <c r="Q231" s="9">
        <f>CostoFijo*D231</f>
        <v>0</v>
      </c>
      <c r="R231" s="9">
        <f>M231-N231-O231-P231-Q231</f>
        <v>4079680</v>
      </c>
      <c r="S231" s="21">
        <f>PuntoReorden</f>
        <v>7</v>
      </c>
    </row>
    <row r="232">
      <c r="A232" s="5">
        <f>A231+1</f>
        <v>227</v>
      </c>
      <c r="B232" s="20">
        <f>B231+IF(WEEKDAY(B231,2)=6,2,1)</f>
        <v>46287</v>
      </c>
      <c r="C232" s="5">
        <f>MONTH(B232)</f>
        <v>9</v>
      </c>
      <c r="D232" s="5">
        <f>IF(C232&lt;&gt;C231,1,0)</f>
        <v>0</v>
      </c>
      <c r="E232" s="5">
        <f>IF(L231=1,CantPedido,0)</f>
        <v>15</v>
      </c>
      <c r="F232" s="5">
        <f>J231+E232</f>
        <v>16</v>
      </c>
      <c r="G232" s="5">
        <f>VLOOKUP(RAND(),TablaEmpirica,2,TRUE)</f>
        <v>6</v>
      </c>
      <c r="H232" s="5">
        <f>MIN(F232,G232)</f>
        <v>6</v>
      </c>
      <c r="I232" s="5">
        <f>G232-H232</f>
        <v>0</v>
      </c>
      <c r="J232" s="5">
        <f>F232-H232</f>
        <v>10</v>
      </c>
      <c r="K232" s="5">
        <f>IF(I232&gt;0,1,0)</f>
        <v>0</v>
      </c>
      <c r="L232" s="5">
        <f>IF(J232&lt;PuntoReorden,1,0)</f>
        <v>0</v>
      </c>
      <c r="M232" s="9">
        <f>PrecioVenta*H232</f>
        <v>4080000</v>
      </c>
      <c r="N232" s="9">
        <f>CostoUnitario*E232</f>
        <v>9000000</v>
      </c>
      <c r="O232" s="9">
        <f>IF(E232&gt;0,CostoPedido,0)</f>
        <v>40000</v>
      </c>
      <c r="P232" s="9">
        <f>CostoAlm*(F232+J232)/2</f>
        <v>1040</v>
      </c>
      <c r="Q232" s="9">
        <f>CostoFijo*D232</f>
        <v>0</v>
      </c>
      <c r="R232" s="9">
        <f>M232-N232-O232-P232-Q232</f>
        <v>-4961040</v>
      </c>
      <c r="S232" s="21">
        <f>PuntoReorden</f>
        <v>7</v>
      </c>
    </row>
    <row r="233">
      <c r="A233" s="5">
        <f>A232+1</f>
        <v>228</v>
      </c>
      <c r="B233" s="20">
        <f>B232+IF(WEEKDAY(B232,2)=6,2,1)</f>
        <v>46288</v>
      </c>
      <c r="C233" s="5">
        <f>MONTH(B233)</f>
        <v>9</v>
      </c>
      <c r="D233" s="5">
        <f>IF(C233&lt;&gt;C232,1,0)</f>
        <v>0</v>
      </c>
      <c r="E233" s="5">
        <f>IF(L232=1,CantPedido,0)</f>
        <v>0</v>
      </c>
      <c r="F233" s="5">
        <f>J232+E233</f>
        <v>10</v>
      </c>
      <c r="G233" s="5">
        <f>VLOOKUP(RAND(),TablaEmpirica,2,TRUE)</f>
        <v>6</v>
      </c>
      <c r="H233" s="5">
        <f>MIN(F233,G233)</f>
        <v>6</v>
      </c>
      <c r="I233" s="5">
        <f>G233-H233</f>
        <v>0</v>
      </c>
      <c r="J233" s="5">
        <f>F233-H233</f>
        <v>4</v>
      </c>
      <c r="K233" s="5">
        <f>IF(I233&gt;0,1,0)</f>
        <v>0</v>
      </c>
      <c r="L233" s="5">
        <f>IF(J233&lt;PuntoReorden,1,0)</f>
        <v>1</v>
      </c>
      <c r="M233" s="9">
        <f>PrecioVenta*H233</f>
        <v>4080000</v>
      </c>
      <c r="N233" s="9">
        <f>CostoUnitario*E233</f>
        <v>0</v>
      </c>
      <c r="O233" s="9">
        <f>IF(E233&gt;0,CostoPedido,0)</f>
        <v>0</v>
      </c>
      <c r="P233" s="9">
        <f>CostoAlm*(F233+J233)/2</f>
        <v>560</v>
      </c>
      <c r="Q233" s="9">
        <f>CostoFijo*D233</f>
        <v>0</v>
      </c>
      <c r="R233" s="9">
        <f>M233-N233-O233-P233-Q233</f>
        <v>4079440</v>
      </c>
      <c r="S233" s="21">
        <f>PuntoReorden</f>
        <v>7</v>
      </c>
    </row>
    <row r="234">
      <c r="A234" s="5">
        <f>A233+1</f>
        <v>229</v>
      </c>
      <c r="B234" s="20">
        <f>B233+IF(WEEKDAY(B233,2)=6,2,1)</f>
        <v>46289</v>
      </c>
      <c r="C234" s="5">
        <f>MONTH(B234)</f>
        <v>9</v>
      </c>
      <c r="D234" s="5">
        <f>IF(C234&lt;&gt;C233,1,0)</f>
        <v>0</v>
      </c>
      <c r="E234" s="5">
        <f>IF(L233=1,CantPedido,0)</f>
        <v>15</v>
      </c>
      <c r="F234" s="5">
        <f>J233+E234</f>
        <v>19</v>
      </c>
      <c r="G234" s="5">
        <f>VLOOKUP(RAND(),TablaEmpirica,2,TRUE)</f>
        <v>6</v>
      </c>
      <c r="H234" s="5">
        <f>MIN(F234,G234)</f>
        <v>6</v>
      </c>
      <c r="I234" s="5">
        <f>G234-H234</f>
        <v>0</v>
      </c>
      <c r="J234" s="5">
        <f>F234-H234</f>
        <v>13</v>
      </c>
      <c r="K234" s="5">
        <f>IF(I234&gt;0,1,0)</f>
        <v>0</v>
      </c>
      <c r="L234" s="5">
        <f>IF(J234&lt;PuntoReorden,1,0)</f>
        <v>0</v>
      </c>
      <c r="M234" s="9">
        <f>PrecioVenta*H234</f>
        <v>4080000</v>
      </c>
      <c r="N234" s="9">
        <f>CostoUnitario*E234</f>
        <v>9000000</v>
      </c>
      <c r="O234" s="9">
        <f>IF(E234&gt;0,CostoPedido,0)</f>
        <v>40000</v>
      </c>
      <c r="P234" s="9">
        <f>CostoAlm*(F234+J234)/2</f>
        <v>1280</v>
      </c>
      <c r="Q234" s="9">
        <f>CostoFijo*D234</f>
        <v>0</v>
      </c>
      <c r="R234" s="9">
        <f>M234-N234-O234-P234-Q234</f>
        <v>-4961280</v>
      </c>
      <c r="S234" s="21">
        <f>PuntoReorden</f>
        <v>7</v>
      </c>
    </row>
    <row r="235">
      <c r="A235" s="5">
        <f>A234+1</f>
        <v>230</v>
      </c>
      <c r="B235" s="20">
        <f>B234+IF(WEEKDAY(B234,2)=6,2,1)</f>
        <v>46290</v>
      </c>
      <c r="C235" s="5">
        <f>MONTH(B235)</f>
        <v>9</v>
      </c>
      <c r="D235" s="5">
        <f>IF(C235&lt;&gt;C234,1,0)</f>
        <v>0</v>
      </c>
      <c r="E235" s="5">
        <f>IF(L234=1,CantPedido,0)</f>
        <v>0</v>
      </c>
      <c r="F235" s="5">
        <f>J234+E235</f>
        <v>13</v>
      </c>
      <c r="G235" s="5">
        <f>VLOOKUP(RAND(),TablaEmpirica,2,TRUE)</f>
        <v>5</v>
      </c>
      <c r="H235" s="5">
        <f>MIN(F235,G235)</f>
        <v>5</v>
      </c>
      <c r="I235" s="5">
        <f>G235-H235</f>
        <v>0</v>
      </c>
      <c r="J235" s="5">
        <f>F235-H235</f>
        <v>8</v>
      </c>
      <c r="K235" s="5">
        <f>IF(I235&gt;0,1,0)</f>
        <v>0</v>
      </c>
      <c r="L235" s="5">
        <f>IF(J235&lt;PuntoReorden,1,0)</f>
        <v>0</v>
      </c>
      <c r="M235" s="9">
        <f>PrecioVenta*H235</f>
        <v>3400000</v>
      </c>
      <c r="N235" s="9">
        <f>CostoUnitario*E235</f>
        <v>0</v>
      </c>
      <c r="O235" s="9">
        <f>IF(E235&gt;0,CostoPedido,0)</f>
        <v>0</v>
      </c>
      <c r="P235" s="9">
        <f>CostoAlm*(F235+J235)/2</f>
        <v>840</v>
      </c>
      <c r="Q235" s="9">
        <f>CostoFijo*D235</f>
        <v>0</v>
      </c>
      <c r="R235" s="9">
        <f>M235-N235-O235-P235-Q235</f>
        <v>3399160</v>
      </c>
      <c r="S235" s="21">
        <f>PuntoReorden</f>
        <v>7</v>
      </c>
    </row>
    <row r="236">
      <c r="A236" s="5">
        <f>A235+1</f>
        <v>231</v>
      </c>
      <c r="B236" s="20">
        <f>B235+IF(WEEKDAY(B235,2)=6,2,1)</f>
        <v>46291</v>
      </c>
      <c r="C236" s="5">
        <f>MONTH(B236)</f>
        <v>9</v>
      </c>
      <c r="D236" s="5">
        <f>IF(C236&lt;&gt;C235,1,0)</f>
        <v>0</v>
      </c>
      <c r="E236" s="5">
        <f>IF(L235=1,CantPedido,0)</f>
        <v>0</v>
      </c>
      <c r="F236" s="5">
        <f>J235+E236</f>
        <v>8</v>
      </c>
      <c r="G236" s="5">
        <f>VLOOKUP(RAND(),TablaEmpirica,2,TRUE)</f>
        <v>7</v>
      </c>
      <c r="H236" s="5">
        <f>MIN(F236,G236)</f>
        <v>7</v>
      </c>
      <c r="I236" s="5">
        <f>G236-H236</f>
        <v>0</v>
      </c>
      <c r="J236" s="5">
        <f>F236-H236</f>
        <v>1</v>
      </c>
      <c r="K236" s="5">
        <f>IF(I236&gt;0,1,0)</f>
        <v>0</v>
      </c>
      <c r="L236" s="5">
        <f>IF(J236&lt;PuntoReorden,1,0)</f>
        <v>1</v>
      </c>
      <c r="M236" s="9">
        <f>PrecioVenta*H236</f>
        <v>4760000</v>
      </c>
      <c r="N236" s="9">
        <f>CostoUnitario*E236</f>
        <v>0</v>
      </c>
      <c r="O236" s="9">
        <f>IF(E236&gt;0,CostoPedido,0)</f>
        <v>0</v>
      </c>
      <c r="P236" s="9">
        <f>CostoAlm*(F236+J236)/2</f>
        <v>360</v>
      </c>
      <c r="Q236" s="9">
        <f>CostoFijo*D236</f>
        <v>0</v>
      </c>
      <c r="R236" s="9">
        <f>M236-N236-O236-P236-Q236</f>
        <v>4759640</v>
      </c>
      <c r="S236" s="21">
        <f>PuntoReorden</f>
        <v>7</v>
      </c>
    </row>
    <row r="237">
      <c r="A237" s="5">
        <f>A236+1</f>
        <v>232</v>
      </c>
      <c r="B237" s="20">
        <f>B236+IF(WEEKDAY(B236,2)=6,2,1)</f>
        <v>46293</v>
      </c>
      <c r="C237" s="5">
        <f>MONTH(B237)</f>
        <v>9</v>
      </c>
      <c r="D237" s="5">
        <f>IF(C237&lt;&gt;C236,1,0)</f>
        <v>0</v>
      </c>
      <c r="E237" s="5">
        <f>IF(L236=1,CantPedido,0)</f>
        <v>15</v>
      </c>
      <c r="F237" s="5">
        <f>J236+E237</f>
        <v>16</v>
      </c>
      <c r="G237" s="5">
        <f>VLOOKUP(RAND(),TablaEmpirica,2,TRUE)</f>
        <v>3</v>
      </c>
      <c r="H237" s="5">
        <f>MIN(F237,G237)</f>
        <v>3</v>
      </c>
      <c r="I237" s="5">
        <f>G237-H237</f>
        <v>0</v>
      </c>
      <c r="J237" s="5">
        <f>F237-H237</f>
        <v>13</v>
      </c>
      <c r="K237" s="5">
        <f>IF(I237&gt;0,1,0)</f>
        <v>0</v>
      </c>
      <c r="L237" s="5">
        <f>IF(J237&lt;PuntoReorden,1,0)</f>
        <v>0</v>
      </c>
      <c r="M237" s="9">
        <f>PrecioVenta*H237</f>
        <v>2040000</v>
      </c>
      <c r="N237" s="9">
        <f>CostoUnitario*E237</f>
        <v>9000000</v>
      </c>
      <c r="O237" s="9">
        <f>IF(E237&gt;0,CostoPedido,0)</f>
        <v>40000</v>
      </c>
      <c r="P237" s="9">
        <f>CostoAlm*(F237+J237)/2</f>
        <v>1160</v>
      </c>
      <c r="Q237" s="9">
        <f>CostoFijo*D237</f>
        <v>0</v>
      </c>
      <c r="R237" s="9">
        <f>M237-N237-O237-P237-Q237</f>
        <v>-7001160</v>
      </c>
      <c r="S237" s="21">
        <f>PuntoReorden</f>
        <v>7</v>
      </c>
    </row>
    <row r="238">
      <c r="A238" s="5">
        <f>A237+1</f>
        <v>233</v>
      </c>
      <c r="B238" s="20">
        <f>B237+IF(WEEKDAY(B237,2)=6,2,1)</f>
        <v>46294</v>
      </c>
      <c r="C238" s="5">
        <f>MONTH(B238)</f>
        <v>9</v>
      </c>
      <c r="D238" s="5">
        <f>IF(C238&lt;&gt;C237,1,0)</f>
        <v>0</v>
      </c>
      <c r="E238" s="5">
        <f>IF(L237=1,CantPedido,0)</f>
        <v>0</v>
      </c>
      <c r="F238" s="5">
        <f>J237+E238</f>
        <v>13</v>
      </c>
      <c r="G238" s="5">
        <f>VLOOKUP(RAND(),TablaEmpirica,2,TRUE)</f>
        <v>3</v>
      </c>
      <c r="H238" s="5">
        <f>MIN(F238,G238)</f>
        <v>3</v>
      </c>
      <c r="I238" s="5">
        <f>G238-H238</f>
        <v>0</v>
      </c>
      <c r="J238" s="5">
        <f>F238-H238</f>
        <v>10</v>
      </c>
      <c r="K238" s="5">
        <f>IF(I238&gt;0,1,0)</f>
        <v>0</v>
      </c>
      <c r="L238" s="5">
        <f>IF(J238&lt;PuntoReorden,1,0)</f>
        <v>0</v>
      </c>
      <c r="M238" s="9">
        <f>PrecioVenta*H238</f>
        <v>2040000</v>
      </c>
      <c r="N238" s="9">
        <f>CostoUnitario*E238</f>
        <v>0</v>
      </c>
      <c r="O238" s="9">
        <f>IF(E238&gt;0,CostoPedido,0)</f>
        <v>0</v>
      </c>
      <c r="P238" s="9">
        <f>CostoAlm*(F238+J238)/2</f>
        <v>920</v>
      </c>
      <c r="Q238" s="9">
        <f>CostoFijo*D238</f>
        <v>0</v>
      </c>
      <c r="R238" s="9">
        <f>M238-N238-O238-P238-Q238</f>
        <v>2039080</v>
      </c>
      <c r="S238" s="21">
        <f>PuntoReorden</f>
        <v>7</v>
      </c>
    </row>
    <row r="239">
      <c r="A239" s="5">
        <f>A238+1</f>
        <v>234</v>
      </c>
      <c r="B239" s="20">
        <f>B238+IF(WEEKDAY(B238,2)=6,2,1)</f>
        <v>46295</v>
      </c>
      <c r="C239" s="5">
        <f>MONTH(B239)</f>
        <v>9</v>
      </c>
      <c r="D239" s="5">
        <f>IF(C239&lt;&gt;C238,1,0)</f>
        <v>0</v>
      </c>
      <c r="E239" s="5">
        <f>IF(L238=1,CantPedido,0)</f>
        <v>0</v>
      </c>
      <c r="F239" s="5">
        <f>J238+E239</f>
        <v>10</v>
      </c>
      <c r="G239" s="5">
        <f>VLOOKUP(RAND(),TablaEmpirica,2,TRUE)</f>
        <v>7</v>
      </c>
      <c r="H239" s="5">
        <f>MIN(F239,G239)</f>
        <v>7</v>
      </c>
      <c r="I239" s="5">
        <f>G239-H239</f>
        <v>0</v>
      </c>
      <c r="J239" s="5">
        <f>F239-H239</f>
        <v>3</v>
      </c>
      <c r="K239" s="5">
        <f>IF(I239&gt;0,1,0)</f>
        <v>0</v>
      </c>
      <c r="L239" s="5">
        <f>IF(J239&lt;PuntoReorden,1,0)</f>
        <v>1</v>
      </c>
      <c r="M239" s="9">
        <f>PrecioVenta*H239</f>
        <v>4760000</v>
      </c>
      <c r="N239" s="9">
        <f>CostoUnitario*E239</f>
        <v>0</v>
      </c>
      <c r="O239" s="9">
        <f>IF(E239&gt;0,CostoPedido,0)</f>
        <v>0</v>
      </c>
      <c r="P239" s="9">
        <f>CostoAlm*(F239+J239)/2</f>
        <v>520</v>
      </c>
      <c r="Q239" s="9">
        <f>CostoFijo*D239</f>
        <v>0</v>
      </c>
      <c r="R239" s="9">
        <f>M239-N239-O239-P239-Q239</f>
        <v>4759480</v>
      </c>
      <c r="S239" s="21">
        <f>PuntoReorden</f>
        <v>7</v>
      </c>
    </row>
    <row r="240">
      <c r="A240" s="5">
        <f>A239+1</f>
        <v>235</v>
      </c>
      <c r="B240" s="20">
        <f>B239+IF(WEEKDAY(B239,2)=6,2,1)</f>
        <v>46296</v>
      </c>
      <c r="C240" s="5">
        <f>MONTH(B240)</f>
        <v>10</v>
      </c>
      <c r="D240" s="5">
        <f>IF(C240&lt;&gt;C239,1,0)</f>
        <v>1</v>
      </c>
      <c r="E240" s="5">
        <f>IF(L239=1,CantPedido,0)</f>
        <v>15</v>
      </c>
      <c r="F240" s="5">
        <f>J239+E240</f>
        <v>18</v>
      </c>
      <c r="G240" s="5">
        <f>VLOOKUP(RAND(),TablaEmpirica,2,TRUE)</f>
        <v>5</v>
      </c>
      <c r="H240" s="5">
        <f>MIN(F240,G240)</f>
        <v>5</v>
      </c>
      <c r="I240" s="5">
        <f>G240-H240</f>
        <v>0</v>
      </c>
      <c r="J240" s="5">
        <f>F240-H240</f>
        <v>13</v>
      </c>
      <c r="K240" s="5">
        <f>IF(I240&gt;0,1,0)</f>
        <v>0</v>
      </c>
      <c r="L240" s="5">
        <f>IF(J240&lt;PuntoReorden,1,0)</f>
        <v>0</v>
      </c>
      <c r="M240" s="9">
        <f>PrecioVenta*H240</f>
        <v>3400000</v>
      </c>
      <c r="N240" s="9">
        <f>CostoUnitario*E240</f>
        <v>9000000</v>
      </c>
      <c r="O240" s="9">
        <f>IF(E240&gt;0,CostoPedido,0)</f>
        <v>40000</v>
      </c>
      <c r="P240" s="9">
        <f>CostoAlm*(F240+J240)/2</f>
        <v>1240</v>
      </c>
      <c r="Q240" s="9">
        <f>CostoFijo*D240</f>
        <v>1000000</v>
      </c>
      <c r="R240" s="9">
        <f>M240-N240-O240-P240-Q240</f>
        <v>-6641240</v>
      </c>
      <c r="S240" s="21">
        <f>PuntoReorden</f>
        <v>7</v>
      </c>
    </row>
    <row r="241">
      <c r="A241" s="5">
        <f>A240+1</f>
        <v>236</v>
      </c>
      <c r="B241" s="20">
        <f>B240+IF(WEEKDAY(B240,2)=6,2,1)</f>
        <v>46297</v>
      </c>
      <c r="C241" s="5">
        <f>MONTH(B241)</f>
        <v>10</v>
      </c>
      <c r="D241" s="5">
        <f>IF(C241&lt;&gt;C240,1,0)</f>
        <v>0</v>
      </c>
      <c r="E241" s="5">
        <f>IF(L240=1,CantPedido,0)</f>
        <v>0</v>
      </c>
      <c r="F241" s="5">
        <f>J240+E241</f>
        <v>13</v>
      </c>
      <c r="G241" s="5">
        <f>VLOOKUP(RAND(),TablaEmpirica,2,TRUE)</f>
        <v>5</v>
      </c>
      <c r="H241" s="5">
        <f>MIN(F241,G241)</f>
        <v>5</v>
      </c>
      <c r="I241" s="5">
        <f>G241-H241</f>
        <v>0</v>
      </c>
      <c r="J241" s="5">
        <f>F241-H241</f>
        <v>8</v>
      </c>
      <c r="K241" s="5">
        <f>IF(I241&gt;0,1,0)</f>
        <v>0</v>
      </c>
      <c r="L241" s="5">
        <f>IF(J241&lt;PuntoReorden,1,0)</f>
        <v>0</v>
      </c>
      <c r="M241" s="9">
        <f>PrecioVenta*H241</f>
        <v>3400000</v>
      </c>
      <c r="N241" s="9">
        <f>CostoUnitario*E241</f>
        <v>0</v>
      </c>
      <c r="O241" s="9">
        <f>IF(E241&gt;0,CostoPedido,0)</f>
        <v>0</v>
      </c>
      <c r="P241" s="9">
        <f>CostoAlm*(F241+J241)/2</f>
        <v>840</v>
      </c>
      <c r="Q241" s="9">
        <f>CostoFijo*D241</f>
        <v>0</v>
      </c>
      <c r="R241" s="9">
        <f>M241-N241-O241-P241-Q241</f>
        <v>3399160</v>
      </c>
      <c r="S241" s="21">
        <f>PuntoReorden</f>
        <v>7</v>
      </c>
    </row>
    <row r="242">
      <c r="A242" s="5">
        <f>A241+1</f>
        <v>237</v>
      </c>
      <c r="B242" s="20">
        <f>B241+IF(WEEKDAY(B241,2)=6,2,1)</f>
        <v>46298</v>
      </c>
      <c r="C242" s="5">
        <f>MONTH(B242)</f>
        <v>10</v>
      </c>
      <c r="D242" s="5">
        <f>IF(C242&lt;&gt;C241,1,0)</f>
        <v>0</v>
      </c>
      <c r="E242" s="5">
        <f>IF(L241=1,CantPedido,0)</f>
        <v>0</v>
      </c>
      <c r="F242" s="5">
        <f>J241+E242</f>
        <v>8</v>
      </c>
      <c r="G242" s="5">
        <f>VLOOKUP(RAND(),TablaEmpirica,2,TRUE)</f>
        <v>6</v>
      </c>
      <c r="H242" s="5">
        <f>MIN(F242,G242)</f>
        <v>6</v>
      </c>
      <c r="I242" s="5">
        <f>G242-H242</f>
        <v>0</v>
      </c>
      <c r="J242" s="5">
        <f>F242-H242</f>
        <v>2</v>
      </c>
      <c r="K242" s="5">
        <f>IF(I242&gt;0,1,0)</f>
        <v>0</v>
      </c>
      <c r="L242" s="5">
        <f>IF(J242&lt;PuntoReorden,1,0)</f>
        <v>1</v>
      </c>
      <c r="M242" s="9">
        <f>PrecioVenta*H242</f>
        <v>4080000</v>
      </c>
      <c r="N242" s="9">
        <f>CostoUnitario*E242</f>
        <v>0</v>
      </c>
      <c r="O242" s="9">
        <f>IF(E242&gt;0,CostoPedido,0)</f>
        <v>0</v>
      </c>
      <c r="P242" s="9">
        <f>CostoAlm*(F242+J242)/2</f>
        <v>400</v>
      </c>
      <c r="Q242" s="9">
        <f>CostoFijo*D242</f>
        <v>0</v>
      </c>
      <c r="R242" s="9">
        <f>M242-N242-O242-P242-Q242</f>
        <v>4079600</v>
      </c>
      <c r="S242" s="21">
        <f>PuntoReorden</f>
        <v>7</v>
      </c>
    </row>
    <row r="243">
      <c r="A243" s="5">
        <f>A242+1</f>
        <v>238</v>
      </c>
      <c r="B243" s="20">
        <f>B242+IF(WEEKDAY(B242,2)=6,2,1)</f>
        <v>46300</v>
      </c>
      <c r="C243" s="5">
        <f>MONTH(B243)</f>
        <v>10</v>
      </c>
      <c r="D243" s="5">
        <f>IF(C243&lt;&gt;C242,1,0)</f>
        <v>0</v>
      </c>
      <c r="E243" s="5">
        <f>IF(L242=1,CantPedido,0)</f>
        <v>15</v>
      </c>
      <c r="F243" s="5">
        <f>J242+E243</f>
        <v>17</v>
      </c>
      <c r="G243" s="5">
        <f>VLOOKUP(RAND(),TablaEmpirica,2,TRUE)</f>
        <v>5</v>
      </c>
      <c r="H243" s="5">
        <f>MIN(F243,G243)</f>
        <v>5</v>
      </c>
      <c r="I243" s="5">
        <f>G243-H243</f>
        <v>0</v>
      </c>
      <c r="J243" s="5">
        <f>F243-H243</f>
        <v>12</v>
      </c>
      <c r="K243" s="5">
        <f>IF(I243&gt;0,1,0)</f>
        <v>0</v>
      </c>
      <c r="L243" s="5">
        <f>IF(J243&lt;PuntoReorden,1,0)</f>
        <v>0</v>
      </c>
      <c r="M243" s="9">
        <f>PrecioVenta*H243</f>
        <v>3400000</v>
      </c>
      <c r="N243" s="9">
        <f>CostoUnitario*E243</f>
        <v>9000000</v>
      </c>
      <c r="O243" s="9">
        <f>IF(E243&gt;0,CostoPedido,0)</f>
        <v>40000</v>
      </c>
      <c r="P243" s="9">
        <f>CostoAlm*(F243+J243)/2</f>
        <v>1160</v>
      </c>
      <c r="Q243" s="9">
        <f>CostoFijo*D243</f>
        <v>0</v>
      </c>
      <c r="R243" s="9">
        <f>M243-N243-O243-P243-Q243</f>
        <v>-5641160</v>
      </c>
      <c r="S243" s="21">
        <f>PuntoReorden</f>
        <v>7</v>
      </c>
    </row>
    <row r="244">
      <c r="A244" s="5">
        <f>A243+1</f>
        <v>239</v>
      </c>
      <c r="B244" s="20">
        <f>B243+IF(WEEKDAY(B243,2)=6,2,1)</f>
        <v>46301</v>
      </c>
      <c r="C244" s="5">
        <f>MONTH(B244)</f>
        <v>10</v>
      </c>
      <c r="D244" s="5">
        <f>IF(C244&lt;&gt;C243,1,0)</f>
        <v>0</v>
      </c>
      <c r="E244" s="5">
        <f>IF(L243=1,CantPedido,0)</f>
        <v>0</v>
      </c>
      <c r="F244" s="5">
        <f>J243+E244</f>
        <v>12</v>
      </c>
      <c r="G244" s="5">
        <f>VLOOKUP(RAND(),TablaEmpirica,2,TRUE)</f>
        <v>5</v>
      </c>
      <c r="H244" s="5">
        <f>MIN(F244,G244)</f>
        <v>5</v>
      </c>
      <c r="I244" s="5">
        <f>G244-H244</f>
        <v>0</v>
      </c>
      <c r="J244" s="5">
        <f>F244-H244</f>
        <v>7</v>
      </c>
      <c r="K244" s="5">
        <f>IF(I244&gt;0,1,0)</f>
        <v>0</v>
      </c>
      <c r="L244" s="5">
        <f>IF(J244&lt;PuntoReorden,1,0)</f>
        <v>0</v>
      </c>
      <c r="M244" s="9">
        <f>PrecioVenta*H244</f>
        <v>3400000</v>
      </c>
      <c r="N244" s="9">
        <f>CostoUnitario*E244</f>
        <v>0</v>
      </c>
      <c r="O244" s="9">
        <f>IF(E244&gt;0,CostoPedido,0)</f>
        <v>0</v>
      </c>
      <c r="P244" s="9">
        <f>CostoAlm*(F244+J244)/2</f>
        <v>760</v>
      </c>
      <c r="Q244" s="9">
        <f>CostoFijo*D244</f>
        <v>0</v>
      </c>
      <c r="R244" s="9">
        <f>M244-N244-O244-P244-Q244</f>
        <v>3399240</v>
      </c>
      <c r="S244" s="21">
        <f>PuntoReorden</f>
        <v>7</v>
      </c>
    </row>
    <row r="245">
      <c r="A245" s="5">
        <f>A244+1</f>
        <v>240</v>
      </c>
      <c r="B245" s="20">
        <f>B244+IF(WEEKDAY(B244,2)=6,2,1)</f>
        <v>46302</v>
      </c>
      <c r="C245" s="5">
        <f>MONTH(B245)</f>
        <v>10</v>
      </c>
      <c r="D245" s="5">
        <f>IF(C245&lt;&gt;C244,1,0)</f>
        <v>0</v>
      </c>
      <c r="E245" s="5">
        <f>IF(L244=1,CantPedido,0)</f>
        <v>0</v>
      </c>
      <c r="F245" s="5">
        <f>J244+E245</f>
        <v>7</v>
      </c>
      <c r="G245" s="5">
        <f>VLOOKUP(RAND(),TablaEmpirica,2,TRUE)</f>
        <v>5</v>
      </c>
      <c r="H245" s="5">
        <f>MIN(F245,G245)</f>
        <v>5</v>
      </c>
      <c r="I245" s="5">
        <f>G245-H245</f>
        <v>0</v>
      </c>
      <c r="J245" s="5">
        <f>F245-H245</f>
        <v>2</v>
      </c>
      <c r="K245" s="5">
        <f>IF(I245&gt;0,1,0)</f>
        <v>0</v>
      </c>
      <c r="L245" s="5">
        <f>IF(J245&lt;PuntoReorden,1,0)</f>
        <v>1</v>
      </c>
      <c r="M245" s="9">
        <f>PrecioVenta*H245</f>
        <v>3400000</v>
      </c>
      <c r="N245" s="9">
        <f>CostoUnitario*E245</f>
        <v>0</v>
      </c>
      <c r="O245" s="9">
        <f>IF(E245&gt;0,CostoPedido,0)</f>
        <v>0</v>
      </c>
      <c r="P245" s="9">
        <f>CostoAlm*(F245+J245)/2</f>
        <v>360</v>
      </c>
      <c r="Q245" s="9">
        <f>CostoFijo*D245</f>
        <v>0</v>
      </c>
      <c r="R245" s="9">
        <f>M245-N245-O245-P245-Q245</f>
        <v>3399640</v>
      </c>
      <c r="S245" s="21">
        <f>PuntoReorden</f>
        <v>7</v>
      </c>
    </row>
    <row r="246">
      <c r="A246" s="5">
        <f>A245+1</f>
        <v>241</v>
      </c>
      <c r="B246" s="20">
        <f>B245+IF(WEEKDAY(B245,2)=6,2,1)</f>
        <v>46303</v>
      </c>
      <c r="C246" s="5">
        <f>MONTH(B246)</f>
        <v>10</v>
      </c>
      <c r="D246" s="5">
        <f>IF(C246&lt;&gt;C245,1,0)</f>
        <v>0</v>
      </c>
      <c r="E246" s="5">
        <f>IF(L245=1,CantPedido,0)</f>
        <v>15</v>
      </c>
      <c r="F246" s="5">
        <f>J245+E246</f>
        <v>17</v>
      </c>
      <c r="G246" s="5">
        <f>VLOOKUP(RAND(),TablaEmpirica,2,TRUE)</f>
        <v>5</v>
      </c>
      <c r="H246" s="5">
        <f>MIN(F246,G246)</f>
        <v>5</v>
      </c>
      <c r="I246" s="5">
        <f>G246-H246</f>
        <v>0</v>
      </c>
      <c r="J246" s="5">
        <f>F246-H246</f>
        <v>12</v>
      </c>
      <c r="K246" s="5">
        <f>IF(I246&gt;0,1,0)</f>
        <v>0</v>
      </c>
      <c r="L246" s="5">
        <f>IF(J246&lt;PuntoReorden,1,0)</f>
        <v>0</v>
      </c>
      <c r="M246" s="9">
        <f>PrecioVenta*H246</f>
        <v>3400000</v>
      </c>
      <c r="N246" s="9">
        <f>CostoUnitario*E246</f>
        <v>9000000</v>
      </c>
      <c r="O246" s="9">
        <f>IF(E246&gt;0,CostoPedido,0)</f>
        <v>40000</v>
      </c>
      <c r="P246" s="9">
        <f>CostoAlm*(F246+J246)/2</f>
        <v>1160</v>
      </c>
      <c r="Q246" s="9">
        <f>CostoFijo*D246</f>
        <v>0</v>
      </c>
      <c r="R246" s="9">
        <f>M246-N246-O246-P246-Q246</f>
        <v>-5641160</v>
      </c>
      <c r="S246" s="21">
        <f>PuntoReorden</f>
        <v>7</v>
      </c>
    </row>
    <row r="247">
      <c r="A247" s="5">
        <f>A246+1</f>
        <v>242</v>
      </c>
      <c r="B247" s="20">
        <f>B246+IF(WEEKDAY(B246,2)=6,2,1)</f>
        <v>46304</v>
      </c>
      <c r="C247" s="5">
        <f>MONTH(B247)</f>
        <v>10</v>
      </c>
      <c r="D247" s="5">
        <f>IF(C247&lt;&gt;C246,1,0)</f>
        <v>0</v>
      </c>
      <c r="E247" s="5">
        <f>IF(L246=1,CantPedido,0)</f>
        <v>0</v>
      </c>
      <c r="F247" s="5">
        <f>J246+E247</f>
        <v>12</v>
      </c>
      <c r="G247" s="5">
        <f>VLOOKUP(RAND(),TablaEmpirica,2,TRUE)</f>
        <v>3</v>
      </c>
      <c r="H247" s="5">
        <f>MIN(F247,G247)</f>
        <v>3</v>
      </c>
      <c r="I247" s="5">
        <f>G247-H247</f>
        <v>0</v>
      </c>
      <c r="J247" s="5">
        <f>F247-H247</f>
        <v>9</v>
      </c>
      <c r="K247" s="5">
        <f>IF(I247&gt;0,1,0)</f>
        <v>0</v>
      </c>
      <c r="L247" s="5">
        <f>IF(J247&lt;PuntoReorden,1,0)</f>
        <v>0</v>
      </c>
      <c r="M247" s="9">
        <f>PrecioVenta*H247</f>
        <v>2040000</v>
      </c>
      <c r="N247" s="9">
        <f>CostoUnitario*E247</f>
        <v>0</v>
      </c>
      <c r="O247" s="9">
        <f>IF(E247&gt;0,CostoPedido,0)</f>
        <v>0</v>
      </c>
      <c r="P247" s="9">
        <f>CostoAlm*(F247+J247)/2</f>
        <v>840</v>
      </c>
      <c r="Q247" s="9">
        <f>CostoFijo*D247</f>
        <v>0</v>
      </c>
      <c r="R247" s="9">
        <f>M247-N247-O247-P247-Q247</f>
        <v>2039160</v>
      </c>
      <c r="S247" s="21">
        <f>PuntoReorden</f>
        <v>7</v>
      </c>
    </row>
    <row r="248">
      <c r="A248" s="5">
        <f>A247+1</f>
        <v>243</v>
      </c>
      <c r="B248" s="20">
        <f>B247+IF(WEEKDAY(B247,2)=6,2,1)</f>
        <v>46305</v>
      </c>
      <c r="C248" s="5">
        <f>MONTH(B248)</f>
        <v>10</v>
      </c>
      <c r="D248" s="5">
        <f>IF(C248&lt;&gt;C247,1,0)</f>
        <v>0</v>
      </c>
      <c r="E248" s="5">
        <f>IF(L247=1,CantPedido,0)</f>
        <v>0</v>
      </c>
      <c r="F248" s="5">
        <f>J247+E248</f>
        <v>9</v>
      </c>
      <c r="G248" s="5">
        <f>VLOOKUP(RAND(),TablaEmpirica,2,TRUE)</f>
        <v>3</v>
      </c>
      <c r="H248" s="5">
        <f>MIN(F248,G248)</f>
        <v>3</v>
      </c>
      <c r="I248" s="5">
        <f>G248-H248</f>
        <v>0</v>
      </c>
      <c r="J248" s="5">
        <f>F248-H248</f>
        <v>6</v>
      </c>
      <c r="K248" s="5">
        <f>IF(I248&gt;0,1,0)</f>
        <v>0</v>
      </c>
      <c r="L248" s="5">
        <f>IF(J248&lt;PuntoReorden,1,0)</f>
        <v>1</v>
      </c>
      <c r="M248" s="9">
        <f>PrecioVenta*H248</f>
        <v>2040000</v>
      </c>
      <c r="N248" s="9">
        <f>CostoUnitario*E248</f>
        <v>0</v>
      </c>
      <c r="O248" s="9">
        <f>IF(E248&gt;0,CostoPedido,0)</f>
        <v>0</v>
      </c>
      <c r="P248" s="9">
        <f>CostoAlm*(F248+J248)/2</f>
        <v>600</v>
      </c>
      <c r="Q248" s="9">
        <f>CostoFijo*D248</f>
        <v>0</v>
      </c>
      <c r="R248" s="9">
        <f>M248-N248-O248-P248-Q248</f>
        <v>2039400</v>
      </c>
      <c r="S248" s="21">
        <f>PuntoReorden</f>
        <v>7</v>
      </c>
    </row>
    <row r="249">
      <c r="A249" s="5">
        <f>A248+1</f>
        <v>244</v>
      </c>
      <c r="B249" s="20">
        <f>B248+IF(WEEKDAY(B248,2)=6,2,1)</f>
        <v>46307</v>
      </c>
      <c r="C249" s="5">
        <f>MONTH(B249)</f>
        <v>10</v>
      </c>
      <c r="D249" s="5">
        <f>IF(C249&lt;&gt;C248,1,0)</f>
        <v>0</v>
      </c>
      <c r="E249" s="5">
        <f>IF(L248=1,CantPedido,0)</f>
        <v>15</v>
      </c>
      <c r="F249" s="5">
        <f>J248+E249</f>
        <v>21</v>
      </c>
      <c r="G249" s="5">
        <f>VLOOKUP(RAND(),TablaEmpirica,2,TRUE)</f>
        <v>7</v>
      </c>
      <c r="H249" s="5">
        <f>MIN(F249,G249)</f>
        <v>7</v>
      </c>
      <c r="I249" s="5">
        <f>G249-H249</f>
        <v>0</v>
      </c>
      <c r="J249" s="5">
        <f>F249-H249</f>
        <v>14</v>
      </c>
      <c r="K249" s="5">
        <f>IF(I249&gt;0,1,0)</f>
        <v>0</v>
      </c>
      <c r="L249" s="5">
        <f>IF(J249&lt;PuntoReorden,1,0)</f>
        <v>0</v>
      </c>
      <c r="M249" s="9">
        <f>PrecioVenta*H249</f>
        <v>4760000</v>
      </c>
      <c r="N249" s="9">
        <f>CostoUnitario*E249</f>
        <v>9000000</v>
      </c>
      <c r="O249" s="9">
        <f>IF(E249&gt;0,CostoPedido,0)</f>
        <v>40000</v>
      </c>
      <c r="P249" s="9">
        <f>CostoAlm*(F249+J249)/2</f>
        <v>1400</v>
      </c>
      <c r="Q249" s="9">
        <f>CostoFijo*D249</f>
        <v>0</v>
      </c>
      <c r="R249" s="9">
        <f>M249-N249-O249-P249-Q249</f>
        <v>-4281400</v>
      </c>
      <c r="S249" s="21">
        <f>PuntoReorden</f>
        <v>7</v>
      </c>
    </row>
    <row r="250">
      <c r="A250" s="5">
        <f>A249+1</f>
        <v>245</v>
      </c>
      <c r="B250" s="20">
        <f>B249+IF(WEEKDAY(B249,2)=6,2,1)</f>
        <v>46308</v>
      </c>
      <c r="C250" s="5">
        <f>MONTH(B250)</f>
        <v>10</v>
      </c>
      <c r="D250" s="5">
        <f>IF(C250&lt;&gt;C249,1,0)</f>
        <v>0</v>
      </c>
      <c r="E250" s="5">
        <f>IF(L249=1,CantPedido,0)</f>
        <v>0</v>
      </c>
      <c r="F250" s="5">
        <f>J249+E250</f>
        <v>14</v>
      </c>
      <c r="G250" s="5">
        <f>VLOOKUP(RAND(),TablaEmpirica,2,TRUE)</f>
        <v>3</v>
      </c>
      <c r="H250" s="5">
        <f>MIN(F250,G250)</f>
        <v>3</v>
      </c>
      <c r="I250" s="5">
        <f>G250-H250</f>
        <v>0</v>
      </c>
      <c r="J250" s="5">
        <f>F250-H250</f>
        <v>11</v>
      </c>
      <c r="K250" s="5">
        <f>IF(I250&gt;0,1,0)</f>
        <v>0</v>
      </c>
      <c r="L250" s="5">
        <f>IF(J250&lt;PuntoReorden,1,0)</f>
        <v>0</v>
      </c>
      <c r="M250" s="9">
        <f>PrecioVenta*H250</f>
        <v>2040000</v>
      </c>
      <c r="N250" s="9">
        <f>CostoUnitario*E250</f>
        <v>0</v>
      </c>
      <c r="O250" s="9">
        <f>IF(E250&gt;0,CostoPedido,0)</f>
        <v>0</v>
      </c>
      <c r="P250" s="9">
        <f>CostoAlm*(F250+J250)/2</f>
        <v>1000</v>
      </c>
      <c r="Q250" s="9">
        <f>CostoFijo*D250</f>
        <v>0</v>
      </c>
      <c r="R250" s="9">
        <f>M250-N250-O250-P250-Q250</f>
        <v>2039000</v>
      </c>
      <c r="S250" s="21">
        <f>PuntoReorden</f>
        <v>7</v>
      </c>
    </row>
    <row r="251">
      <c r="A251" s="5">
        <f>A250+1</f>
        <v>246</v>
      </c>
      <c r="B251" s="20">
        <f>B250+IF(WEEKDAY(B250,2)=6,2,1)</f>
        <v>46309</v>
      </c>
      <c r="C251" s="5">
        <f>MONTH(B251)</f>
        <v>10</v>
      </c>
      <c r="D251" s="5">
        <f>IF(C251&lt;&gt;C250,1,0)</f>
        <v>0</v>
      </c>
      <c r="E251" s="5">
        <f>IF(L250=1,CantPedido,0)</f>
        <v>0</v>
      </c>
      <c r="F251" s="5">
        <f>J250+E251</f>
        <v>11</v>
      </c>
      <c r="G251" s="5">
        <f>VLOOKUP(RAND(),TablaEmpirica,2,TRUE)</f>
        <v>3</v>
      </c>
      <c r="H251" s="5">
        <f>MIN(F251,G251)</f>
        <v>3</v>
      </c>
      <c r="I251" s="5">
        <f>G251-H251</f>
        <v>0</v>
      </c>
      <c r="J251" s="5">
        <f>F251-H251</f>
        <v>8</v>
      </c>
      <c r="K251" s="5">
        <f>IF(I251&gt;0,1,0)</f>
        <v>0</v>
      </c>
      <c r="L251" s="5">
        <f>IF(J251&lt;PuntoReorden,1,0)</f>
        <v>0</v>
      </c>
      <c r="M251" s="9">
        <f>PrecioVenta*H251</f>
        <v>2040000</v>
      </c>
      <c r="N251" s="9">
        <f>CostoUnitario*E251</f>
        <v>0</v>
      </c>
      <c r="O251" s="9">
        <f>IF(E251&gt;0,CostoPedido,0)</f>
        <v>0</v>
      </c>
      <c r="P251" s="9">
        <f>CostoAlm*(F251+J251)/2</f>
        <v>760</v>
      </c>
      <c r="Q251" s="9">
        <f>CostoFijo*D251</f>
        <v>0</v>
      </c>
      <c r="R251" s="9">
        <f>M251-N251-O251-P251-Q251</f>
        <v>2039240</v>
      </c>
      <c r="S251" s="21">
        <f>PuntoReorden</f>
        <v>7</v>
      </c>
    </row>
    <row r="252">
      <c r="A252" s="5">
        <f>A251+1</f>
        <v>247</v>
      </c>
      <c r="B252" s="20">
        <f>B251+IF(WEEKDAY(B251,2)=6,2,1)</f>
        <v>46310</v>
      </c>
      <c r="C252" s="5">
        <f>MONTH(B252)</f>
        <v>10</v>
      </c>
      <c r="D252" s="5">
        <f>IF(C252&lt;&gt;C251,1,0)</f>
        <v>0</v>
      </c>
      <c r="E252" s="5">
        <f>IF(L251=1,CantPedido,0)</f>
        <v>0</v>
      </c>
      <c r="F252" s="5">
        <f>J251+E252</f>
        <v>8</v>
      </c>
      <c r="G252" s="5">
        <f>VLOOKUP(RAND(),TablaEmpirica,2,TRUE)</f>
        <v>5</v>
      </c>
      <c r="H252" s="5">
        <f>MIN(F252,G252)</f>
        <v>5</v>
      </c>
      <c r="I252" s="5">
        <f>G252-H252</f>
        <v>0</v>
      </c>
      <c r="J252" s="5">
        <f>F252-H252</f>
        <v>3</v>
      </c>
      <c r="K252" s="5">
        <f>IF(I252&gt;0,1,0)</f>
        <v>0</v>
      </c>
      <c r="L252" s="5">
        <f>IF(J252&lt;PuntoReorden,1,0)</f>
        <v>1</v>
      </c>
      <c r="M252" s="9">
        <f>PrecioVenta*H252</f>
        <v>3400000</v>
      </c>
      <c r="N252" s="9">
        <f>CostoUnitario*E252</f>
        <v>0</v>
      </c>
      <c r="O252" s="9">
        <f>IF(E252&gt;0,CostoPedido,0)</f>
        <v>0</v>
      </c>
      <c r="P252" s="9">
        <f>CostoAlm*(F252+J252)/2</f>
        <v>440</v>
      </c>
      <c r="Q252" s="9">
        <f>CostoFijo*D252</f>
        <v>0</v>
      </c>
      <c r="R252" s="9">
        <f>M252-N252-O252-P252-Q252</f>
        <v>3399560</v>
      </c>
      <c r="S252" s="21">
        <f>PuntoReorden</f>
        <v>7</v>
      </c>
    </row>
    <row r="253">
      <c r="A253" s="5">
        <f>A252+1</f>
        <v>248</v>
      </c>
      <c r="B253" s="20">
        <f>B252+IF(WEEKDAY(B252,2)=6,2,1)</f>
        <v>46311</v>
      </c>
      <c r="C253" s="5">
        <f>MONTH(B253)</f>
        <v>10</v>
      </c>
      <c r="D253" s="5">
        <f>IF(C253&lt;&gt;C252,1,0)</f>
        <v>0</v>
      </c>
      <c r="E253" s="5">
        <f>IF(L252=1,CantPedido,0)</f>
        <v>15</v>
      </c>
      <c r="F253" s="5">
        <f>J252+E253</f>
        <v>18</v>
      </c>
      <c r="G253" s="5">
        <f>VLOOKUP(RAND(),TablaEmpirica,2,TRUE)</f>
        <v>4</v>
      </c>
      <c r="H253" s="5">
        <f>MIN(F253,G253)</f>
        <v>4</v>
      </c>
      <c r="I253" s="5">
        <f>G253-H253</f>
        <v>0</v>
      </c>
      <c r="J253" s="5">
        <f>F253-H253</f>
        <v>14</v>
      </c>
      <c r="K253" s="5">
        <f>IF(I253&gt;0,1,0)</f>
        <v>0</v>
      </c>
      <c r="L253" s="5">
        <f>IF(J253&lt;PuntoReorden,1,0)</f>
        <v>0</v>
      </c>
      <c r="M253" s="9">
        <f>PrecioVenta*H253</f>
        <v>2720000</v>
      </c>
      <c r="N253" s="9">
        <f>CostoUnitario*E253</f>
        <v>9000000</v>
      </c>
      <c r="O253" s="9">
        <f>IF(E253&gt;0,CostoPedido,0)</f>
        <v>40000</v>
      </c>
      <c r="P253" s="9">
        <f>CostoAlm*(F253+J253)/2</f>
        <v>1280</v>
      </c>
      <c r="Q253" s="9">
        <f>CostoFijo*D253</f>
        <v>0</v>
      </c>
      <c r="R253" s="9">
        <f>M253-N253-O253-P253-Q253</f>
        <v>-6321280</v>
      </c>
      <c r="S253" s="21">
        <f>PuntoReorden</f>
        <v>7</v>
      </c>
    </row>
    <row r="254">
      <c r="A254" s="5">
        <f>A253+1</f>
        <v>249</v>
      </c>
      <c r="B254" s="20">
        <f>B253+IF(WEEKDAY(B253,2)=6,2,1)</f>
        <v>46312</v>
      </c>
      <c r="C254" s="5">
        <f>MONTH(B254)</f>
        <v>10</v>
      </c>
      <c r="D254" s="5">
        <f>IF(C254&lt;&gt;C253,1,0)</f>
        <v>0</v>
      </c>
      <c r="E254" s="5">
        <f>IF(L253=1,CantPedido,0)</f>
        <v>0</v>
      </c>
      <c r="F254" s="5">
        <f>J253+E254</f>
        <v>14</v>
      </c>
      <c r="G254" s="5">
        <f>VLOOKUP(RAND(),TablaEmpirica,2,TRUE)</f>
        <v>5</v>
      </c>
      <c r="H254" s="5">
        <f>MIN(F254,G254)</f>
        <v>5</v>
      </c>
      <c r="I254" s="5">
        <f>G254-H254</f>
        <v>0</v>
      </c>
      <c r="J254" s="5">
        <f>F254-H254</f>
        <v>9</v>
      </c>
      <c r="K254" s="5">
        <f>IF(I254&gt;0,1,0)</f>
        <v>0</v>
      </c>
      <c r="L254" s="5">
        <f>IF(J254&lt;PuntoReorden,1,0)</f>
        <v>0</v>
      </c>
      <c r="M254" s="9">
        <f>PrecioVenta*H254</f>
        <v>3400000</v>
      </c>
      <c r="N254" s="9">
        <f>CostoUnitario*E254</f>
        <v>0</v>
      </c>
      <c r="O254" s="9">
        <f>IF(E254&gt;0,CostoPedido,0)</f>
        <v>0</v>
      </c>
      <c r="P254" s="9">
        <f>CostoAlm*(F254+J254)/2</f>
        <v>920</v>
      </c>
      <c r="Q254" s="9">
        <f>CostoFijo*D254</f>
        <v>0</v>
      </c>
      <c r="R254" s="9">
        <f>M254-N254-O254-P254-Q254</f>
        <v>3399080</v>
      </c>
      <c r="S254" s="21">
        <f>PuntoReorden</f>
        <v>7</v>
      </c>
    </row>
    <row r="255">
      <c r="A255" s="5">
        <f>A254+1</f>
        <v>250</v>
      </c>
      <c r="B255" s="20">
        <f>B254+IF(WEEKDAY(B254,2)=6,2,1)</f>
        <v>46314</v>
      </c>
      <c r="C255" s="5">
        <f>MONTH(B255)</f>
        <v>10</v>
      </c>
      <c r="D255" s="5">
        <f>IF(C255&lt;&gt;C254,1,0)</f>
        <v>0</v>
      </c>
      <c r="E255" s="5">
        <f>IF(L254=1,CantPedido,0)</f>
        <v>0</v>
      </c>
      <c r="F255" s="5">
        <f>J254+E255</f>
        <v>9</v>
      </c>
      <c r="G255" s="5">
        <f>VLOOKUP(RAND(),TablaEmpirica,2,TRUE)</f>
        <v>5</v>
      </c>
      <c r="H255" s="5">
        <f>MIN(F255,G255)</f>
        <v>5</v>
      </c>
      <c r="I255" s="5">
        <f>G255-H255</f>
        <v>0</v>
      </c>
      <c r="J255" s="5">
        <f>F255-H255</f>
        <v>4</v>
      </c>
      <c r="K255" s="5">
        <f>IF(I255&gt;0,1,0)</f>
        <v>0</v>
      </c>
      <c r="L255" s="5">
        <f>IF(J255&lt;PuntoReorden,1,0)</f>
        <v>1</v>
      </c>
      <c r="M255" s="9">
        <f>PrecioVenta*H255</f>
        <v>3400000</v>
      </c>
      <c r="N255" s="9">
        <f>CostoUnitario*E255</f>
        <v>0</v>
      </c>
      <c r="O255" s="9">
        <f>IF(E255&gt;0,CostoPedido,0)</f>
        <v>0</v>
      </c>
      <c r="P255" s="9">
        <f>CostoAlm*(F255+J255)/2</f>
        <v>520</v>
      </c>
      <c r="Q255" s="9">
        <f>CostoFijo*D255</f>
        <v>0</v>
      </c>
      <c r="R255" s="9">
        <f>M255-N255-O255-P255-Q255</f>
        <v>3399480</v>
      </c>
      <c r="S255" s="21">
        <f>PuntoReorden</f>
        <v>7</v>
      </c>
    </row>
    <row r="256">
      <c r="A256" s="5">
        <f>A255+1</f>
        <v>251</v>
      </c>
      <c r="B256" s="20">
        <f>B255+IF(WEEKDAY(B255,2)=6,2,1)</f>
        <v>46315</v>
      </c>
      <c r="C256" s="5">
        <f>MONTH(B256)</f>
        <v>10</v>
      </c>
      <c r="D256" s="5">
        <f>IF(C256&lt;&gt;C255,1,0)</f>
        <v>0</v>
      </c>
      <c r="E256" s="5">
        <f>IF(L255=1,CantPedido,0)</f>
        <v>15</v>
      </c>
      <c r="F256" s="5">
        <f>J255+E256</f>
        <v>19</v>
      </c>
      <c r="G256" s="5">
        <f>VLOOKUP(RAND(),TablaEmpirica,2,TRUE)</f>
        <v>6</v>
      </c>
      <c r="H256" s="5">
        <f>MIN(F256,G256)</f>
        <v>6</v>
      </c>
      <c r="I256" s="5">
        <f>G256-H256</f>
        <v>0</v>
      </c>
      <c r="J256" s="5">
        <f>F256-H256</f>
        <v>13</v>
      </c>
      <c r="K256" s="5">
        <f>IF(I256&gt;0,1,0)</f>
        <v>0</v>
      </c>
      <c r="L256" s="5">
        <f>IF(J256&lt;PuntoReorden,1,0)</f>
        <v>0</v>
      </c>
      <c r="M256" s="9">
        <f>PrecioVenta*H256</f>
        <v>4080000</v>
      </c>
      <c r="N256" s="9">
        <f>CostoUnitario*E256</f>
        <v>9000000</v>
      </c>
      <c r="O256" s="9">
        <f>IF(E256&gt;0,CostoPedido,0)</f>
        <v>40000</v>
      </c>
      <c r="P256" s="9">
        <f>CostoAlm*(F256+J256)/2</f>
        <v>1280</v>
      </c>
      <c r="Q256" s="9">
        <f>CostoFijo*D256</f>
        <v>0</v>
      </c>
      <c r="R256" s="9">
        <f>M256-N256-O256-P256-Q256</f>
        <v>-4961280</v>
      </c>
      <c r="S256" s="21">
        <f>PuntoReorden</f>
        <v>7</v>
      </c>
    </row>
    <row r="257">
      <c r="A257" s="5">
        <f>A256+1</f>
        <v>252</v>
      </c>
      <c r="B257" s="20">
        <f>B256+IF(WEEKDAY(B256,2)=6,2,1)</f>
        <v>46316</v>
      </c>
      <c r="C257" s="5">
        <f>MONTH(B257)</f>
        <v>10</v>
      </c>
      <c r="D257" s="5">
        <f>IF(C257&lt;&gt;C256,1,0)</f>
        <v>0</v>
      </c>
      <c r="E257" s="5">
        <f>IF(L256=1,CantPedido,0)</f>
        <v>0</v>
      </c>
      <c r="F257" s="5">
        <f>J256+E257</f>
        <v>13</v>
      </c>
      <c r="G257" s="5">
        <f>VLOOKUP(RAND(),TablaEmpirica,2,TRUE)</f>
        <v>5</v>
      </c>
      <c r="H257" s="5">
        <f>MIN(F257,G257)</f>
        <v>5</v>
      </c>
      <c r="I257" s="5">
        <f>G257-H257</f>
        <v>0</v>
      </c>
      <c r="J257" s="5">
        <f>F257-H257</f>
        <v>8</v>
      </c>
      <c r="K257" s="5">
        <f>IF(I257&gt;0,1,0)</f>
        <v>0</v>
      </c>
      <c r="L257" s="5">
        <f>IF(J257&lt;PuntoReorden,1,0)</f>
        <v>0</v>
      </c>
      <c r="M257" s="9">
        <f>PrecioVenta*H257</f>
        <v>3400000</v>
      </c>
      <c r="N257" s="9">
        <f>CostoUnitario*E257</f>
        <v>0</v>
      </c>
      <c r="O257" s="9">
        <f>IF(E257&gt;0,CostoPedido,0)</f>
        <v>0</v>
      </c>
      <c r="P257" s="9">
        <f>CostoAlm*(F257+J257)/2</f>
        <v>840</v>
      </c>
      <c r="Q257" s="9">
        <f>CostoFijo*D257</f>
        <v>0</v>
      </c>
      <c r="R257" s="9">
        <f>M257-N257-O257-P257-Q257</f>
        <v>3399160</v>
      </c>
      <c r="S257" s="21">
        <f>PuntoReorden</f>
        <v>7</v>
      </c>
    </row>
    <row r="258">
      <c r="A258" s="5">
        <f>A257+1</f>
        <v>253</v>
      </c>
      <c r="B258" s="20">
        <f>B257+IF(WEEKDAY(B257,2)=6,2,1)</f>
        <v>46317</v>
      </c>
      <c r="C258" s="5">
        <f>MONTH(B258)</f>
        <v>10</v>
      </c>
      <c r="D258" s="5">
        <f>IF(C258&lt;&gt;C257,1,0)</f>
        <v>0</v>
      </c>
      <c r="E258" s="5">
        <f>IF(L257=1,CantPedido,0)</f>
        <v>0</v>
      </c>
      <c r="F258" s="5">
        <f>J257+E258</f>
        <v>8</v>
      </c>
      <c r="G258" s="5">
        <f>VLOOKUP(RAND(),TablaEmpirica,2,TRUE)</f>
        <v>6</v>
      </c>
      <c r="H258" s="5">
        <f>MIN(F258,G258)</f>
        <v>6</v>
      </c>
      <c r="I258" s="5">
        <f>G258-H258</f>
        <v>0</v>
      </c>
      <c r="J258" s="5">
        <f>F258-H258</f>
        <v>2</v>
      </c>
      <c r="K258" s="5">
        <f>IF(I258&gt;0,1,0)</f>
        <v>0</v>
      </c>
      <c r="L258" s="5">
        <f>IF(J258&lt;PuntoReorden,1,0)</f>
        <v>1</v>
      </c>
      <c r="M258" s="9">
        <f>PrecioVenta*H258</f>
        <v>4080000</v>
      </c>
      <c r="N258" s="9">
        <f>CostoUnitario*E258</f>
        <v>0</v>
      </c>
      <c r="O258" s="9">
        <f>IF(E258&gt;0,CostoPedido,0)</f>
        <v>0</v>
      </c>
      <c r="P258" s="9">
        <f>CostoAlm*(F258+J258)/2</f>
        <v>400</v>
      </c>
      <c r="Q258" s="9">
        <f>CostoFijo*D258</f>
        <v>0</v>
      </c>
      <c r="R258" s="9">
        <f>M258-N258-O258-P258-Q258</f>
        <v>4079600</v>
      </c>
      <c r="S258" s="21">
        <f>PuntoReorden</f>
        <v>7</v>
      </c>
    </row>
    <row r="259">
      <c r="A259" s="5">
        <f>A258+1</f>
        <v>254</v>
      </c>
      <c r="B259" s="20">
        <f>B258+IF(WEEKDAY(B258,2)=6,2,1)</f>
        <v>46318</v>
      </c>
      <c r="C259" s="5">
        <f>MONTH(B259)</f>
        <v>10</v>
      </c>
      <c r="D259" s="5">
        <f>IF(C259&lt;&gt;C258,1,0)</f>
        <v>0</v>
      </c>
      <c r="E259" s="5">
        <f>IF(L258=1,CantPedido,0)</f>
        <v>15</v>
      </c>
      <c r="F259" s="5">
        <f>J258+E259</f>
        <v>17</v>
      </c>
      <c r="G259" s="5">
        <f>VLOOKUP(RAND(),TablaEmpirica,2,TRUE)</f>
        <v>3</v>
      </c>
      <c r="H259" s="5">
        <f>MIN(F259,G259)</f>
        <v>3</v>
      </c>
      <c r="I259" s="5">
        <f>G259-H259</f>
        <v>0</v>
      </c>
      <c r="J259" s="5">
        <f>F259-H259</f>
        <v>14</v>
      </c>
      <c r="K259" s="5">
        <f>IF(I259&gt;0,1,0)</f>
        <v>0</v>
      </c>
      <c r="L259" s="5">
        <f>IF(J259&lt;PuntoReorden,1,0)</f>
        <v>0</v>
      </c>
      <c r="M259" s="9">
        <f>PrecioVenta*H259</f>
        <v>2040000</v>
      </c>
      <c r="N259" s="9">
        <f>CostoUnitario*E259</f>
        <v>9000000</v>
      </c>
      <c r="O259" s="9">
        <f>IF(E259&gt;0,CostoPedido,0)</f>
        <v>40000</v>
      </c>
      <c r="P259" s="9">
        <f>CostoAlm*(F259+J259)/2</f>
        <v>1240</v>
      </c>
      <c r="Q259" s="9">
        <f>CostoFijo*D259</f>
        <v>0</v>
      </c>
      <c r="R259" s="9">
        <f>M259-N259-O259-P259-Q259</f>
        <v>-7001240</v>
      </c>
      <c r="S259" s="21">
        <f>PuntoReorden</f>
        <v>7</v>
      </c>
    </row>
    <row r="260">
      <c r="A260" s="5">
        <f>A259+1</f>
        <v>255</v>
      </c>
      <c r="B260" s="20">
        <f>B259+IF(WEEKDAY(B259,2)=6,2,1)</f>
        <v>46319</v>
      </c>
      <c r="C260" s="5">
        <f>MONTH(B260)</f>
        <v>10</v>
      </c>
      <c r="D260" s="5">
        <f>IF(C260&lt;&gt;C259,1,0)</f>
        <v>0</v>
      </c>
      <c r="E260" s="5">
        <f>IF(L259=1,CantPedido,0)</f>
        <v>0</v>
      </c>
      <c r="F260" s="5">
        <f>J259+E260</f>
        <v>14</v>
      </c>
      <c r="G260" s="5">
        <f>VLOOKUP(RAND(),TablaEmpirica,2,TRUE)</f>
        <v>6</v>
      </c>
      <c r="H260" s="5">
        <f>MIN(F260,G260)</f>
        <v>6</v>
      </c>
      <c r="I260" s="5">
        <f>G260-H260</f>
        <v>0</v>
      </c>
      <c r="J260" s="5">
        <f>F260-H260</f>
        <v>8</v>
      </c>
      <c r="K260" s="5">
        <f>IF(I260&gt;0,1,0)</f>
        <v>0</v>
      </c>
      <c r="L260" s="5">
        <f>IF(J260&lt;PuntoReorden,1,0)</f>
        <v>0</v>
      </c>
      <c r="M260" s="9">
        <f>PrecioVenta*H260</f>
        <v>4080000</v>
      </c>
      <c r="N260" s="9">
        <f>CostoUnitario*E260</f>
        <v>0</v>
      </c>
      <c r="O260" s="9">
        <f>IF(E260&gt;0,CostoPedido,0)</f>
        <v>0</v>
      </c>
      <c r="P260" s="9">
        <f>CostoAlm*(F260+J260)/2</f>
        <v>880</v>
      </c>
      <c r="Q260" s="9">
        <f>CostoFijo*D260</f>
        <v>0</v>
      </c>
      <c r="R260" s="9">
        <f>M260-N260-O260-P260-Q260</f>
        <v>4079120</v>
      </c>
      <c r="S260" s="21">
        <f>PuntoReorden</f>
        <v>7</v>
      </c>
    </row>
    <row r="261">
      <c r="A261" s="5">
        <f>A260+1</f>
        <v>256</v>
      </c>
      <c r="B261" s="20">
        <f>B260+IF(WEEKDAY(B260,2)=6,2,1)</f>
        <v>46321</v>
      </c>
      <c r="C261" s="5">
        <f>MONTH(B261)</f>
        <v>10</v>
      </c>
      <c r="D261" s="5">
        <f>IF(C261&lt;&gt;C260,1,0)</f>
        <v>0</v>
      </c>
      <c r="E261" s="5">
        <f>IF(L260=1,CantPedido,0)</f>
        <v>0</v>
      </c>
      <c r="F261" s="5">
        <f>J260+E261</f>
        <v>8</v>
      </c>
      <c r="G261" s="5">
        <f>VLOOKUP(RAND(),TablaEmpirica,2,TRUE)</f>
        <v>3</v>
      </c>
      <c r="H261" s="5">
        <f>MIN(F261,G261)</f>
        <v>3</v>
      </c>
      <c r="I261" s="5">
        <f>G261-H261</f>
        <v>0</v>
      </c>
      <c r="J261" s="5">
        <f>F261-H261</f>
        <v>5</v>
      </c>
      <c r="K261" s="5">
        <f>IF(I261&gt;0,1,0)</f>
        <v>0</v>
      </c>
      <c r="L261" s="5">
        <f>IF(J261&lt;PuntoReorden,1,0)</f>
        <v>1</v>
      </c>
      <c r="M261" s="9">
        <f>PrecioVenta*H261</f>
        <v>2040000</v>
      </c>
      <c r="N261" s="9">
        <f>CostoUnitario*E261</f>
        <v>0</v>
      </c>
      <c r="O261" s="9">
        <f>IF(E261&gt;0,CostoPedido,0)</f>
        <v>0</v>
      </c>
      <c r="P261" s="9">
        <f>CostoAlm*(F261+J261)/2</f>
        <v>520</v>
      </c>
      <c r="Q261" s="9">
        <f>CostoFijo*D261</f>
        <v>0</v>
      </c>
      <c r="R261" s="9">
        <f>M261-N261-O261-P261-Q261</f>
        <v>2039480</v>
      </c>
      <c r="S261" s="21">
        <f>PuntoReorden</f>
        <v>7</v>
      </c>
    </row>
    <row r="262">
      <c r="A262" s="5">
        <f>A261+1</f>
        <v>257</v>
      </c>
      <c r="B262" s="20">
        <f>B261+IF(WEEKDAY(B261,2)=6,2,1)</f>
        <v>46322</v>
      </c>
      <c r="C262" s="5">
        <f>MONTH(B262)</f>
        <v>10</v>
      </c>
      <c r="D262" s="5">
        <f>IF(C262&lt;&gt;C261,1,0)</f>
        <v>0</v>
      </c>
      <c r="E262" s="5">
        <f>IF(L261=1,CantPedido,0)</f>
        <v>15</v>
      </c>
      <c r="F262" s="5">
        <f>J261+E262</f>
        <v>20</v>
      </c>
      <c r="G262" s="5">
        <f>VLOOKUP(RAND(),TablaEmpirica,2,TRUE)</f>
        <v>5</v>
      </c>
      <c r="H262" s="5">
        <f>MIN(F262,G262)</f>
        <v>5</v>
      </c>
      <c r="I262" s="5">
        <f>G262-H262</f>
        <v>0</v>
      </c>
      <c r="J262" s="5">
        <f>F262-H262</f>
        <v>15</v>
      </c>
      <c r="K262" s="5">
        <f>IF(I262&gt;0,1,0)</f>
        <v>0</v>
      </c>
      <c r="L262" s="5">
        <f>IF(J262&lt;PuntoReorden,1,0)</f>
        <v>0</v>
      </c>
      <c r="M262" s="9">
        <f>PrecioVenta*H262</f>
        <v>3400000</v>
      </c>
      <c r="N262" s="9">
        <f>CostoUnitario*E262</f>
        <v>9000000</v>
      </c>
      <c r="O262" s="9">
        <f>IF(E262&gt;0,CostoPedido,0)</f>
        <v>40000</v>
      </c>
      <c r="P262" s="9">
        <f>CostoAlm*(F262+J262)/2</f>
        <v>1400</v>
      </c>
      <c r="Q262" s="9">
        <f>CostoFijo*D262</f>
        <v>0</v>
      </c>
      <c r="R262" s="9">
        <f>M262-N262-O262-P262-Q262</f>
        <v>-5641400</v>
      </c>
      <c r="S262" s="21">
        <f>PuntoReorden</f>
        <v>7</v>
      </c>
    </row>
    <row r="263">
      <c r="A263" s="5">
        <f>A262+1</f>
        <v>258</v>
      </c>
      <c r="B263" s="20">
        <f>B262+IF(WEEKDAY(B262,2)=6,2,1)</f>
        <v>46323</v>
      </c>
      <c r="C263" s="5">
        <f>MONTH(B263)</f>
        <v>10</v>
      </c>
      <c r="D263" s="5">
        <f>IF(C263&lt;&gt;C262,1,0)</f>
        <v>0</v>
      </c>
      <c r="E263" s="5">
        <f>IF(L262=1,CantPedido,0)</f>
        <v>0</v>
      </c>
      <c r="F263" s="5">
        <f>J262+E263</f>
        <v>15</v>
      </c>
      <c r="G263" s="5">
        <f>VLOOKUP(RAND(),TablaEmpirica,2,TRUE)</f>
        <v>5</v>
      </c>
      <c r="H263" s="5">
        <f>MIN(F263,G263)</f>
        <v>5</v>
      </c>
      <c r="I263" s="5">
        <f>G263-H263</f>
        <v>0</v>
      </c>
      <c r="J263" s="5">
        <f>F263-H263</f>
        <v>10</v>
      </c>
      <c r="K263" s="5">
        <f>IF(I263&gt;0,1,0)</f>
        <v>0</v>
      </c>
      <c r="L263" s="5">
        <f>IF(J263&lt;PuntoReorden,1,0)</f>
        <v>0</v>
      </c>
      <c r="M263" s="9">
        <f>PrecioVenta*H263</f>
        <v>3400000</v>
      </c>
      <c r="N263" s="9">
        <f>CostoUnitario*E263</f>
        <v>0</v>
      </c>
      <c r="O263" s="9">
        <f>IF(E263&gt;0,CostoPedido,0)</f>
        <v>0</v>
      </c>
      <c r="P263" s="9">
        <f>CostoAlm*(F263+J263)/2</f>
        <v>1000</v>
      </c>
      <c r="Q263" s="9">
        <f>CostoFijo*D263</f>
        <v>0</v>
      </c>
      <c r="R263" s="9">
        <f>M263-N263-O263-P263-Q263</f>
        <v>3399000</v>
      </c>
      <c r="S263" s="21">
        <f>PuntoReorden</f>
        <v>7</v>
      </c>
    </row>
    <row r="264">
      <c r="A264" s="5">
        <f>A263+1</f>
        <v>259</v>
      </c>
      <c r="B264" s="20">
        <f>B263+IF(WEEKDAY(B263,2)=6,2,1)</f>
        <v>46324</v>
      </c>
      <c r="C264" s="5">
        <f>MONTH(B264)</f>
        <v>10</v>
      </c>
      <c r="D264" s="5">
        <f>IF(C264&lt;&gt;C263,1,0)</f>
        <v>0</v>
      </c>
      <c r="E264" s="5">
        <f>IF(L263=1,CantPedido,0)</f>
        <v>0</v>
      </c>
      <c r="F264" s="5">
        <f>J263+E264</f>
        <v>10</v>
      </c>
      <c r="G264" s="5">
        <f>VLOOKUP(RAND(),TablaEmpirica,2,TRUE)</f>
        <v>5</v>
      </c>
      <c r="H264" s="5">
        <f>MIN(F264,G264)</f>
        <v>5</v>
      </c>
      <c r="I264" s="5">
        <f>G264-H264</f>
        <v>0</v>
      </c>
      <c r="J264" s="5">
        <f>F264-H264</f>
        <v>5</v>
      </c>
      <c r="K264" s="5">
        <f>IF(I264&gt;0,1,0)</f>
        <v>0</v>
      </c>
      <c r="L264" s="5">
        <f>IF(J264&lt;PuntoReorden,1,0)</f>
        <v>1</v>
      </c>
      <c r="M264" s="9">
        <f>PrecioVenta*H264</f>
        <v>3400000</v>
      </c>
      <c r="N264" s="9">
        <f>CostoUnitario*E264</f>
        <v>0</v>
      </c>
      <c r="O264" s="9">
        <f>IF(E264&gt;0,CostoPedido,0)</f>
        <v>0</v>
      </c>
      <c r="P264" s="9">
        <f>CostoAlm*(F264+J264)/2</f>
        <v>600</v>
      </c>
      <c r="Q264" s="9">
        <f>CostoFijo*D264</f>
        <v>0</v>
      </c>
      <c r="R264" s="9">
        <f>M264-N264-O264-P264-Q264</f>
        <v>3399400</v>
      </c>
      <c r="S264" s="21">
        <f>PuntoReorden</f>
        <v>7</v>
      </c>
    </row>
    <row r="265">
      <c r="A265" s="5">
        <f>A264+1</f>
        <v>260</v>
      </c>
      <c r="B265" s="20">
        <f>B264+IF(WEEKDAY(B264,2)=6,2,1)</f>
        <v>46325</v>
      </c>
      <c r="C265" s="5">
        <f>MONTH(B265)</f>
        <v>10</v>
      </c>
      <c r="D265" s="5">
        <f>IF(C265&lt;&gt;C264,1,0)</f>
        <v>0</v>
      </c>
      <c r="E265" s="5">
        <f>IF(L264=1,CantPedido,0)</f>
        <v>15</v>
      </c>
      <c r="F265" s="5">
        <f>J264+E265</f>
        <v>20</v>
      </c>
      <c r="G265" s="5">
        <f>VLOOKUP(RAND(),TablaEmpirica,2,TRUE)</f>
        <v>6</v>
      </c>
      <c r="H265" s="5">
        <f>MIN(F265,G265)</f>
        <v>6</v>
      </c>
      <c r="I265" s="5">
        <f>G265-H265</f>
        <v>0</v>
      </c>
      <c r="J265" s="5">
        <f>F265-H265</f>
        <v>14</v>
      </c>
      <c r="K265" s="5">
        <f>IF(I265&gt;0,1,0)</f>
        <v>0</v>
      </c>
      <c r="L265" s="5">
        <f>IF(J265&lt;PuntoReorden,1,0)</f>
        <v>0</v>
      </c>
      <c r="M265" s="9">
        <f>PrecioVenta*H265</f>
        <v>4080000</v>
      </c>
      <c r="N265" s="9">
        <f>CostoUnitario*E265</f>
        <v>9000000</v>
      </c>
      <c r="O265" s="9">
        <f>IF(E265&gt;0,CostoPedido,0)</f>
        <v>40000</v>
      </c>
      <c r="P265" s="9">
        <f>CostoAlm*(F265+J265)/2</f>
        <v>1360</v>
      </c>
      <c r="Q265" s="9">
        <f>CostoFijo*D265</f>
        <v>0</v>
      </c>
      <c r="R265" s="9">
        <f>M265-N265-O265-P265-Q265</f>
        <v>-4961360</v>
      </c>
      <c r="S265" s="21">
        <f>PuntoReorden</f>
        <v>7</v>
      </c>
    </row>
    <row r="266">
      <c r="A266" s="5">
        <f>A265+1</f>
        <v>261</v>
      </c>
      <c r="B266" s="20">
        <f>B265+IF(WEEKDAY(B265,2)=6,2,1)</f>
        <v>46326</v>
      </c>
      <c r="C266" s="5">
        <f>MONTH(B266)</f>
        <v>10</v>
      </c>
      <c r="D266" s="5">
        <f>IF(C266&lt;&gt;C265,1,0)</f>
        <v>0</v>
      </c>
      <c r="E266" s="5">
        <f>IF(L265=1,CantPedido,0)</f>
        <v>0</v>
      </c>
      <c r="F266" s="5">
        <f>J265+E266</f>
        <v>14</v>
      </c>
      <c r="G266" s="5">
        <f>VLOOKUP(RAND(),TablaEmpirica,2,TRUE)</f>
        <v>5</v>
      </c>
      <c r="H266" s="5">
        <f>MIN(F266,G266)</f>
        <v>5</v>
      </c>
      <c r="I266" s="5">
        <f>G266-H266</f>
        <v>0</v>
      </c>
      <c r="J266" s="5">
        <f>F266-H266</f>
        <v>9</v>
      </c>
      <c r="K266" s="5">
        <f>IF(I266&gt;0,1,0)</f>
        <v>0</v>
      </c>
      <c r="L266" s="5">
        <f>IF(J266&lt;PuntoReorden,1,0)</f>
        <v>0</v>
      </c>
      <c r="M266" s="9">
        <f>PrecioVenta*H266</f>
        <v>3400000</v>
      </c>
      <c r="N266" s="9">
        <f>CostoUnitario*E266</f>
        <v>0</v>
      </c>
      <c r="O266" s="9">
        <f>IF(E266&gt;0,CostoPedido,0)</f>
        <v>0</v>
      </c>
      <c r="P266" s="9">
        <f>CostoAlm*(F266+J266)/2</f>
        <v>920</v>
      </c>
      <c r="Q266" s="9">
        <f>CostoFijo*D266</f>
        <v>0</v>
      </c>
      <c r="R266" s="9">
        <f>M266-N266-O266-P266-Q266</f>
        <v>3399080</v>
      </c>
      <c r="S266" s="21">
        <f>PuntoReorden</f>
        <v>7</v>
      </c>
    </row>
    <row r="267">
      <c r="A267" s="5">
        <f>A266+1</f>
        <v>262</v>
      </c>
      <c r="B267" s="20">
        <f>B266+IF(WEEKDAY(B266,2)=6,2,1)</f>
        <v>46328</v>
      </c>
      <c r="C267" s="5">
        <f>MONTH(B267)</f>
        <v>11</v>
      </c>
      <c r="D267" s="5">
        <f>IF(C267&lt;&gt;C266,1,0)</f>
        <v>1</v>
      </c>
      <c r="E267" s="5">
        <f>IF(L266=1,CantPedido,0)</f>
        <v>0</v>
      </c>
      <c r="F267" s="5">
        <f>J266+E267</f>
        <v>9</v>
      </c>
      <c r="G267" s="5">
        <f>VLOOKUP(RAND(),TablaEmpirica,2,TRUE)</f>
        <v>3</v>
      </c>
      <c r="H267" s="5">
        <f>MIN(F267,G267)</f>
        <v>3</v>
      </c>
      <c r="I267" s="5">
        <f>G267-H267</f>
        <v>0</v>
      </c>
      <c r="J267" s="5">
        <f>F267-H267</f>
        <v>6</v>
      </c>
      <c r="K267" s="5">
        <f>IF(I267&gt;0,1,0)</f>
        <v>0</v>
      </c>
      <c r="L267" s="5">
        <f>IF(J267&lt;PuntoReorden,1,0)</f>
        <v>1</v>
      </c>
      <c r="M267" s="9">
        <f>PrecioVenta*H267</f>
        <v>2040000</v>
      </c>
      <c r="N267" s="9">
        <f>CostoUnitario*E267</f>
        <v>0</v>
      </c>
      <c r="O267" s="9">
        <f>IF(E267&gt;0,CostoPedido,0)</f>
        <v>0</v>
      </c>
      <c r="P267" s="9">
        <f>CostoAlm*(F267+J267)/2</f>
        <v>600</v>
      </c>
      <c r="Q267" s="9">
        <f>CostoFijo*D267</f>
        <v>1000000</v>
      </c>
      <c r="R267" s="9">
        <f>M267-N267-O267-P267-Q267</f>
        <v>1039400</v>
      </c>
      <c r="S267" s="21">
        <f>PuntoReorden</f>
        <v>7</v>
      </c>
    </row>
    <row r="268">
      <c r="A268" s="5">
        <f>A267+1</f>
        <v>263</v>
      </c>
      <c r="B268" s="20">
        <f>B267+IF(WEEKDAY(B267,2)=6,2,1)</f>
        <v>46329</v>
      </c>
      <c r="C268" s="5">
        <f>MONTH(B268)</f>
        <v>11</v>
      </c>
      <c r="D268" s="5">
        <f>IF(C268&lt;&gt;C267,1,0)</f>
        <v>0</v>
      </c>
      <c r="E268" s="5">
        <f>IF(L267=1,CantPedido,0)</f>
        <v>15</v>
      </c>
      <c r="F268" s="5">
        <f>J267+E268</f>
        <v>21</v>
      </c>
      <c r="G268" s="5">
        <f>VLOOKUP(RAND(),TablaEmpirica,2,TRUE)</f>
        <v>3</v>
      </c>
      <c r="H268" s="5">
        <f>MIN(F268,G268)</f>
        <v>3</v>
      </c>
      <c r="I268" s="5">
        <f>G268-H268</f>
        <v>0</v>
      </c>
      <c r="J268" s="5">
        <f>F268-H268</f>
        <v>18</v>
      </c>
      <c r="K268" s="5">
        <f>IF(I268&gt;0,1,0)</f>
        <v>0</v>
      </c>
      <c r="L268" s="5">
        <f>IF(J268&lt;PuntoReorden,1,0)</f>
        <v>0</v>
      </c>
      <c r="M268" s="9">
        <f>PrecioVenta*H268</f>
        <v>2040000</v>
      </c>
      <c r="N268" s="9">
        <f>CostoUnitario*E268</f>
        <v>9000000</v>
      </c>
      <c r="O268" s="9">
        <f>IF(E268&gt;0,CostoPedido,0)</f>
        <v>40000</v>
      </c>
      <c r="P268" s="9">
        <f>CostoAlm*(F268+J268)/2</f>
        <v>1560</v>
      </c>
      <c r="Q268" s="9">
        <f>CostoFijo*D268</f>
        <v>0</v>
      </c>
      <c r="R268" s="9">
        <f>M268-N268-O268-P268-Q268</f>
        <v>-7001560</v>
      </c>
      <c r="S268" s="21">
        <f>PuntoReorden</f>
        <v>7</v>
      </c>
    </row>
    <row r="269">
      <c r="A269" s="5">
        <f>A268+1</f>
        <v>264</v>
      </c>
      <c r="B269" s="20">
        <f>B268+IF(WEEKDAY(B268,2)=6,2,1)</f>
        <v>46330</v>
      </c>
      <c r="C269" s="5">
        <f>MONTH(B269)</f>
        <v>11</v>
      </c>
      <c r="D269" s="5">
        <f>IF(C269&lt;&gt;C268,1,0)</f>
        <v>0</v>
      </c>
      <c r="E269" s="5">
        <f>IF(L268=1,CantPedido,0)</f>
        <v>0</v>
      </c>
      <c r="F269" s="5">
        <f>J268+E269</f>
        <v>18</v>
      </c>
      <c r="G269" s="5">
        <f>VLOOKUP(RAND(),TablaEmpirica,2,TRUE)</f>
        <v>5</v>
      </c>
      <c r="H269" s="5">
        <f>MIN(F269,G269)</f>
        <v>5</v>
      </c>
      <c r="I269" s="5">
        <f>G269-H269</f>
        <v>0</v>
      </c>
      <c r="J269" s="5">
        <f>F269-H269</f>
        <v>13</v>
      </c>
      <c r="K269" s="5">
        <f>IF(I269&gt;0,1,0)</f>
        <v>0</v>
      </c>
      <c r="L269" s="5">
        <f>IF(J269&lt;PuntoReorden,1,0)</f>
        <v>0</v>
      </c>
      <c r="M269" s="9">
        <f>PrecioVenta*H269</f>
        <v>3400000</v>
      </c>
      <c r="N269" s="9">
        <f>CostoUnitario*E269</f>
        <v>0</v>
      </c>
      <c r="O269" s="9">
        <f>IF(E269&gt;0,CostoPedido,0)</f>
        <v>0</v>
      </c>
      <c r="P269" s="9">
        <f>CostoAlm*(F269+J269)/2</f>
        <v>1240</v>
      </c>
      <c r="Q269" s="9">
        <f>CostoFijo*D269</f>
        <v>0</v>
      </c>
      <c r="R269" s="9">
        <f>M269-N269-O269-P269-Q269</f>
        <v>3398760</v>
      </c>
      <c r="S269" s="21">
        <f>PuntoReorden</f>
        <v>7</v>
      </c>
    </row>
    <row r="270">
      <c r="A270" s="5">
        <f>A269+1</f>
        <v>265</v>
      </c>
      <c r="B270" s="20">
        <f>B269+IF(WEEKDAY(B269,2)=6,2,1)</f>
        <v>46331</v>
      </c>
      <c r="C270" s="5">
        <f>MONTH(B270)</f>
        <v>11</v>
      </c>
      <c r="D270" s="5">
        <f>IF(C270&lt;&gt;C269,1,0)</f>
        <v>0</v>
      </c>
      <c r="E270" s="5">
        <f>IF(L269=1,CantPedido,0)</f>
        <v>0</v>
      </c>
      <c r="F270" s="5">
        <f>J269+E270</f>
        <v>13</v>
      </c>
      <c r="G270" s="5">
        <f>VLOOKUP(RAND(),TablaEmpirica,2,TRUE)</f>
        <v>6</v>
      </c>
      <c r="H270" s="5">
        <f>MIN(F270,G270)</f>
        <v>6</v>
      </c>
      <c r="I270" s="5">
        <f>G270-H270</f>
        <v>0</v>
      </c>
      <c r="J270" s="5">
        <f>F270-H270</f>
        <v>7</v>
      </c>
      <c r="K270" s="5">
        <f>IF(I270&gt;0,1,0)</f>
        <v>0</v>
      </c>
      <c r="L270" s="5">
        <f>IF(J270&lt;PuntoReorden,1,0)</f>
        <v>0</v>
      </c>
      <c r="M270" s="9">
        <f>PrecioVenta*H270</f>
        <v>4080000</v>
      </c>
      <c r="N270" s="9">
        <f>CostoUnitario*E270</f>
        <v>0</v>
      </c>
      <c r="O270" s="9">
        <f>IF(E270&gt;0,CostoPedido,0)</f>
        <v>0</v>
      </c>
      <c r="P270" s="9">
        <f>CostoAlm*(F270+J270)/2</f>
        <v>800</v>
      </c>
      <c r="Q270" s="9">
        <f>CostoFijo*D270</f>
        <v>0</v>
      </c>
      <c r="R270" s="9">
        <f>M270-N270-O270-P270-Q270</f>
        <v>4079200</v>
      </c>
      <c r="S270" s="21">
        <f>PuntoReorden</f>
        <v>7</v>
      </c>
    </row>
    <row r="271">
      <c r="A271" s="5">
        <f>A270+1</f>
        <v>266</v>
      </c>
      <c r="B271" s="20">
        <f>B270+IF(WEEKDAY(B270,2)=6,2,1)</f>
        <v>46332</v>
      </c>
      <c r="C271" s="5">
        <f>MONTH(B271)</f>
        <v>11</v>
      </c>
      <c r="D271" s="5">
        <f>IF(C271&lt;&gt;C270,1,0)</f>
        <v>0</v>
      </c>
      <c r="E271" s="5">
        <f>IF(L270=1,CantPedido,0)</f>
        <v>0</v>
      </c>
      <c r="F271" s="5">
        <f>J270+E271</f>
        <v>7</v>
      </c>
      <c r="G271" s="5">
        <f>VLOOKUP(RAND(),TablaEmpirica,2,TRUE)</f>
        <v>6</v>
      </c>
      <c r="H271" s="5">
        <f>MIN(F271,G271)</f>
        <v>6</v>
      </c>
      <c r="I271" s="5">
        <f>G271-H271</f>
        <v>0</v>
      </c>
      <c r="J271" s="5">
        <f>F271-H271</f>
        <v>1</v>
      </c>
      <c r="K271" s="5">
        <f>IF(I271&gt;0,1,0)</f>
        <v>0</v>
      </c>
      <c r="L271" s="5">
        <f>IF(J271&lt;PuntoReorden,1,0)</f>
        <v>1</v>
      </c>
      <c r="M271" s="9">
        <f>PrecioVenta*H271</f>
        <v>4080000</v>
      </c>
      <c r="N271" s="9">
        <f>CostoUnitario*E271</f>
        <v>0</v>
      </c>
      <c r="O271" s="9">
        <f>IF(E271&gt;0,CostoPedido,0)</f>
        <v>0</v>
      </c>
      <c r="P271" s="9">
        <f>CostoAlm*(F271+J271)/2</f>
        <v>320</v>
      </c>
      <c r="Q271" s="9">
        <f>CostoFijo*D271</f>
        <v>0</v>
      </c>
      <c r="R271" s="9">
        <f>M271-N271-O271-P271-Q271</f>
        <v>4079680</v>
      </c>
      <c r="S271" s="21">
        <f>PuntoReorden</f>
        <v>7</v>
      </c>
    </row>
    <row r="272">
      <c r="A272" s="5">
        <f>A271+1</f>
        <v>267</v>
      </c>
      <c r="B272" s="20">
        <f>B271+IF(WEEKDAY(B271,2)=6,2,1)</f>
        <v>46333</v>
      </c>
      <c r="C272" s="5">
        <f>MONTH(B272)</f>
        <v>11</v>
      </c>
      <c r="D272" s="5">
        <f>IF(C272&lt;&gt;C271,1,0)</f>
        <v>0</v>
      </c>
      <c r="E272" s="5">
        <f>IF(L271=1,CantPedido,0)</f>
        <v>15</v>
      </c>
      <c r="F272" s="5">
        <f>J271+E272</f>
        <v>16</v>
      </c>
      <c r="G272" s="5">
        <f>VLOOKUP(RAND(),TablaEmpirica,2,TRUE)</f>
        <v>5</v>
      </c>
      <c r="H272" s="5">
        <f>MIN(F272,G272)</f>
        <v>5</v>
      </c>
      <c r="I272" s="5">
        <f>G272-H272</f>
        <v>0</v>
      </c>
      <c r="J272" s="5">
        <f>F272-H272</f>
        <v>11</v>
      </c>
      <c r="K272" s="5">
        <f>IF(I272&gt;0,1,0)</f>
        <v>0</v>
      </c>
      <c r="L272" s="5">
        <f>IF(J272&lt;PuntoReorden,1,0)</f>
        <v>0</v>
      </c>
      <c r="M272" s="9">
        <f>PrecioVenta*H272</f>
        <v>3400000</v>
      </c>
      <c r="N272" s="9">
        <f>CostoUnitario*E272</f>
        <v>9000000</v>
      </c>
      <c r="O272" s="9">
        <f>IF(E272&gt;0,CostoPedido,0)</f>
        <v>40000</v>
      </c>
      <c r="P272" s="9">
        <f>CostoAlm*(F272+J272)/2</f>
        <v>1080</v>
      </c>
      <c r="Q272" s="9">
        <f>CostoFijo*D272</f>
        <v>0</v>
      </c>
      <c r="R272" s="9">
        <f>M272-N272-O272-P272-Q272</f>
        <v>-5641080</v>
      </c>
      <c r="S272" s="21">
        <f>PuntoReorden</f>
        <v>7</v>
      </c>
    </row>
    <row r="273">
      <c r="A273" s="5">
        <f>A272+1</f>
        <v>268</v>
      </c>
      <c r="B273" s="20">
        <f>B272+IF(WEEKDAY(B272,2)=6,2,1)</f>
        <v>46335</v>
      </c>
      <c r="C273" s="5">
        <f>MONTH(B273)</f>
        <v>11</v>
      </c>
      <c r="D273" s="5">
        <f>IF(C273&lt;&gt;C272,1,0)</f>
        <v>0</v>
      </c>
      <c r="E273" s="5">
        <f>IF(L272=1,CantPedido,0)</f>
        <v>0</v>
      </c>
      <c r="F273" s="5">
        <f>J272+E273</f>
        <v>11</v>
      </c>
      <c r="G273" s="5">
        <f>VLOOKUP(RAND(),TablaEmpirica,2,TRUE)</f>
        <v>3</v>
      </c>
      <c r="H273" s="5">
        <f>MIN(F273,G273)</f>
        <v>3</v>
      </c>
      <c r="I273" s="5">
        <f>G273-H273</f>
        <v>0</v>
      </c>
      <c r="J273" s="5">
        <f>F273-H273</f>
        <v>8</v>
      </c>
      <c r="K273" s="5">
        <f>IF(I273&gt;0,1,0)</f>
        <v>0</v>
      </c>
      <c r="L273" s="5">
        <f>IF(J273&lt;PuntoReorden,1,0)</f>
        <v>0</v>
      </c>
      <c r="M273" s="9">
        <f>PrecioVenta*H273</f>
        <v>2040000</v>
      </c>
      <c r="N273" s="9">
        <f>CostoUnitario*E273</f>
        <v>0</v>
      </c>
      <c r="O273" s="9">
        <f>IF(E273&gt;0,CostoPedido,0)</f>
        <v>0</v>
      </c>
      <c r="P273" s="9">
        <f>CostoAlm*(F273+J273)/2</f>
        <v>760</v>
      </c>
      <c r="Q273" s="9">
        <f>CostoFijo*D273</f>
        <v>0</v>
      </c>
      <c r="R273" s="9">
        <f>M273-N273-O273-P273-Q273</f>
        <v>2039240</v>
      </c>
      <c r="S273" s="21">
        <f>PuntoReorden</f>
        <v>7</v>
      </c>
    </row>
    <row r="274">
      <c r="A274" s="5">
        <f>A273+1</f>
        <v>269</v>
      </c>
      <c r="B274" s="20">
        <f>B273+IF(WEEKDAY(B273,2)=6,2,1)</f>
        <v>46336</v>
      </c>
      <c r="C274" s="5">
        <f>MONTH(B274)</f>
        <v>11</v>
      </c>
      <c r="D274" s="5">
        <f>IF(C274&lt;&gt;C273,1,0)</f>
        <v>0</v>
      </c>
      <c r="E274" s="5">
        <f>IF(L273=1,CantPedido,0)</f>
        <v>0</v>
      </c>
      <c r="F274" s="5">
        <f>J273+E274</f>
        <v>8</v>
      </c>
      <c r="G274" s="5">
        <f>VLOOKUP(RAND(),TablaEmpirica,2,TRUE)</f>
        <v>5</v>
      </c>
      <c r="H274" s="5">
        <f>MIN(F274,G274)</f>
        <v>5</v>
      </c>
      <c r="I274" s="5">
        <f>G274-H274</f>
        <v>0</v>
      </c>
      <c r="J274" s="5">
        <f>F274-H274</f>
        <v>3</v>
      </c>
      <c r="K274" s="5">
        <f>IF(I274&gt;0,1,0)</f>
        <v>0</v>
      </c>
      <c r="L274" s="5">
        <f>IF(J274&lt;PuntoReorden,1,0)</f>
        <v>1</v>
      </c>
      <c r="M274" s="9">
        <f>PrecioVenta*H274</f>
        <v>3400000</v>
      </c>
      <c r="N274" s="9">
        <f>CostoUnitario*E274</f>
        <v>0</v>
      </c>
      <c r="O274" s="9">
        <f>IF(E274&gt;0,CostoPedido,0)</f>
        <v>0</v>
      </c>
      <c r="P274" s="9">
        <f>CostoAlm*(F274+J274)/2</f>
        <v>440</v>
      </c>
      <c r="Q274" s="9">
        <f>CostoFijo*D274</f>
        <v>0</v>
      </c>
      <c r="R274" s="9">
        <f>M274-N274-O274-P274-Q274</f>
        <v>3399560</v>
      </c>
      <c r="S274" s="21">
        <f>PuntoReorden</f>
        <v>7</v>
      </c>
    </row>
    <row r="275">
      <c r="A275" s="5">
        <f>A274+1</f>
        <v>270</v>
      </c>
      <c r="B275" s="20">
        <f>B274+IF(WEEKDAY(B274,2)=6,2,1)</f>
        <v>46337</v>
      </c>
      <c r="C275" s="5">
        <f>MONTH(B275)</f>
        <v>11</v>
      </c>
      <c r="D275" s="5">
        <f>IF(C275&lt;&gt;C274,1,0)</f>
        <v>0</v>
      </c>
      <c r="E275" s="5">
        <f>IF(L274=1,CantPedido,0)</f>
        <v>15</v>
      </c>
      <c r="F275" s="5">
        <f>J274+E275</f>
        <v>18</v>
      </c>
      <c r="G275" s="5">
        <f>VLOOKUP(RAND(),TablaEmpirica,2,TRUE)</f>
        <v>6</v>
      </c>
      <c r="H275" s="5">
        <f>MIN(F275,G275)</f>
        <v>6</v>
      </c>
      <c r="I275" s="5">
        <f>G275-H275</f>
        <v>0</v>
      </c>
      <c r="J275" s="5">
        <f>F275-H275</f>
        <v>12</v>
      </c>
      <c r="K275" s="5">
        <f>IF(I275&gt;0,1,0)</f>
        <v>0</v>
      </c>
      <c r="L275" s="5">
        <f>IF(J275&lt;PuntoReorden,1,0)</f>
        <v>0</v>
      </c>
      <c r="M275" s="9">
        <f>PrecioVenta*H275</f>
        <v>4080000</v>
      </c>
      <c r="N275" s="9">
        <f>CostoUnitario*E275</f>
        <v>9000000</v>
      </c>
      <c r="O275" s="9">
        <f>IF(E275&gt;0,CostoPedido,0)</f>
        <v>40000</v>
      </c>
      <c r="P275" s="9">
        <f>CostoAlm*(F275+J275)/2</f>
        <v>1200</v>
      </c>
      <c r="Q275" s="9">
        <f>CostoFijo*D275</f>
        <v>0</v>
      </c>
      <c r="R275" s="9">
        <f>M275-N275-O275-P275-Q275</f>
        <v>-4961200</v>
      </c>
      <c r="S275" s="21">
        <f>PuntoReorden</f>
        <v>7</v>
      </c>
    </row>
    <row r="276">
      <c r="A276" s="5">
        <f>A275+1</f>
        <v>271</v>
      </c>
      <c r="B276" s="20">
        <f>B275+IF(WEEKDAY(B275,2)=6,2,1)</f>
        <v>46338</v>
      </c>
      <c r="C276" s="5">
        <f>MONTH(B276)</f>
        <v>11</v>
      </c>
      <c r="D276" s="5">
        <f>IF(C276&lt;&gt;C275,1,0)</f>
        <v>0</v>
      </c>
      <c r="E276" s="5">
        <f>IF(L275=1,CantPedido,0)</f>
        <v>0</v>
      </c>
      <c r="F276" s="5">
        <f>J275+E276</f>
        <v>12</v>
      </c>
      <c r="G276" s="5">
        <f>VLOOKUP(RAND(),TablaEmpirica,2,TRUE)</f>
        <v>5</v>
      </c>
      <c r="H276" s="5">
        <f>MIN(F276,G276)</f>
        <v>5</v>
      </c>
      <c r="I276" s="5">
        <f>G276-H276</f>
        <v>0</v>
      </c>
      <c r="J276" s="5">
        <f>F276-H276</f>
        <v>7</v>
      </c>
      <c r="K276" s="5">
        <f>IF(I276&gt;0,1,0)</f>
        <v>0</v>
      </c>
      <c r="L276" s="5">
        <f>IF(J276&lt;PuntoReorden,1,0)</f>
        <v>0</v>
      </c>
      <c r="M276" s="9">
        <f>PrecioVenta*H276</f>
        <v>3400000</v>
      </c>
      <c r="N276" s="9">
        <f>CostoUnitario*E276</f>
        <v>0</v>
      </c>
      <c r="O276" s="9">
        <f>IF(E276&gt;0,CostoPedido,0)</f>
        <v>0</v>
      </c>
      <c r="P276" s="9">
        <f>CostoAlm*(F276+J276)/2</f>
        <v>760</v>
      </c>
      <c r="Q276" s="9">
        <f>CostoFijo*D276</f>
        <v>0</v>
      </c>
      <c r="R276" s="9">
        <f>M276-N276-O276-P276-Q276</f>
        <v>3399240</v>
      </c>
      <c r="S276" s="21">
        <f>PuntoReorden</f>
        <v>7</v>
      </c>
    </row>
    <row r="277">
      <c r="A277" s="5">
        <f>A276+1</f>
        <v>272</v>
      </c>
      <c r="B277" s="20">
        <f>B276+IF(WEEKDAY(B276,2)=6,2,1)</f>
        <v>46339</v>
      </c>
      <c r="C277" s="5">
        <f>MONTH(B277)</f>
        <v>11</v>
      </c>
      <c r="D277" s="5">
        <f>IF(C277&lt;&gt;C276,1,0)</f>
        <v>0</v>
      </c>
      <c r="E277" s="5">
        <f>IF(L276=1,CantPedido,0)</f>
        <v>0</v>
      </c>
      <c r="F277" s="5">
        <f>J276+E277</f>
        <v>7</v>
      </c>
      <c r="G277" s="5">
        <f>VLOOKUP(RAND(),TablaEmpirica,2,TRUE)</f>
        <v>5</v>
      </c>
      <c r="H277" s="5">
        <f>MIN(F277,G277)</f>
        <v>5</v>
      </c>
      <c r="I277" s="5">
        <f>G277-H277</f>
        <v>0</v>
      </c>
      <c r="J277" s="5">
        <f>F277-H277</f>
        <v>2</v>
      </c>
      <c r="K277" s="5">
        <f>IF(I277&gt;0,1,0)</f>
        <v>0</v>
      </c>
      <c r="L277" s="5">
        <f>IF(J277&lt;PuntoReorden,1,0)</f>
        <v>1</v>
      </c>
      <c r="M277" s="9">
        <f>PrecioVenta*H277</f>
        <v>3400000</v>
      </c>
      <c r="N277" s="9">
        <f>CostoUnitario*E277</f>
        <v>0</v>
      </c>
      <c r="O277" s="9">
        <f>IF(E277&gt;0,CostoPedido,0)</f>
        <v>0</v>
      </c>
      <c r="P277" s="9">
        <f>CostoAlm*(F277+J277)/2</f>
        <v>360</v>
      </c>
      <c r="Q277" s="9">
        <f>CostoFijo*D277</f>
        <v>0</v>
      </c>
      <c r="R277" s="9">
        <f>M277-N277-O277-P277-Q277</f>
        <v>3399640</v>
      </c>
      <c r="S277" s="21">
        <f>PuntoReorden</f>
        <v>7</v>
      </c>
    </row>
    <row r="278">
      <c r="A278" s="5">
        <f>A277+1</f>
        <v>273</v>
      </c>
      <c r="B278" s="20">
        <f>B277+IF(WEEKDAY(B277,2)=6,2,1)</f>
        <v>46340</v>
      </c>
      <c r="C278" s="5">
        <f>MONTH(B278)</f>
        <v>11</v>
      </c>
      <c r="D278" s="5">
        <f>IF(C278&lt;&gt;C277,1,0)</f>
        <v>0</v>
      </c>
      <c r="E278" s="5">
        <f>IF(L277=1,CantPedido,0)</f>
        <v>15</v>
      </c>
      <c r="F278" s="5">
        <f>J277+E278</f>
        <v>17</v>
      </c>
      <c r="G278" s="5">
        <f>VLOOKUP(RAND(),TablaEmpirica,2,TRUE)</f>
        <v>3</v>
      </c>
      <c r="H278" s="5">
        <f>MIN(F278,G278)</f>
        <v>3</v>
      </c>
      <c r="I278" s="5">
        <f>G278-H278</f>
        <v>0</v>
      </c>
      <c r="J278" s="5">
        <f>F278-H278</f>
        <v>14</v>
      </c>
      <c r="K278" s="5">
        <f>IF(I278&gt;0,1,0)</f>
        <v>0</v>
      </c>
      <c r="L278" s="5">
        <f>IF(J278&lt;PuntoReorden,1,0)</f>
        <v>0</v>
      </c>
      <c r="M278" s="9">
        <f>PrecioVenta*H278</f>
        <v>2040000</v>
      </c>
      <c r="N278" s="9">
        <f>CostoUnitario*E278</f>
        <v>9000000</v>
      </c>
      <c r="O278" s="9">
        <f>IF(E278&gt;0,CostoPedido,0)</f>
        <v>40000</v>
      </c>
      <c r="P278" s="9">
        <f>CostoAlm*(F278+J278)/2</f>
        <v>1240</v>
      </c>
      <c r="Q278" s="9">
        <f>CostoFijo*D278</f>
        <v>0</v>
      </c>
      <c r="R278" s="9">
        <f>M278-N278-O278-P278-Q278</f>
        <v>-7001240</v>
      </c>
      <c r="S278" s="21">
        <f>PuntoReorden</f>
        <v>7</v>
      </c>
    </row>
    <row r="279">
      <c r="A279" s="5">
        <f>A278+1</f>
        <v>274</v>
      </c>
      <c r="B279" s="20">
        <f>B278+IF(WEEKDAY(B278,2)=6,2,1)</f>
        <v>46342</v>
      </c>
      <c r="C279" s="5">
        <f>MONTH(B279)</f>
        <v>11</v>
      </c>
      <c r="D279" s="5">
        <f>IF(C279&lt;&gt;C278,1,0)</f>
        <v>0</v>
      </c>
      <c r="E279" s="5">
        <f>IF(L278=1,CantPedido,0)</f>
        <v>0</v>
      </c>
      <c r="F279" s="5">
        <f>J278+E279</f>
        <v>14</v>
      </c>
      <c r="G279" s="5">
        <f>VLOOKUP(RAND(),TablaEmpirica,2,TRUE)</f>
        <v>4</v>
      </c>
      <c r="H279" s="5">
        <f>MIN(F279,G279)</f>
        <v>4</v>
      </c>
      <c r="I279" s="5">
        <f>G279-H279</f>
        <v>0</v>
      </c>
      <c r="J279" s="5">
        <f>F279-H279</f>
        <v>10</v>
      </c>
      <c r="K279" s="5">
        <f>IF(I279&gt;0,1,0)</f>
        <v>0</v>
      </c>
      <c r="L279" s="5">
        <f>IF(J279&lt;PuntoReorden,1,0)</f>
        <v>0</v>
      </c>
      <c r="M279" s="9">
        <f>PrecioVenta*H279</f>
        <v>2720000</v>
      </c>
      <c r="N279" s="9">
        <f>CostoUnitario*E279</f>
        <v>0</v>
      </c>
      <c r="O279" s="9">
        <f>IF(E279&gt;0,CostoPedido,0)</f>
        <v>0</v>
      </c>
      <c r="P279" s="9">
        <f>CostoAlm*(F279+J279)/2</f>
        <v>960</v>
      </c>
      <c r="Q279" s="9">
        <f>CostoFijo*D279</f>
        <v>0</v>
      </c>
      <c r="R279" s="9">
        <f>M279-N279-O279-P279-Q279</f>
        <v>2719040</v>
      </c>
      <c r="S279" s="21">
        <f>PuntoReorden</f>
        <v>7</v>
      </c>
    </row>
    <row r="280">
      <c r="A280" s="5">
        <f>A279+1</f>
        <v>275</v>
      </c>
      <c r="B280" s="20">
        <f>B279+IF(WEEKDAY(B279,2)=6,2,1)</f>
        <v>46343</v>
      </c>
      <c r="C280" s="5">
        <f>MONTH(B280)</f>
        <v>11</v>
      </c>
      <c r="D280" s="5">
        <f>IF(C280&lt;&gt;C279,1,0)</f>
        <v>0</v>
      </c>
      <c r="E280" s="5">
        <f>IF(L279=1,CantPedido,0)</f>
        <v>0</v>
      </c>
      <c r="F280" s="5">
        <f>J279+E280</f>
        <v>10</v>
      </c>
      <c r="G280" s="5">
        <f>VLOOKUP(RAND(),TablaEmpirica,2,TRUE)</f>
        <v>7</v>
      </c>
      <c r="H280" s="5">
        <f>MIN(F280,G280)</f>
        <v>7</v>
      </c>
      <c r="I280" s="5">
        <f>G280-H280</f>
        <v>0</v>
      </c>
      <c r="J280" s="5">
        <f>F280-H280</f>
        <v>3</v>
      </c>
      <c r="K280" s="5">
        <f>IF(I280&gt;0,1,0)</f>
        <v>0</v>
      </c>
      <c r="L280" s="5">
        <f>IF(J280&lt;PuntoReorden,1,0)</f>
        <v>1</v>
      </c>
      <c r="M280" s="9">
        <f>PrecioVenta*H280</f>
        <v>4760000</v>
      </c>
      <c r="N280" s="9">
        <f>CostoUnitario*E280</f>
        <v>0</v>
      </c>
      <c r="O280" s="9">
        <f>IF(E280&gt;0,CostoPedido,0)</f>
        <v>0</v>
      </c>
      <c r="P280" s="9">
        <f>CostoAlm*(F280+J280)/2</f>
        <v>520</v>
      </c>
      <c r="Q280" s="9">
        <f>CostoFijo*D280</f>
        <v>0</v>
      </c>
      <c r="R280" s="9">
        <f>M280-N280-O280-P280-Q280</f>
        <v>4759480</v>
      </c>
      <c r="S280" s="21">
        <f>PuntoReorden</f>
        <v>7</v>
      </c>
    </row>
    <row r="281">
      <c r="A281" s="5">
        <f>A280+1</f>
        <v>276</v>
      </c>
      <c r="B281" s="20">
        <f>B280+IF(WEEKDAY(B280,2)=6,2,1)</f>
        <v>46344</v>
      </c>
      <c r="C281" s="5">
        <f>MONTH(B281)</f>
        <v>11</v>
      </c>
      <c r="D281" s="5">
        <f>IF(C281&lt;&gt;C280,1,0)</f>
        <v>0</v>
      </c>
      <c r="E281" s="5">
        <f>IF(L280=1,CantPedido,0)</f>
        <v>15</v>
      </c>
      <c r="F281" s="5">
        <f>J280+E281</f>
        <v>18</v>
      </c>
      <c r="G281" s="5">
        <f>VLOOKUP(RAND(),TablaEmpirica,2,TRUE)</f>
        <v>3</v>
      </c>
      <c r="H281" s="5">
        <f>MIN(F281,G281)</f>
        <v>3</v>
      </c>
      <c r="I281" s="5">
        <f>G281-H281</f>
        <v>0</v>
      </c>
      <c r="J281" s="5">
        <f>F281-H281</f>
        <v>15</v>
      </c>
      <c r="K281" s="5">
        <f>IF(I281&gt;0,1,0)</f>
        <v>0</v>
      </c>
      <c r="L281" s="5">
        <f>IF(J281&lt;PuntoReorden,1,0)</f>
        <v>0</v>
      </c>
      <c r="M281" s="9">
        <f>PrecioVenta*H281</f>
        <v>2040000</v>
      </c>
      <c r="N281" s="9">
        <f>CostoUnitario*E281</f>
        <v>9000000</v>
      </c>
      <c r="O281" s="9">
        <f>IF(E281&gt;0,CostoPedido,0)</f>
        <v>40000</v>
      </c>
      <c r="P281" s="9">
        <f>CostoAlm*(F281+J281)/2</f>
        <v>1320</v>
      </c>
      <c r="Q281" s="9">
        <f>CostoFijo*D281</f>
        <v>0</v>
      </c>
      <c r="R281" s="9">
        <f>M281-N281-O281-P281-Q281</f>
        <v>-7001320</v>
      </c>
      <c r="S281" s="21">
        <f>PuntoReorden</f>
        <v>7</v>
      </c>
    </row>
    <row r="282">
      <c r="A282" s="5">
        <f>A281+1</f>
        <v>277</v>
      </c>
      <c r="B282" s="20">
        <f>B281+IF(WEEKDAY(B281,2)=6,2,1)</f>
        <v>46345</v>
      </c>
      <c r="C282" s="5">
        <f>MONTH(B282)</f>
        <v>11</v>
      </c>
      <c r="D282" s="5">
        <f>IF(C282&lt;&gt;C281,1,0)</f>
        <v>0</v>
      </c>
      <c r="E282" s="5">
        <f>IF(L281=1,CantPedido,0)</f>
        <v>0</v>
      </c>
      <c r="F282" s="5">
        <f>J281+E282</f>
        <v>15</v>
      </c>
      <c r="G282" s="5">
        <f>VLOOKUP(RAND(),TablaEmpirica,2,TRUE)</f>
        <v>6</v>
      </c>
      <c r="H282" s="5">
        <f>MIN(F282,G282)</f>
        <v>6</v>
      </c>
      <c r="I282" s="5">
        <f>G282-H282</f>
        <v>0</v>
      </c>
      <c r="J282" s="5">
        <f>F282-H282</f>
        <v>9</v>
      </c>
      <c r="K282" s="5">
        <f>IF(I282&gt;0,1,0)</f>
        <v>0</v>
      </c>
      <c r="L282" s="5">
        <f>IF(J282&lt;PuntoReorden,1,0)</f>
        <v>0</v>
      </c>
      <c r="M282" s="9">
        <f>PrecioVenta*H282</f>
        <v>4080000</v>
      </c>
      <c r="N282" s="9">
        <f>CostoUnitario*E282</f>
        <v>0</v>
      </c>
      <c r="O282" s="9">
        <f>IF(E282&gt;0,CostoPedido,0)</f>
        <v>0</v>
      </c>
      <c r="P282" s="9">
        <f>CostoAlm*(F282+J282)/2</f>
        <v>960</v>
      </c>
      <c r="Q282" s="9">
        <f>CostoFijo*D282</f>
        <v>0</v>
      </c>
      <c r="R282" s="9">
        <f>M282-N282-O282-P282-Q282</f>
        <v>4079040</v>
      </c>
      <c r="S282" s="21">
        <f>PuntoReorden</f>
        <v>7</v>
      </c>
    </row>
    <row r="283">
      <c r="A283" s="5">
        <f>A282+1</f>
        <v>278</v>
      </c>
      <c r="B283" s="20">
        <f>B282+IF(WEEKDAY(B282,2)=6,2,1)</f>
        <v>46346</v>
      </c>
      <c r="C283" s="5">
        <f>MONTH(B283)</f>
        <v>11</v>
      </c>
      <c r="D283" s="5">
        <f>IF(C283&lt;&gt;C282,1,0)</f>
        <v>0</v>
      </c>
      <c r="E283" s="5">
        <f>IF(L282=1,CantPedido,0)</f>
        <v>0</v>
      </c>
      <c r="F283" s="5">
        <f>J282+E283</f>
        <v>9</v>
      </c>
      <c r="G283" s="5">
        <f>VLOOKUP(RAND(),TablaEmpirica,2,TRUE)</f>
        <v>4</v>
      </c>
      <c r="H283" s="5">
        <f>MIN(F283,G283)</f>
        <v>4</v>
      </c>
      <c r="I283" s="5">
        <f>G283-H283</f>
        <v>0</v>
      </c>
      <c r="J283" s="5">
        <f>F283-H283</f>
        <v>5</v>
      </c>
      <c r="K283" s="5">
        <f>IF(I283&gt;0,1,0)</f>
        <v>0</v>
      </c>
      <c r="L283" s="5">
        <f>IF(J283&lt;PuntoReorden,1,0)</f>
        <v>1</v>
      </c>
      <c r="M283" s="9">
        <f>PrecioVenta*H283</f>
        <v>2720000</v>
      </c>
      <c r="N283" s="9">
        <f>CostoUnitario*E283</f>
        <v>0</v>
      </c>
      <c r="O283" s="9">
        <f>IF(E283&gt;0,CostoPedido,0)</f>
        <v>0</v>
      </c>
      <c r="P283" s="9">
        <f>CostoAlm*(F283+J283)/2</f>
        <v>560</v>
      </c>
      <c r="Q283" s="9">
        <f>CostoFijo*D283</f>
        <v>0</v>
      </c>
      <c r="R283" s="9">
        <f>M283-N283-O283-P283-Q283</f>
        <v>2719440</v>
      </c>
      <c r="S283" s="21">
        <f>PuntoReorden</f>
        <v>7</v>
      </c>
    </row>
    <row r="284">
      <c r="A284" s="5">
        <f>A283+1</f>
        <v>279</v>
      </c>
      <c r="B284" s="20">
        <f>B283+IF(WEEKDAY(B283,2)=6,2,1)</f>
        <v>46347</v>
      </c>
      <c r="C284" s="5">
        <f>MONTH(B284)</f>
        <v>11</v>
      </c>
      <c r="D284" s="5">
        <f>IF(C284&lt;&gt;C283,1,0)</f>
        <v>0</v>
      </c>
      <c r="E284" s="5">
        <f>IF(L283=1,CantPedido,0)</f>
        <v>15</v>
      </c>
      <c r="F284" s="5">
        <f>J283+E284</f>
        <v>20</v>
      </c>
      <c r="G284" s="5">
        <f>VLOOKUP(RAND(),TablaEmpirica,2,TRUE)</f>
        <v>7</v>
      </c>
      <c r="H284" s="5">
        <f>MIN(F284,G284)</f>
        <v>7</v>
      </c>
      <c r="I284" s="5">
        <f>G284-H284</f>
        <v>0</v>
      </c>
      <c r="J284" s="5">
        <f>F284-H284</f>
        <v>13</v>
      </c>
      <c r="K284" s="5">
        <f>IF(I284&gt;0,1,0)</f>
        <v>0</v>
      </c>
      <c r="L284" s="5">
        <f>IF(J284&lt;PuntoReorden,1,0)</f>
        <v>0</v>
      </c>
      <c r="M284" s="9">
        <f>PrecioVenta*H284</f>
        <v>4760000</v>
      </c>
      <c r="N284" s="9">
        <f>CostoUnitario*E284</f>
        <v>9000000</v>
      </c>
      <c r="O284" s="9">
        <f>IF(E284&gt;0,CostoPedido,0)</f>
        <v>40000</v>
      </c>
      <c r="P284" s="9">
        <f>CostoAlm*(F284+J284)/2</f>
        <v>1320</v>
      </c>
      <c r="Q284" s="9">
        <f>CostoFijo*D284</f>
        <v>0</v>
      </c>
      <c r="R284" s="9">
        <f>M284-N284-O284-P284-Q284</f>
        <v>-4281320</v>
      </c>
      <c r="S284" s="21">
        <f>PuntoReorden</f>
        <v>7</v>
      </c>
    </row>
    <row r="285">
      <c r="A285" s="5">
        <f>A284+1</f>
        <v>280</v>
      </c>
      <c r="B285" s="20">
        <f>B284+IF(WEEKDAY(B284,2)=6,2,1)</f>
        <v>46349</v>
      </c>
      <c r="C285" s="5">
        <f>MONTH(B285)</f>
        <v>11</v>
      </c>
      <c r="D285" s="5">
        <f>IF(C285&lt;&gt;C284,1,0)</f>
        <v>0</v>
      </c>
      <c r="E285" s="5">
        <f>IF(L284=1,CantPedido,0)</f>
        <v>0</v>
      </c>
      <c r="F285" s="5">
        <f>J284+E285</f>
        <v>13</v>
      </c>
      <c r="G285" s="5">
        <f>VLOOKUP(RAND(),TablaEmpirica,2,TRUE)</f>
        <v>3</v>
      </c>
      <c r="H285" s="5">
        <f>MIN(F285,G285)</f>
        <v>3</v>
      </c>
      <c r="I285" s="5">
        <f>G285-H285</f>
        <v>0</v>
      </c>
      <c r="J285" s="5">
        <f>F285-H285</f>
        <v>10</v>
      </c>
      <c r="K285" s="5">
        <f>IF(I285&gt;0,1,0)</f>
        <v>0</v>
      </c>
      <c r="L285" s="5">
        <f>IF(J285&lt;PuntoReorden,1,0)</f>
        <v>0</v>
      </c>
      <c r="M285" s="9">
        <f>PrecioVenta*H285</f>
        <v>2040000</v>
      </c>
      <c r="N285" s="9">
        <f>CostoUnitario*E285</f>
        <v>0</v>
      </c>
      <c r="O285" s="9">
        <f>IF(E285&gt;0,CostoPedido,0)</f>
        <v>0</v>
      </c>
      <c r="P285" s="9">
        <f>CostoAlm*(F285+J285)/2</f>
        <v>920</v>
      </c>
      <c r="Q285" s="9">
        <f>CostoFijo*D285</f>
        <v>0</v>
      </c>
      <c r="R285" s="9">
        <f>M285-N285-O285-P285-Q285</f>
        <v>2039080</v>
      </c>
      <c r="S285" s="21">
        <f>PuntoReorden</f>
        <v>7</v>
      </c>
    </row>
    <row r="286">
      <c r="A286" s="5">
        <f>A285+1</f>
        <v>281</v>
      </c>
      <c r="B286" s="20">
        <f>B285+IF(WEEKDAY(B285,2)=6,2,1)</f>
        <v>46350</v>
      </c>
      <c r="C286" s="5">
        <f>MONTH(B286)</f>
        <v>11</v>
      </c>
      <c r="D286" s="5">
        <f>IF(C286&lt;&gt;C285,1,0)</f>
        <v>0</v>
      </c>
      <c r="E286" s="5">
        <f>IF(L285=1,CantPedido,0)</f>
        <v>0</v>
      </c>
      <c r="F286" s="5">
        <f>J285+E286</f>
        <v>10</v>
      </c>
      <c r="G286" s="5">
        <f>VLOOKUP(RAND(),TablaEmpirica,2,TRUE)</f>
        <v>5</v>
      </c>
      <c r="H286" s="5">
        <f>MIN(F286,G286)</f>
        <v>5</v>
      </c>
      <c r="I286" s="5">
        <f>G286-H286</f>
        <v>0</v>
      </c>
      <c r="J286" s="5">
        <f>F286-H286</f>
        <v>5</v>
      </c>
      <c r="K286" s="5">
        <f>IF(I286&gt;0,1,0)</f>
        <v>0</v>
      </c>
      <c r="L286" s="5">
        <f>IF(J286&lt;PuntoReorden,1,0)</f>
        <v>1</v>
      </c>
      <c r="M286" s="9">
        <f>PrecioVenta*H286</f>
        <v>3400000</v>
      </c>
      <c r="N286" s="9">
        <f>CostoUnitario*E286</f>
        <v>0</v>
      </c>
      <c r="O286" s="9">
        <f>IF(E286&gt;0,CostoPedido,0)</f>
        <v>0</v>
      </c>
      <c r="P286" s="9">
        <f>CostoAlm*(F286+J286)/2</f>
        <v>600</v>
      </c>
      <c r="Q286" s="9">
        <f>CostoFijo*D286</f>
        <v>0</v>
      </c>
      <c r="R286" s="9">
        <f>M286-N286-O286-P286-Q286</f>
        <v>3399400</v>
      </c>
      <c r="S286" s="21">
        <f>PuntoReorden</f>
        <v>7</v>
      </c>
    </row>
    <row r="287">
      <c r="A287" s="5">
        <f>A286+1</f>
        <v>282</v>
      </c>
      <c r="B287" s="20">
        <f>B286+IF(WEEKDAY(B286,2)=6,2,1)</f>
        <v>46351</v>
      </c>
      <c r="C287" s="5">
        <f>MONTH(B287)</f>
        <v>11</v>
      </c>
      <c r="D287" s="5">
        <f>IF(C287&lt;&gt;C286,1,0)</f>
        <v>0</v>
      </c>
      <c r="E287" s="5">
        <f>IF(L286=1,CantPedido,0)</f>
        <v>15</v>
      </c>
      <c r="F287" s="5">
        <f>J286+E287</f>
        <v>20</v>
      </c>
      <c r="G287" s="5">
        <f>VLOOKUP(RAND(),TablaEmpirica,2,TRUE)</f>
        <v>5</v>
      </c>
      <c r="H287" s="5">
        <f>MIN(F287,G287)</f>
        <v>5</v>
      </c>
      <c r="I287" s="5">
        <f>G287-H287</f>
        <v>0</v>
      </c>
      <c r="J287" s="5">
        <f>F287-H287</f>
        <v>15</v>
      </c>
      <c r="K287" s="5">
        <f>IF(I287&gt;0,1,0)</f>
        <v>0</v>
      </c>
      <c r="L287" s="5">
        <f>IF(J287&lt;PuntoReorden,1,0)</f>
        <v>0</v>
      </c>
      <c r="M287" s="9">
        <f>PrecioVenta*H287</f>
        <v>3400000</v>
      </c>
      <c r="N287" s="9">
        <f>CostoUnitario*E287</f>
        <v>9000000</v>
      </c>
      <c r="O287" s="9">
        <f>IF(E287&gt;0,CostoPedido,0)</f>
        <v>40000</v>
      </c>
      <c r="P287" s="9">
        <f>CostoAlm*(F287+J287)/2</f>
        <v>1400</v>
      </c>
      <c r="Q287" s="9">
        <f>CostoFijo*D287</f>
        <v>0</v>
      </c>
      <c r="R287" s="9">
        <f>M287-N287-O287-P287-Q287</f>
        <v>-5641400</v>
      </c>
      <c r="S287" s="21">
        <f>PuntoReorden</f>
        <v>7</v>
      </c>
    </row>
    <row r="288">
      <c r="A288" s="5">
        <f>A287+1</f>
        <v>283</v>
      </c>
      <c r="B288" s="20">
        <f>B287+IF(WEEKDAY(B287,2)=6,2,1)</f>
        <v>46352</v>
      </c>
      <c r="C288" s="5">
        <f>MONTH(B288)</f>
        <v>11</v>
      </c>
      <c r="D288" s="5">
        <f>IF(C288&lt;&gt;C287,1,0)</f>
        <v>0</v>
      </c>
      <c r="E288" s="5">
        <f>IF(L287=1,CantPedido,0)</f>
        <v>0</v>
      </c>
      <c r="F288" s="5">
        <f>J287+E288</f>
        <v>15</v>
      </c>
      <c r="G288" s="5">
        <f>VLOOKUP(RAND(),TablaEmpirica,2,TRUE)</f>
        <v>6</v>
      </c>
      <c r="H288" s="5">
        <f>MIN(F288,G288)</f>
        <v>6</v>
      </c>
      <c r="I288" s="5">
        <f>G288-H288</f>
        <v>0</v>
      </c>
      <c r="J288" s="5">
        <f>F288-H288</f>
        <v>9</v>
      </c>
      <c r="K288" s="5">
        <f>IF(I288&gt;0,1,0)</f>
        <v>0</v>
      </c>
      <c r="L288" s="5">
        <f>IF(J288&lt;PuntoReorden,1,0)</f>
        <v>0</v>
      </c>
      <c r="M288" s="9">
        <f>PrecioVenta*H288</f>
        <v>4080000</v>
      </c>
      <c r="N288" s="9">
        <f>CostoUnitario*E288</f>
        <v>0</v>
      </c>
      <c r="O288" s="9">
        <f>IF(E288&gt;0,CostoPedido,0)</f>
        <v>0</v>
      </c>
      <c r="P288" s="9">
        <f>CostoAlm*(F288+J288)/2</f>
        <v>960</v>
      </c>
      <c r="Q288" s="9">
        <f>CostoFijo*D288</f>
        <v>0</v>
      </c>
      <c r="R288" s="9">
        <f>M288-N288-O288-P288-Q288</f>
        <v>4079040</v>
      </c>
      <c r="S288" s="21">
        <f>PuntoReorden</f>
        <v>7</v>
      </c>
    </row>
    <row r="289">
      <c r="A289" s="5">
        <f>A288+1</f>
        <v>284</v>
      </c>
      <c r="B289" s="20">
        <f>B288+IF(WEEKDAY(B288,2)=6,2,1)</f>
        <v>46353</v>
      </c>
      <c r="C289" s="5">
        <f>MONTH(B289)</f>
        <v>11</v>
      </c>
      <c r="D289" s="5">
        <f>IF(C289&lt;&gt;C288,1,0)</f>
        <v>0</v>
      </c>
      <c r="E289" s="5">
        <f>IF(L288=1,CantPedido,0)</f>
        <v>0</v>
      </c>
      <c r="F289" s="5">
        <f>J288+E289</f>
        <v>9</v>
      </c>
      <c r="G289" s="5">
        <f>VLOOKUP(RAND(),TablaEmpirica,2,TRUE)</f>
        <v>7</v>
      </c>
      <c r="H289" s="5">
        <f>MIN(F289,G289)</f>
        <v>7</v>
      </c>
      <c r="I289" s="5">
        <f>G289-H289</f>
        <v>0</v>
      </c>
      <c r="J289" s="5">
        <f>F289-H289</f>
        <v>2</v>
      </c>
      <c r="K289" s="5">
        <f>IF(I289&gt;0,1,0)</f>
        <v>0</v>
      </c>
      <c r="L289" s="5">
        <f>IF(J289&lt;PuntoReorden,1,0)</f>
        <v>1</v>
      </c>
      <c r="M289" s="9">
        <f>PrecioVenta*H289</f>
        <v>4760000</v>
      </c>
      <c r="N289" s="9">
        <f>CostoUnitario*E289</f>
        <v>0</v>
      </c>
      <c r="O289" s="9">
        <f>IF(E289&gt;0,CostoPedido,0)</f>
        <v>0</v>
      </c>
      <c r="P289" s="9">
        <f>CostoAlm*(F289+J289)/2</f>
        <v>440</v>
      </c>
      <c r="Q289" s="9">
        <f>CostoFijo*D289</f>
        <v>0</v>
      </c>
      <c r="R289" s="9">
        <f>M289-N289-O289-P289-Q289</f>
        <v>4759560</v>
      </c>
      <c r="S289" s="21">
        <f>PuntoReorden</f>
        <v>7</v>
      </c>
    </row>
    <row r="290">
      <c r="A290" s="5">
        <f>A289+1</f>
        <v>285</v>
      </c>
      <c r="B290" s="20">
        <f>B289+IF(WEEKDAY(B289,2)=6,2,1)</f>
        <v>46354</v>
      </c>
      <c r="C290" s="5">
        <f>MONTH(B290)</f>
        <v>11</v>
      </c>
      <c r="D290" s="5">
        <f>IF(C290&lt;&gt;C289,1,0)</f>
        <v>0</v>
      </c>
      <c r="E290" s="5">
        <f>IF(L289=1,CantPedido,0)</f>
        <v>15</v>
      </c>
      <c r="F290" s="5">
        <f>J289+E290</f>
        <v>17</v>
      </c>
      <c r="G290" s="5">
        <f>VLOOKUP(RAND(),TablaEmpirica,2,TRUE)</f>
        <v>5</v>
      </c>
      <c r="H290" s="5">
        <f>MIN(F290,G290)</f>
        <v>5</v>
      </c>
      <c r="I290" s="5">
        <f>G290-H290</f>
        <v>0</v>
      </c>
      <c r="J290" s="5">
        <f>F290-H290</f>
        <v>12</v>
      </c>
      <c r="K290" s="5">
        <f>IF(I290&gt;0,1,0)</f>
        <v>0</v>
      </c>
      <c r="L290" s="5">
        <f>IF(J290&lt;PuntoReorden,1,0)</f>
        <v>0</v>
      </c>
      <c r="M290" s="9">
        <f>PrecioVenta*H290</f>
        <v>3400000</v>
      </c>
      <c r="N290" s="9">
        <f>CostoUnitario*E290</f>
        <v>9000000</v>
      </c>
      <c r="O290" s="9">
        <f>IF(E290&gt;0,CostoPedido,0)</f>
        <v>40000</v>
      </c>
      <c r="P290" s="9">
        <f>CostoAlm*(F290+J290)/2</f>
        <v>1160</v>
      </c>
      <c r="Q290" s="9">
        <f>CostoFijo*D290</f>
        <v>0</v>
      </c>
      <c r="R290" s="9">
        <f>M290-N290-O290-P290-Q290</f>
        <v>-5641160</v>
      </c>
      <c r="S290" s="21">
        <f>PuntoReorden</f>
        <v>7</v>
      </c>
    </row>
    <row r="291">
      <c r="A291" s="5">
        <f>A290+1</f>
        <v>286</v>
      </c>
      <c r="B291" s="20">
        <f>B290+IF(WEEKDAY(B290,2)=6,2,1)</f>
        <v>46356</v>
      </c>
      <c r="C291" s="5">
        <f>MONTH(B291)</f>
        <v>11</v>
      </c>
      <c r="D291" s="5">
        <f>IF(C291&lt;&gt;C290,1,0)</f>
        <v>0</v>
      </c>
      <c r="E291" s="5">
        <f>IF(L290=1,CantPedido,0)</f>
        <v>0</v>
      </c>
      <c r="F291" s="5">
        <f>J290+E291</f>
        <v>12</v>
      </c>
      <c r="G291" s="5">
        <f>VLOOKUP(RAND(),TablaEmpirica,2,TRUE)</f>
        <v>5</v>
      </c>
      <c r="H291" s="5">
        <f>MIN(F291,G291)</f>
        <v>5</v>
      </c>
      <c r="I291" s="5">
        <f>G291-H291</f>
        <v>0</v>
      </c>
      <c r="J291" s="5">
        <f>F291-H291</f>
        <v>7</v>
      </c>
      <c r="K291" s="5">
        <f>IF(I291&gt;0,1,0)</f>
        <v>0</v>
      </c>
      <c r="L291" s="5">
        <f>IF(J291&lt;PuntoReorden,1,0)</f>
        <v>0</v>
      </c>
      <c r="M291" s="9">
        <f>PrecioVenta*H291</f>
        <v>3400000</v>
      </c>
      <c r="N291" s="9">
        <f>CostoUnitario*E291</f>
        <v>0</v>
      </c>
      <c r="O291" s="9">
        <f>IF(E291&gt;0,CostoPedido,0)</f>
        <v>0</v>
      </c>
      <c r="P291" s="9">
        <f>CostoAlm*(F291+J291)/2</f>
        <v>760</v>
      </c>
      <c r="Q291" s="9">
        <f>CostoFijo*D291</f>
        <v>0</v>
      </c>
      <c r="R291" s="9">
        <f>M291-N291-O291-P291-Q291</f>
        <v>3399240</v>
      </c>
      <c r="S291" s="21">
        <f>PuntoReorden</f>
        <v>7</v>
      </c>
    </row>
    <row r="292">
      <c r="A292" s="5">
        <f>A291+1</f>
        <v>287</v>
      </c>
      <c r="B292" s="20">
        <f>B291+IF(WEEKDAY(B291,2)=6,2,1)</f>
        <v>46357</v>
      </c>
      <c r="C292" s="5">
        <f>MONTH(B292)</f>
        <v>12</v>
      </c>
      <c r="D292" s="5">
        <f>IF(C292&lt;&gt;C291,1,0)</f>
        <v>1</v>
      </c>
      <c r="E292" s="5">
        <f>IF(L291=1,CantPedido,0)</f>
        <v>0</v>
      </c>
      <c r="F292" s="5">
        <f>J291+E292</f>
        <v>7</v>
      </c>
      <c r="G292" s="5">
        <f>VLOOKUP(RAND(),TablaEmpirica,2,TRUE)</f>
        <v>5</v>
      </c>
      <c r="H292" s="5">
        <f>MIN(F292,G292)</f>
        <v>5</v>
      </c>
      <c r="I292" s="5">
        <f>G292-H292</f>
        <v>0</v>
      </c>
      <c r="J292" s="5">
        <f>F292-H292</f>
        <v>2</v>
      </c>
      <c r="K292" s="5">
        <f>IF(I292&gt;0,1,0)</f>
        <v>0</v>
      </c>
      <c r="L292" s="5">
        <f>IF(J292&lt;PuntoReorden,1,0)</f>
        <v>1</v>
      </c>
      <c r="M292" s="9">
        <f>PrecioVenta*H292</f>
        <v>3400000</v>
      </c>
      <c r="N292" s="9">
        <f>CostoUnitario*E292</f>
        <v>0</v>
      </c>
      <c r="O292" s="9">
        <f>IF(E292&gt;0,CostoPedido,0)</f>
        <v>0</v>
      </c>
      <c r="P292" s="9">
        <f>CostoAlm*(F292+J292)/2</f>
        <v>360</v>
      </c>
      <c r="Q292" s="9">
        <f>CostoFijo*D292</f>
        <v>1000000</v>
      </c>
      <c r="R292" s="9">
        <f>M292-N292-O292-P292-Q292</f>
        <v>2399640</v>
      </c>
      <c r="S292" s="21">
        <f>PuntoReorden</f>
        <v>7</v>
      </c>
    </row>
    <row r="293">
      <c r="A293" s="5">
        <f>A292+1</f>
        <v>288</v>
      </c>
      <c r="B293" s="20">
        <f>B292+IF(WEEKDAY(B292,2)=6,2,1)</f>
        <v>46358</v>
      </c>
      <c r="C293" s="5">
        <f>MONTH(B293)</f>
        <v>12</v>
      </c>
      <c r="D293" s="5">
        <f>IF(C293&lt;&gt;C292,1,0)</f>
        <v>0</v>
      </c>
      <c r="E293" s="5">
        <f>IF(L292=1,CantPedido,0)</f>
        <v>15</v>
      </c>
      <c r="F293" s="5">
        <f>J292+E293</f>
        <v>17</v>
      </c>
      <c r="G293" s="5">
        <f>VLOOKUP(RAND(),TablaEmpirica,2,TRUE)</f>
        <v>6</v>
      </c>
      <c r="H293" s="5">
        <f>MIN(F293,G293)</f>
        <v>6</v>
      </c>
      <c r="I293" s="5">
        <f>G293-H293</f>
        <v>0</v>
      </c>
      <c r="J293" s="5">
        <f>F293-H293</f>
        <v>11</v>
      </c>
      <c r="K293" s="5">
        <f>IF(I293&gt;0,1,0)</f>
        <v>0</v>
      </c>
      <c r="L293" s="5">
        <f>IF(J293&lt;PuntoReorden,1,0)</f>
        <v>0</v>
      </c>
      <c r="M293" s="9">
        <f>PrecioVenta*H293</f>
        <v>4080000</v>
      </c>
      <c r="N293" s="9">
        <f>CostoUnitario*E293</f>
        <v>9000000</v>
      </c>
      <c r="O293" s="9">
        <f>IF(E293&gt;0,CostoPedido,0)</f>
        <v>40000</v>
      </c>
      <c r="P293" s="9">
        <f>CostoAlm*(F293+J293)/2</f>
        <v>1120</v>
      </c>
      <c r="Q293" s="9">
        <f>CostoFijo*D293</f>
        <v>0</v>
      </c>
      <c r="R293" s="9">
        <f>M293-N293-O293-P293-Q293</f>
        <v>-4961120</v>
      </c>
      <c r="S293" s="21">
        <f>PuntoReorden</f>
        <v>7</v>
      </c>
    </row>
    <row r="294">
      <c r="A294" s="5">
        <f>A293+1</f>
        <v>289</v>
      </c>
      <c r="B294" s="20">
        <f>B293+IF(WEEKDAY(B293,2)=6,2,1)</f>
        <v>46359</v>
      </c>
      <c r="C294" s="5">
        <f>MONTH(B294)</f>
        <v>12</v>
      </c>
      <c r="D294" s="5">
        <f>IF(C294&lt;&gt;C293,1,0)</f>
        <v>0</v>
      </c>
      <c r="E294" s="5">
        <f>IF(L293=1,CantPedido,0)</f>
        <v>0</v>
      </c>
      <c r="F294" s="5">
        <f>J293+E294</f>
        <v>11</v>
      </c>
      <c r="G294" s="5">
        <f>VLOOKUP(RAND(),TablaEmpirica,2,TRUE)</f>
        <v>5</v>
      </c>
      <c r="H294" s="5">
        <f>MIN(F294,G294)</f>
        <v>5</v>
      </c>
      <c r="I294" s="5">
        <f>G294-H294</f>
        <v>0</v>
      </c>
      <c r="J294" s="5">
        <f>F294-H294</f>
        <v>6</v>
      </c>
      <c r="K294" s="5">
        <f>IF(I294&gt;0,1,0)</f>
        <v>0</v>
      </c>
      <c r="L294" s="5">
        <f>IF(J294&lt;PuntoReorden,1,0)</f>
        <v>1</v>
      </c>
      <c r="M294" s="9">
        <f>PrecioVenta*H294</f>
        <v>3400000</v>
      </c>
      <c r="N294" s="9">
        <f>CostoUnitario*E294</f>
        <v>0</v>
      </c>
      <c r="O294" s="9">
        <f>IF(E294&gt;0,CostoPedido,0)</f>
        <v>0</v>
      </c>
      <c r="P294" s="9">
        <f>CostoAlm*(F294+J294)/2</f>
        <v>680</v>
      </c>
      <c r="Q294" s="9">
        <f>CostoFijo*D294</f>
        <v>0</v>
      </c>
      <c r="R294" s="9">
        <f>M294-N294-O294-P294-Q294</f>
        <v>3399320</v>
      </c>
      <c r="S294" s="21">
        <f>PuntoReorden</f>
        <v>7</v>
      </c>
    </row>
    <row r="295">
      <c r="A295" s="5">
        <f>A294+1</f>
        <v>290</v>
      </c>
      <c r="B295" s="20">
        <f>B294+IF(WEEKDAY(B294,2)=6,2,1)</f>
        <v>46360</v>
      </c>
      <c r="C295" s="5">
        <f>MONTH(B295)</f>
        <v>12</v>
      </c>
      <c r="D295" s="5">
        <f>IF(C295&lt;&gt;C294,1,0)</f>
        <v>0</v>
      </c>
      <c r="E295" s="5">
        <f>IF(L294=1,CantPedido,0)</f>
        <v>15</v>
      </c>
      <c r="F295" s="5">
        <f>J294+E295</f>
        <v>21</v>
      </c>
      <c r="G295" s="5">
        <f>VLOOKUP(RAND(),TablaEmpirica,2,TRUE)</f>
        <v>6</v>
      </c>
      <c r="H295" s="5">
        <f>MIN(F295,G295)</f>
        <v>6</v>
      </c>
      <c r="I295" s="5">
        <f>G295-H295</f>
        <v>0</v>
      </c>
      <c r="J295" s="5">
        <f>F295-H295</f>
        <v>15</v>
      </c>
      <c r="K295" s="5">
        <f>IF(I295&gt;0,1,0)</f>
        <v>0</v>
      </c>
      <c r="L295" s="5">
        <f>IF(J295&lt;PuntoReorden,1,0)</f>
        <v>0</v>
      </c>
      <c r="M295" s="9">
        <f>PrecioVenta*H295</f>
        <v>4080000</v>
      </c>
      <c r="N295" s="9">
        <f>CostoUnitario*E295</f>
        <v>9000000</v>
      </c>
      <c r="O295" s="9">
        <f>IF(E295&gt;0,CostoPedido,0)</f>
        <v>40000</v>
      </c>
      <c r="P295" s="9">
        <f>CostoAlm*(F295+J295)/2</f>
        <v>1440</v>
      </c>
      <c r="Q295" s="9">
        <f>CostoFijo*D295</f>
        <v>0</v>
      </c>
      <c r="R295" s="9">
        <f>M295-N295-O295-P295-Q295</f>
        <v>-4961440</v>
      </c>
      <c r="S295" s="21">
        <f>PuntoReorden</f>
        <v>7</v>
      </c>
    </row>
    <row r="296">
      <c r="A296" s="5">
        <f>A295+1</f>
        <v>291</v>
      </c>
      <c r="B296" s="20">
        <f>B295+IF(WEEKDAY(B295,2)=6,2,1)</f>
        <v>46361</v>
      </c>
      <c r="C296" s="5">
        <f>MONTH(B296)</f>
        <v>12</v>
      </c>
      <c r="D296" s="5">
        <f>IF(C296&lt;&gt;C295,1,0)</f>
        <v>0</v>
      </c>
      <c r="E296" s="5">
        <f>IF(L295=1,CantPedido,0)</f>
        <v>0</v>
      </c>
      <c r="F296" s="5">
        <f>J295+E296</f>
        <v>15</v>
      </c>
      <c r="G296" s="5">
        <f>VLOOKUP(RAND(),TablaEmpirica,2,TRUE)</f>
        <v>5</v>
      </c>
      <c r="H296" s="5">
        <f>MIN(F296,G296)</f>
        <v>5</v>
      </c>
      <c r="I296" s="5">
        <f>G296-H296</f>
        <v>0</v>
      </c>
      <c r="J296" s="5">
        <f>F296-H296</f>
        <v>10</v>
      </c>
      <c r="K296" s="5">
        <f>IF(I296&gt;0,1,0)</f>
        <v>0</v>
      </c>
      <c r="L296" s="5">
        <f>IF(J296&lt;PuntoReorden,1,0)</f>
        <v>0</v>
      </c>
      <c r="M296" s="9">
        <f>PrecioVenta*H296</f>
        <v>3400000</v>
      </c>
      <c r="N296" s="9">
        <f>CostoUnitario*E296</f>
        <v>0</v>
      </c>
      <c r="O296" s="9">
        <f>IF(E296&gt;0,CostoPedido,0)</f>
        <v>0</v>
      </c>
      <c r="P296" s="9">
        <f>CostoAlm*(F296+J296)/2</f>
        <v>1000</v>
      </c>
      <c r="Q296" s="9">
        <f>CostoFijo*D296</f>
        <v>0</v>
      </c>
      <c r="R296" s="9">
        <f>M296-N296-O296-P296-Q296</f>
        <v>3399000</v>
      </c>
      <c r="S296" s="21">
        <f>PuntoReorden</f>
        <v>7</v>
      </c>
    </row>
    <row r="297">
      <c r="A297" s="5">
        <f>A296+1</f>
        <v>292</v>
      </c>
      <c r="B297" s="20">
        <f>B296+IF(WEEKDAY(B296,2)=6,2,1)</f>
        <v>46363</v>
      </c>
      <c r="C297" s="5">
        <f>MONTH(B297)</f>
        <v>12</v>
      </c>
      <c r="D297" s="5">
        <f>IF(C297&lt;&gt;C296,1,0)</f>
        <v>0</v>
      </c>
      <c r="E297" s="5">
        <f>IF(L296=1,CantPedido,0)</f>
        <v>0</v>
      </c>
      <c r="F297" s="5">
        <f>J296+E297</f>
        <v>10</v>
      </c>
      <c r="G297" s="5">
        <f>VLOOKUP(RAND(),TablaEmpirica,2,TRUE)</f>
        <v>3</v>
      </c>
      <c r="H297" s="5">
        <f>MIN(F297,G297)</f>
        <v>3</v>
      </c>
      <c r="I297" s="5">
        <f>G297-H297</f>
        <v>0</v>
      </c>
      <c r="J297" s="5">
        <f>F297-H297</f>
        <v>7</v>
      </c>
      <c r="K297" s="5">
        <f>IF(I297&gt;0,1,0)</f>
        <v>0</v>
      </c>
      <c r="L297" s="5">
        <f>IF(J297&lt;PuntoReorden,1,0)</f>
        <v>0</v>
      </c>
      <c r="M297" s="9">
        <f>PrecioVenta*H297</f>
        <v>2040000</v>
      </c>
      <c r="N297" s="9">
        <f>CostoUnitario*E297</f>
        <v>0</v>
      </c>
      <c r="O297" s="9">
        <f>IF(E297&gt;0,CostoPedido,0)</f>
        <v>0</v>
      </c>
      <c r="P297" s="9">
        <f>CostoAlm*(F297+J297)/2</f>
        <v>680</v>
      </c>
      <c r="Q297" s="9">
        <f>CostoFijo*D297</f>
        <v>0</v>
      </c>
      <c r="R297" s="9">
        <f>M297-N297-O297-P297-Q297</f>
        <v>2039320</v>
      </c>
      <c r="S297" s="21">
        <f>PuntoReorden</f>
        <v>7</v>
      </c>
    </row>
    <row r="298">
      <c r="A298" s="5">
        <f>A297+1</f>
        <v>293</v>
      </c>
      <c r="B298" s="20">
        <f>B297+IF(WEEKDAY(B297,2)=6,2,1)</f>
        <v>46364</v>
      </c>
      <c r="C298" s="5">
        <f>MONTH(B298)</f>
        <v>12</v>
      </c>
      <c r="D298" s="5">
        <f>IF(C298&lt;&gt;C297,1,0)</f>
        <v>0</v>
      </c>
      <c r="E298" s="5">
        <f>IF(L297=1,CantPedido,0)</f>
        <v>0</v>
      </c>
      <c r="F298" s="5">
        <f>J297+E298</f>
        <v>7</v>
      </c>
      <c r="G298" s="5">
        <f>VLOOKUP(RAND(),TablaEmpirica,2,TRUE)</f>
        <v>6</v>
      </c>
      <c r="H298" s="5">
        <f>MIN(F298,G298)</f>
        <v>6</v>
      </c>
      <c r="I298" s="5">
        <f>G298-H298</f>
        <v>0</v>
      </c>
      <c r="J298" s="5">
        <f>F298-H298</f>
        <v>1</v>
      </c>
      <c r="K298" s="5">
        <f>IF(I298&gt;0,1,0)</f>
        <v>0</v>
      </c>
      <c r="L298" s="5">
        <f>IF(J298&lt;PuntoReorden,1,0)</f>
        <v>1</v>
      </c>
      <c r="M298" s="9">
        <f>PrecioVenta*H298</f>
        <v>4080000</v>
      </c>
      <c r="N298" s="9">
        <f>CostoUnitario*E298</f>
        <v>0</v>
      </c>
      <c r="O298" s="9">
        <f>IF(E298&gt;0,CostoPedido,0)</f>
        <v>0</v>
      </c>
      <c r="P298" s="9">
        <f>CostoAlm*(F298+J298)/2</f>
        <v>320</v>
      </c>
      <c r="Q298" s="9">
        <f>CostoFijo*D298</f>
        <v>0</v>
      </c>
      <c r="R298" s="9">
        <f>M298-N298-O298-P298-Q298</f>
        <v>4079680</v>
      </c>
      <c r="S298" s="21">
        <f>PuntoReorden</f>
        <v>7</v>
      </c>
    </row>
    <row r="299">
      <c r="A299" s="5">
        <f>A298+1</f>
        <v>294</v>
      </c>
      <c r="B299" s="20">
        <f>B298+IF(WEEKDAY(B298,2)=6,2,1)</f>
        <v>46365</v>
      </c>
      <c r="C299" s="5">
        <f>MONTH(B299)</f>
        <v>12</v>
      </c>
      <c r="D299" s="5">
        <f>IF(C299&lt;&gt;C298,1,0)</f>
        <v>0</v>
      </c>
      <c r="E299" s="5">
        <f>IF(L298=1,CantPedido,0)</f>
        <v>15</v>
      </c>
      <c r="F299" s="5">
        <f>J298+E299</f>
        <v>16</v>
      </c>
      <c r="G299" s="5">
        <f>VLOOKUP(RAND(),TablaEmpirica,2,TRUE)</f>
        <v>5</v>
      </c>
      <c r="H299" s="5">
        <f>MIN(F299,G299)</f>
        <v>5</v>
      </c>
      <c r="I299" s="5">
        <f>G299-H299</f>
        <v>0</v>
      </c>
      <c r="J299" s="5">
        <f>F299-H299</f>
        <v>11</v>
      </c>
      <c r="K299" s="5">
        <f>IF(I299&gt;0,1,0)</f>
        <v>0</v>
      </c>
      <c r="L299" s="5">
        <f>IF(J299&lt;PuntoReorden,1,0)</f>
        <v>0</v>
      </c>
      <c r="M299" s="9">
        <f>PrecioVenta*H299</f>
        <v>3400000</v>
      </c>
      <c r="N299" s="9">
        <f>CostoUnitario*E299</f>
        <v>9000000</v>
      </c>
      <c r="O299" s="9">
        <f>IF(E299&gt;0,CostoPedido,0)</f>
        <v>40000</v>
      </c>
      <c r="P299" s="9">
        <f>CostoAlm*(F299+J299)/2</f>
        <v>1080</v>
      </c>
      <c r="Q299" s="9">
        <f>CostoFijo*D299</f>
        <v>0</v>
      </c>
      <c r="R299" s="9">
        <f>M299-N299-O299-P299-Q299</f>
        <v>-5641080</v>
      </c>
      <c r="S299" s="21">
        <f>PuntoReorden</f>
        <v>7</v>
      </c>
    </row>
    <row r="300">
      <c r="A300" s="5">
        <f>A299+1</f>
        <v>295</v>
      </c>
      <c r="B300" s="20">
        <f>B299+IF(WEEKDAY(B299,2)=6,2,1)</f>
        <v>46366</v>
      </c>
      <c r="C300" s="5">
        <f>MONTH(B300)</f>
        <v>12</v>
      </c>
      <c r="D300" s="5">
        <f>IF(C300&lt;&gt;C299,1,0)</f>
        <v>0</v>
      </c>
      <c r="E300" s="5">
        <f>IF(L299=1,CantPedido,0)</f>
        <v>0</v>
      </c>
      <c r="F300" s="5">
        <f>J299+E300</f>
        <v>11</v>
      </c>
      <c r="G300" s="5">
        <f>VLOOKUP(RAND(),TablaEmpirica,2,TRUE)</f>
        <v>3</v>
      </c>
      <c r="H300" s="5">
        <f>MIN(F300,G300)</f>
        <v>3</v>
      </c>
      <c r="I300" s="5">
        <f>G300-H300</f>
        <v>0</v>
      </c>
      <c r="J300" s="5">
        <f>F300-H300</f>
        <v>8</v>
      </c>
      <c r="K300" s="5">
        <f>IF(I300&gt;0,1,0)</f>
        <v>0</v>
      </c>
      <c r="L300" s="5">
        <f>IF(J300&lt;PuntoReorden,1,0)</f>
        <v>0</v>
      </c>
      <c r="M300" s="9">
        <f>PrecioVenta*H300</f>
        <v>2040000</v>
      </c>
      <c r="N300" s="9">
        <f>CostoUnitario*E300</f>
        <v>0</v>
      </c>
      <c r="O300" s="9">
        <f>IF(E300&gt;0,CostoPedido,0)</f>
        <v>0</v>
      </c>
      <c r="P300" s="9">
        <f>CostoAlm*(F300+J300)/2</f>
        <v>760</v>
      </c>
      <c r="Q300" s="9">
        <f>CostoFijo*D300</f>
        <v>0</v>
      </c>
      <c r="R300" s="9">
        <f>M300-N300-O300-P300-Q300</f>
        <v>2039240</v>
      </c>
      <c r="S300" s="21">
        <f>PuntoReorden</f>
        <v>7</v>
      </c>
    </row>
    <row r="301">
      <c r="A301" s="5">
        <f>A300+1</f>
        <v>296</v>
      </c>
      <c r="B301" s="20">
        <f>B300+IF(WEEKDAY(B300,2)=6,2,1)</f>
        <v>46367</v>
      </c>
      <c r="C301" s="5">
        <f>MONTH(B301)</f>
        <v>12</v>
      </c>
      <c r="D301" s="5">
        <f>IF(C301&lt;&gt;C300,1,0)</f>
        <v>0</v>
      </c>
      <c r="E301" s="5">
        <f>IF(L300=1,CantPedido,0)</f>
        <v>0</v>
      </c>
      <c r="F301" s="5">
        <f>J300+E301</f>
        <v>8</v>
      </c>
      <c r="G301" s="5">
        <f>VLOOKUP(RAND(),TablaEmpirica,2,TRUE)</f>
        <v>5</v>
      </c>
      <c r="H301" s="5">
        <f>MIN(F301,G301)</f>
        <v>5</v>
      </c>
      <c r="I301" s="5">
        <f>G301-H301</f>
        <v>0</v>
      </c>
      <c r="J301" s="5">
        <f>F301-H301</f>
        <v>3</v>
      </c>
      <c r="K301" s="5">
        <f>IF(I301&gt;0,1,0)</f>
        <v>0</v>
      </c>
      <c r="L301" s="5">
        <f>IF(J301&lt;PuntoReorden,1,0)</f>
        <v>1</v>
      </c>
      <c r="M301" s="9">
        <f>PrecioVenta*H301</f>
        <v>3400000</v>
      </c>
      <c r="N301" s="9">
        <f>CostoUnitario*E301</f>
        <v>0</v>
      </c>
      <c r="O301" s="9">
        <f>IF(E301&gt;0,CostoPedido,0)</f>
        <v>0</v>
      </c>
      <c r="P301" s="9">
        <f>CostoAlm*(F301+J301)/2</f>
        <v>440</v>
      </c>
      <c r="Q301" s="9">
        <f>CostoFijo*D301</f>
        <v>0</v>
      </c>
      <c r="R301" s="9">
        <f>M301-N301-O301-P301-Q301</f>
        <v>3399560</v>
      </c>
      <c r="S301" s="21">
        <f>PuntoReorden</f>
        <v>7</v>
      </c>
    </row>
    <row r="302">
      <c r="A302" s="5">
        <f>A301+1</f>
        <v>297</v>
      </c>
      <c r="B302" s="20">
        <f>B301+IF(WEEKDAY(B301,2)=6,2,1)</f>
        <v>46368</v>
      </c>
      <c r="C302" s="5">
        <f>MONTH(B302)</f>
        <v>12</v>
      </c>
      <c r="D302" s="5">
        <f>IF(C302&lt;&gt;C301,1,0)</f>
        <v>0</v>
      </c>
      <c r="E302" s="5">
        <f>IF(L301=1,CantPedido,0)</f>
        <v>15</v>
      </c>
      <c r="F302" s="5">
        <f>J301+E302</f>
        <v>18</v>
      </c>
      <c r="G302" s="5">
        <f>VLOOKUP(RAND(),TablaEmpirica,2,TRUE)</f>
        <v>6</v>
      </c>
      <c r="H302" s="5">
        <f>MIN(F302,G302)</f>
        <v>6</v>
      </c>
      <c r="I302" s="5">
        <f>G302-H302</f>
        <v>0</v>
      </c>
      <c r="J302" s="5">
        <f>F302-H302</f>
        <v>12</v>
      </c>
      <c r="K302" s="5">
        <f>IF(I302&gt;0,1,0)</f>
        <v>0</v>
      </c>
      <c r="L302" s="5">
        <f>IF(J302&lt;PuntoReorden,1,0)</f>
        <v>0</v>
      </c>
      <c r="M302" s="9">
        <f>PrecioVenta*H302</f>
        <v>4080000</v>
      </c>
      <c r="N302" s="9">
        <f>CostoUnitario*E302</f>
        <v>9000000</v>
      </c>
      <c r="O302" s="9">
        <f>IF(E302&gt;0,CostoPedido,0)</f>
        <v>40000</v>
      </c>
      <c r="P302" s="9">
        <f>CostoAlm*(F302+J302)/2</f>
        <v>1200</v>
      </c>
      <c r="Q302" s="9">
        <f>CostoFijo*D302</f>
        <v>0</v>
      </c>
      <c r="R302" s="9">
        <f>M302-N302-O302-P302-Q302</f>
        <v>-4961200</v>
      </c>
      <c r="S302" s="21">
        <f>PuntoReorden</f>
        <v>7</v>
      </c>
    </row>
    <row r="303">
      <c r="A303" s="5">
        <f>A302+1</f>
        <v>298</v>
      </c>
      <c r="B303" s="20">
        <f>B302+IF(WEEKDAY(B302,2)=6,2,1)</f>
        <v>46370</v>
      </c>
      <c r="C303" s="5">
        <f>MONTH(B303)</f>
        <v>12</v>
      </c>
      <c r="D303" s="5">
        <f>IF(C303&lt;&gt;C302,1,0)</f>
        <v>0</v>
      </c>
      <c r="E303" s="5">
        <f>IF(L302=1,CantPedido,0)</f>
        <v>0</v>
      </c>
      <c r="F303" s="5">
        <f>J302+E303</f>
        <v>12</v>
      </c>
      <c r="G303" s="5">
        <f>VLOOKUP(RAND(),TablaEmpirica,2,TRUE)</f>
        <v>5</v>
      </c>
      <c r="H303" s="5">
        <f>MIN(F303,G303)</f>
        <v>5</v>
      </c>
      <c r="I303" s="5">
        <f>G303-H303</f>
        <v>0</v>
      </c>
      <c r="J303" s="5">
        <f>F303-H303</f>
        <v>7</v>
      </c>
      <c r="K303" s="5">
        <f>IF(I303&gt;0,1,0)</f>
        <v>0</v>
      </c>
      <c r="L303" s="5">
        <f>IF(J303&lt;PuntoReorden,1,0)</f>
        <v>0</v>
      </c>
      <c r="M303" s="9">
        <f>PrecioVenta*H303</f>
        <v>3400000</v>
      </c>
      <c r="N303" s="9">
        <f>CostoUnitario*E303</f>
        <v>0</v>
      </c>
      <c r="O303" s="9">
        <f>IF(E303&gt;0,CostoPedido,0)</f>
        <v>0</v>
      </c>
      <c r="P303" s="9">
        <f>CostoAlm*(F303+J303)/2</f>
        <v>760</v>
      </c>
      <c r="Q303" s="9">
        <f>CostoFijo*D303</f>
        <v>0</v>
      </c>
      <c r="R303" s="9">
        <f>M303-N303-O303-P303-Q303</f>
        <v>3399240</v>
      </c>
      <c r="S303" s="21">
        <f>PuntoReorden</f>
        <v>7</v>
      </c>
    </row>
    <row r="304">
      <c r="A304" s="5">
        <f>A303+1</f>
        <v>299</v>
      </c>
      <c r="B304" s="20">
        <f>B303+IF(WEEKDAY(B303,2)=6,2,1)</f>
        <v>46371</v>
      </c>
      <c r="C304" s="5">
        <f>MONTH(B304)</f>
        <v>12</v>
      </c>
      <c r="D304" s="5">
        <f>IF(C304&lt;&gt;C303,1,0)</f>
        <v>0</v>
      </c>
      <c r="E304" s="5">
        <f>IF(L303=1,CantPedido,0)</f>
        <v>0</v>
      </c>
      <c r="F304" s="5">
        <f>J303+E304</f>
        <v>7</v>
      </c>
      <c r="G304" s="5">
        <f>VLOOKUP(RAND(),TablaEmpirica,2,TRUE)</f>
        <v>3</v>
      </c>
      <c r="H304" s="5">
        <f>MIN(F304,G304)</f>
        <v>3</v>
      </c>
      <c r="I304" s="5">
        <f>G304-H304</f>
        <v>0</v>
      </c>
      <c r="J304" s="5">
        <f>F304-H304</f>
        <v>4</v>
      </c>
      <c r="K304" s="5">
        <f>IF(I304&gt;0,1,0)</f>
        <v>0</v>
      </c>
      <c r="L304" s="5">
        <f>IF(J304&lt;PuntoReorden,1,0)</f>
        <v>1</v>
      </c>
      <c r="M304" s="9">
        <f>PrecioVenta*H304</f>
        <v>2040000</v>
      </c>
      <c r="N304" s="9">
        <f>CostoUnitario*E304</f>
        <v>0</v>
      </c>
      <c r="O304" s="9">
        <f>IF(E304&gt;0,CostoPedido,0)</f>
        <v>0</v>
      </c>
      <c r="P304" s="9">
        <f>CostoAlm*(F304+J304)/2</f>
        <v>440</v>
      </c>
      <c r="Q304" s="9">
        <f>CostoFijo*D304</f>
        <v>0</v>
      </c>
      <c r="R304" s="9">
        <f>M304-N304-O304-P304-Q304</f>
        <v>2039560</v>
      </c>
      <c r="S304" s="21">
        <f>PuntoReorden</f>
        <v>7</v>
      </c>
    </row>
    <row r="305">
      <c r="A305" s="5">
        <f>A304+1</f>
        <v>300</v>
      </c>
      <c r="B305" s="20">
        <f>B304+IF(WEEKDAY(B304,2)=6,2,1)</f>
        <v>46372</v>
      </c>
      <c r="C305" s="5">
        <f>MONTH(B305)</f>
        <v>12</v>
      </c>
      <c r="D305" s="5">
        <f>IF(C305&lt;&gt;C304,1,0)</f>
        <v>0</v>
      </c>
      <c r="E305" s="5">
        <f>IF(L304=1,CantPedido,0)</f>
        <v>15</v>
      </c>
      <c r="F305" s="5">
        <f>J304+E305</f>
        <v>19</v>
      </c>
      <c r="G305" s="5">
        <f>VLOOKUP(RAND(),TablaEmpirica,2,TRUE)</f>
        <v>7</v>
      </c>
      <c r="H305" s="5">
        <f>MIN(F305,G305)</f>
        <v>7</v>
      </c>
      <c r="I305" s="5">
        <f>G305-H305</f>
        <v>0</v>
      </c>
      <c r="J305" s="5">
        <f>F305-H305</f>
        <v>12</v>
      </c>
      <c r="K305" s="5">
        <f>IF(I305&gt;0,1,0)</f>
        <v>0</v>
      </c>
      <c r="L305" s="5">
        <f>IF(J305&lt;PuntoReorden,1,0)</f>
        <v>0</v>
      </c>
      <c r="M305" s="9">
        <f>PrecioVenta*H305</f>
        <v>4760000</v>
      </c>
      <c r="N305" s="9">
        <f>CostoUnitario*E305</f>
        <v>9000000</v>
      </c>
      <c r="O305" s="9">
        <f>IF(E305&gt;0,CostoPedido,0)</f>
        <v>40000</v>
      </c>
      <c r="P305" s="9">
        <f>CostoAlm*(F305+J305)/2</f>
        <v>1240</v>
      </c>
      <c r="Q305" s="9">
        <f>CostoFijo*D305</f>
        <v>0</v>
      </c>
      <c r="R305" s="9">
        <f>M305-N305-O305-P305-Q305</f>
        <v>-4281240</v>
      </c>
      <c r="S305" s="21">
        <f>PuntoReorden</f>
        <v>7</v>
      </c>
    </row>
    <row r="306">
      <c r="A306" s="5">
        <f>A305+1</f>
        <v>301</v>
      </c>
      <c r="B306" s="20">
        <f>B305+IF(WEEKDAY(B305,2)=6,2,1)</f>
        <v>46373</v>
      </c>
      <c r="C306" s="5">
        <f>MONTH(B306)</f>
        <v>12</v>
      </c>
      <c r="D306" s="5">
        <f>IF(C306&lt;&gt;C305,1,0)</f>
        <v>0</v>
      </c>
      <c r="E306" s="5">
        <f>IF(L305=1,CantPedido,0)</f>
        <v>0</v>
      </c>
      <c r="F306" s="5">
        <f>J305+E306</f>
        <v>12</v>
      </c>
      <c r="G306" s="5">
        <f>VLOOKUP(RAND(),TablaEmpirica,2,TRUE)</f>
        <v>6</v>
      </c>
      <c r="H306" s="5">
        <f>MIN(F306,G306)</f>
        <v>6</v>
      </c>
      <c r="I306" s="5">
        <f>G306-H306</f>
        <v>0</v>
      </c>
      <c r="J306" s="5">
        <f>F306-H306</f>
        <v>6</v>
      </c>
      <c r="K306" s="5">
        <f>IF(I306&gt;0,1,0)</f>
        <v>0</v>
      </c>
      <c r="L306" s="5">
        <f>IF(J306&lt;PuntoReorden,1,0)</f>
        <v>1</v>
      </c>
      <c r="M306" s="9">
        <f>PrecioVenta*H306</f>
        <v>4080000</v>
      </c>
      <c r="N306" s="9">
        <f>CostoUnitario*E306</f>
        <v>0</v>
      </c>
      <c r="O306" s="9">
        <f>IF(E306&gt;0,CostoPedido,0)</f>
        <v>0</v>
      </c>
      <c r="P306" s="9">
        <f>CostoAlm*(F306+J306)/2</f>
        <v>720</v>
      </c>
      <c r="Q306" s="9">
        <f>CostoFijo*D306</f>
        <v>0</v>
      </c>
      <c r="R306" s="9">
        <f>M306-N306-O306-P306-Q306</f>
        <v>4079280</v>
      </c>
      <c r="S306" s="21">
        <f>PuntoReorden</f>
        <v>7</v>
      </c>
    </row>
    <row r="307">
      <c r="A307" s="5">
        <f>A306+1</f>
        <v>302</v>
      </c>
      <c r="B307" s="20">
        <f>B306+IF(WEEKDAY(B306,2)=6,2,1)</f>
        <v>46374</v>
      </c>
      <c r="C307" s="5">
        <f>MONTH(B307)</f>
        <v>12</v>
      </c>
      <c r="D307" s="5">
        <f>IF(C307&lt;&gt;C306,1,0)</f>
        <v>0</v>
      </c>
      <c r="E307" s="5">
        <f>IF(L306=1,CantPedido,0)</f>
        <v>15</v>
      </c>
      <c r="F307" s="5">
        <f>J306+E307</f>
        <v>21</v>
      </c>
      <c r="G307" s="5">
        <f>VLOOKUP(RAND(),TablaEmpirica,2,TRUE)</f>
        <v>3</v>
      </c>
      <c r="H307" s="5">
        <f>MIN(F307,G307)</f>
        <v>3</v>
      </c>
      <c r="I307" s="5">
        <f>G307-H307</f>
        <v>0</v>
      </c>
      <c r="J307" s="5">
        <f>F307-H307</f>
        <v>18</v>
      </c>
      <c r="K307" s="5">
        <f>IF(I307&gt;0,1,0)</f>
        <v>0</v>
      </c>
      <c r="L307" s="5">
        <f>IF(J307&lt;PuntoReorden,1,0)</f>
        <v>0</v>
      </c>
      <c r="M307" s="9">
        <f>PrecioVenta*H307</f>
        <v>2040000</v>
      </c>
      <c r="N307" s="9">
        <f>CostoUnitario*E307</f>
        <v>9000000</v>
      </c>
      <c r="O307" s="9">
        <f>IF(E307&gt;0,CostoPedido,0)</f>
        <v>40000</v>
      </c>
      <c r="P307" s="9">
        <f>CostoAlm*(F307+J307)/2</f>
        <v>1560</v>
      </c>
      <c r="Q307" s="9">
        <f>CostoFijo*D307</f>
        <v>0</v>
      </c>
      <c r="R307" s="9">
        <f>M307-N307-O307-P307-Q307</f>
        <v>-7001560</v>
      </c>
      <c r="S307" s="21">
        <f>PuntoReorden</f>
        <v>7</v>
      </c>
    </row>
    <row r="308">
      <c r="A308" s="5">
        <f>A307+1</f>
        <v>303</v>
      </c>
      <c r="B308" s="20">
        <f>B307+IF(WEEKDAY(B307,2)=6,2,1)</f>
        <v>46375</v>
      </c>
      <c r="C308" s="5">
        <f>MONTH(B308)</f>
        <v>12</v>
      </c>
      <c r="D308" s="5">
        <f>IF(C308&lt;&gt;C307,1,0)</f>
        <v>0</v>
      </c>
      <c r="E308" s="5">
        <f>IF(L307=1,CantPedido,0)</f>
        <v>0</v>
      </c>
      <c r="F308" s="5">
        <f>J307+E308</f>
        <v>18</v>
      </c>
      <c r="G308" s="5">
        <f>VLOOKUP(RAND(),TablaEmpirica,2,TRUE)</f>
        <v>4</v>
      </c>
      <c r="H308" s="5">
        <f>MIN(F308,G308)</f>
        <v>4</v>
      </c>
      <c r="I308" s="5">
        <f>G308-H308</f>
        <v>0</v>
      </c>
      <c r="J308" s="5">
        <f>F308-H308</f>
        <v>14</v>
      </c>
      <c r="K308" s="5">
        <f>IF(I308&gt;0,1,0)</f>
        <v>0</v>
      </c>
      <c r="L308" s="5">
        <f>IF(J308&lt;PuntoReorden,1,0)</f>
        <v>0</v>
      </c>
      <c r="M308" s="9">
        <f>PrecioVenta*H308</f>
        <v>2720000</v>
      </c>
      <c r="N308" s="9">
        <f>CostoUnitario*E308</f>
        <v>0</v>
      </c>
      <c r="O308" s="9">
        <f>IF(E308&gt;0,CostoPedido,0)</f>
        <v>0</v>
      </c>
      <c r="P308" s="9">
        <f>CostoAlm*(F308+J308)/2</f>
        <v>1280</v>
      </c>
      <c r="Q308" s="9">
        <f>CostoFijo*D308</f>
        <v>0</v>
      </c>
      <c r="R308" s="9">
        <f>M308-N308-O308-P308-Q308</f>
        <v>2718720</v>
      </c>
      <c r="S308" s="21">
        <f>PuntoReorden</f>
        <v>7</v>
      </c>
    </row>
    <row r="309">
      <c r="A309" s="5">
        <f>A308+1</f>
        <v>304</v>
      </c>
      <c r="B309" s="20">
        <f>B308+IF(WEEKDAY(B308,2)=6,2,1)</f>
        <v>46377</v>
      </c>
      <c r="C309" s="5">
        <f>MONTH(B309)</f>
        <v>12</v>
      </c>
      <c r="D309" s="5">
        <f>IF(C309&lt;&gt;C308,1,0)</f>
        <v>0</v>
      </c>
      <c r="E309" s="5">
        <f>IF(L308=1,CantPedido,0)</f>
        <v>0</v>
      </c>
      <c r="F309" s="5">
        <f>J308+E309</f>
        <v>14</v>
      </c>
      <c r="G309" s="5">
        <f>VLOOKUP(RAND(),TablaEmpirica,2,TRUE)</f>
        <v>5</v>
      </c>
      <c r="H309" s="5">
        <f>MIN(F309,G309)</f>
        <v>5</v>
      </c>
      <c r="I309" s="5">
        <f>G309-H309</f>
        <v>0</v>
      </c>
      <c r="J309" s="5">
        <f>F309-H309</f>
        <v>9</v>
      </c>
      <c r="K309" s="5">
        <f>IF(I309&gt;0,1,0)</f>
        <v>0</v>
      </c>
      <c r="L309" s="5">
        <f>IF(J309&lt;PuntoReorden,1,0)</f>
        <v>0</v>
      </c>
      <c r="M309" s="9">
        <f>PrecioVenta*H309</f>
        <v>3400000</v>
      </c>
      <c r="N309" s="9">
        <f>CostoUnitario*E309</f>
        <v>0</v>
      </c>
      <c r="O309" s="9">
        <f>IF(E309&gt;0,CostoPedido,0)</f>
        <v>0</v>
      </c>
      <c r="P309" s="9">
        <f>CostoAlm*(F309+J309)/2</f>
        <v>920</v>
      </c>
      <c r="Q309" s="9">
        <f>CostoFijo*D309</f>
        <v>0</v>
      </c>
      <c r="R309" s="9">
        <f>M309-N309-O309-P309-Q309</f>
        <v>3399080</v>
      </c>
      <c r="S309" s="21">
        <f>PuntoReorden</f>
        <v>7</v>
      </c>
    </row>
    <row r="310">
      <c r="A310" s="5">
        <f>A309+1</f>
        <v>305</v>
      </c>
      <c r="B310" s="20">
        <f>B309+IF(WEEKDAY(B309,2)=6,2,1)</f>
        <v>46378</v>
      </c>
      <c r="C310" s="5">
        <f>MONTH(B310)</f>
        <v>12</v>
      </c>
      <c r="D310" s="5">
        <f>IF(C310&lt;&gt;C309,1,0)</f>
        <v>0</v>
      </c>
      <c r="E310" s="5">
        <f>IF(L309=1,CantPedido,0)</f>
        <v>0</v>
      </c>
      <c r="F310" s="5">
        <f>J309+E310</f>
        <v>9</v>
      </c>
      <c r="G310" s="5">
        <f>VLOOKUP(RAND(),TablaEmpirica,2,TRUE)</f>
        <v>3</v>
      </c>
      <c r="H310" s="5">
        <f>MIN(F310,G310)</f>
        <v>3</v>
      </c>
      <c r="I310" s="5">
        <f>G310-H310</f>
        <v>0</v>
      </c>
      <c r="J310" s="5">
        <f>F310-H310</f>
        <v>6</v>
      </c>
      <c r="K310" s="5">
        <f>IF(I310&gt;0,1,0)</f>
        <v>0</v>
      </c>
      <c r="L310" s="5">
        <f>IF(J310&lt;PuntoReorden,1,0)</f>
        <v>1</v>
      </c>
      <c r="M310" s="9">
        <f>PrecioVenta*H310</f>
        <v>2040000</v>
      </c>
      <c r="N310" s="9">
        <f>CostoUnitario*E310</f>
        <v>0</v>
      </c>
      <c r="O310" s="9">
        <f>IF(E310&gt;0,CostoPedido,0)</f>
        <v>0</v>
      </c>
      <c r="P310" s="9">
        <f>CostoAlm*(F310+J310)/2</f>
        <v>600</v>
      </c>
      <c r="Q310" s="9">
        <f>CostoFijo*D310</f>
        <v>0</v>
      </c>
      <c r="R310" s="9">
        <f>M310-N310-O310-P310-Q310</f>
        <v>2039400</v>
      </c>
      <c r="S310" s="21">
        <f>PuntoReorden</f>
        <v>7</v>
      </c>
    </row>
    <row r="311">
      <c r="A311" s="5">
        <f>A310+1</f>
        <v>306</v>
      </c>
      <c r="B311" s="20">
        <f>B310+IF(WEEKDAY(B310,2)=6,2,1)</f>
        <v>46379</v>
      </c>
      <c r="C311" s="5">
        <f>MONTH(B311)</f>
        <v>12</v>
      </c>
      <c r="D311" s="5">
        <f>IF(C311&lt;&gt;C310,1,0)</f>
        <v>0</v>
      </c>
      <c r="E311" s="5">
        <f>IF(L310=1,CantPedido,0)</f>
        <v>15</v>
      </c>
      <c r="F311" s="5">
        <f>J310+E311</f>
        <v>21</v>
      </c>
      <c r="G311" s="5">
        <f>VLOOKUP(RAND(),TablaEmpirica,2,TRUE)</f>
        <v>3</v>
      </c>
      <c r="H311" s="5">
        <f>MIN(F311,G311)</f>
        <v>3</v>
      </c>
      <c r="I311" s="5">
        <f>G311-H311</f>
        <v>0</v>
      </c>
      <c r="J311" s="5">
        <f>F311-H311</f>
        <v>18</v>
      </c>
      <c r="K311" s="5">
        <f>IF(I311&gt;0,1,0)</f>
        <v>0</v>
      </c>
      <c r="L311" s="5">
        <f>IF(J311&lt;PuntoReorden,1,0)</f>
        <v>0</v>
      </c>
      <c r="M311" s="9">
        <f>PrecioVenta*H311</f>
        <v>2040000</v>
      </c>
      <c r="N311" s="9">
        <f>CostoUnitario*E311</f>
        <v>9000000</v>
      </c>
      <c r="O311" s="9">
        <f>IF(E311&gt;0,CostoPedido,0)</f>
        <v>40000</v>
      </c>
      <c r="P311" s="9">
        <f>CostoAlm*(F311+J311)/2</f>
        <v>1560</v>
      </c>
      <c r="Q311" s="9">
        <f>CostoFijo*D311</f>
        <v>0</v>
      </c>
      <c r="R311" s="9">
        <f>M311-N311-O311-P311-Q311</f>
        <v>-7001560</v>
      </c>
      <c r="S311" s="21">
        <f>PuntoReorden</f>
        <v>7</v>
      </c>
    </row>
    <row r="312">
      <c r="A312" s="5">
        <f>A311+1</f>
        <v>307</v>
      </c>
      <c r="B312" s="20">
        <f>B311+IF(WEEKDAY(B311,2)=6,2,1)</f>
        <v>46380</v>
      </c>
      <c r="C312" s="5">
        <f>MONTH(B312)</f>
        <v>12</v>
      </c>
      <c r="D312" s="5">
        <f>IF(C312&lt;&gt;C311,1,0)</f>
        <v>0</v>
      </c>
      <c r="E312" s="5">
        <f>IF(L311=1,CantPedido,0)</f>
        <v>0</v>
      </c>
      <c r="F312" s="5">
        <f>J311+E312</f>
        <v>18</v>
      </c>
      <c r="G312" s="5">
        <f>VLOOKUP(RAND(),TablaEmpirica,2,TRUE)</f>
        <v>5</v>
      </c>
      <c r="H312" s="5">
        <f>MIN(F312,G312)</f>
        <v>5</v>
      </c>
      <c r="I312" s="5">
        <f>G312-H312</f>
        <v>0</v>
      </c>
      <c r="J312" s="5">
        <f>F312-H312</f>
        <v>13</v>
      </c>
      <c r="K312" s="5">
        <f>IF(I312&gt;0,1,0)</f>
        <v>0</v>
      </c>
      <c r="L312" s="5">
        <f>IF(J312&lt;PuntoReorden,1,0)</f>
        <v>0</v>
      </c>
      <c r="M312" s="9">
        <f>PrecioVenta*H312</f>
        <v>3400000</v>
      </c>
      <c r="N312" s="9">
        <f>CostoUnitario*E312</f>
        <v>0</v>
      </c>
      <c r="O312" s="9">
        <f>IF(E312&gt;0,CostoPedido,0)</f>
        <v>0</v>
      </c>
      <c r="P312" s="9">
        <f>CostoAlm*(F312+J312)/2</f>
        <v>1240</v>
      </c>
      <c r="Q312" s="9">
        <f>CostoFijo*D312</f>
        <v>0</v>
      </c>
      <c r="R312" s="9">
        <f>M312-N312-O312-P312-Q312</f>
        <v>3398760</v>
      </c>
      <c r="S312" s="21">
        <f>PuntoReorden</f>
        <v>7</v>
      </c>
    </row>
    <row r="313">
      <c r="A313" s="5">
        <f>A312+1</f>
        <v>308</v>
      </c>
      <c r="B313" s="20">
        <f>B312+IF(WEEKDAY(B312,2)=6,2,1)</f>
        <v>46381</v>
      </c>
      <c r="C313" s="5">
        <f>MONTH(B313)</f>
        <v>12</v>
      </c>
      <c r="D313" s="5">
        <f>IF(C313&lt;&gt;C312,1,0)</f>
        <v>0</v>
      </c>
      <c r="E313" s="5">
        <f>IF(L312=1,CantPedido,0)</f>
        <v>0</v>
      </c>
      <c r="F313" s="5">
        <f>J312+E313</f>
        <v>13</v>
      </c>
      <c r="G313" s="5">
        <f>VLOOKUP(RAND(),TablaEmpirica,2,TRUE)</f>
        <v>5</v>
      </c>
      <c r="H313" s="5">
        <f>MIN(F313,G313)</f>
        <v>5</v>
      </c>
      <c r="I313" s="5">
        <f>G313-H313</f>
        <v>0</v>
      </c>
      <c r="J313" s="5">
        <f>F313-H313</f>
        <v>8</v>
      </c>
      <c r="K313" s="5">
        <f>IF(I313&gt;0,1,0)</f>
        <v>0</v>
      </c>
      <c r="L313" s="5">
        <f>IF(J313&lt;PuntoReorden,1,0)</f>
        <v>0</v>
      </c>
      <c r="M313" s="9">
        <f>PrecioVenta*H313</f>
        <v>3400000</v>
      </c>
      <c r="N313" s="9">
        <f>CostoUnitario*E313</f>
        <v>0</v>
      </c>
      <c r="O313" s="9">
        <f>IF(E313&gt;0,CostoPedido,0)</f>
        <v>0</v>
      </c>
      <c r="P313" s="9">
        <f>CostoAlm*(F313+J313)/2</f>
        <v>840</v>
      </c>
      <c r="Q313" s="9">
        <f>CostoFijo*D313</f>
        <v>0</v>
      </c>
      <c r="R313" s="9">
        <f>M313-N313-O313-P313-Q313</f>
        <v>3399160</v>
      </c>
      <c r="S313" s="21">
        <f>PuntoReorden</f>
        <v>7</v>
      </c>
    </row>
    <row r="314">
      <c r="A314" s="5">
        <f>A313+1</f>
        <v>309</v>
      </c>
      <c r="B314" s="20">
        <f>B313+IF(WEEKDAY(B313,2)=6,2,1)</f>
        <v>46382</v>
      </c>
      <c r="C314" s="5">
        <f>MONTH(B314)</f>
        <v>12</v>
      </c>
      <c r="D314" s="5">
        <f>IF(C314&lt;&gt;C313,1,0)</f>
        <v>0</v>
      </c>
      <c r="E314" s="5">
        <f>IF(L313=1,CantPedido,0)</f>
        <v>0</v>
      </c>
      <c r="F314" s="5">
        <f>J313+E314</f>
        <v>8</v>
      </c>
      <c r="G314" s="5">
        <f>VLOOKUP(RAND(),TablaEmpirica,2,TRUE)</f>
        <v>6</v>
      </c>
      <c r="H314" s="5">
        <f>MIN(F314,G314)</f>
        <v>6</v>
      </c>
      <c r="I314" s="5">
        <f>G314-H314</f>
        <v>0</v>
      </c>
      <c r="J314" s="5">
        <f>F314-H314</f>
        <v>2</v>
      </c>
      <c r="K314" s="5">
        <f>IF(I314&gt;0,1,0)</f>
        <v>0</v>
      </c>
      <c r="L314" s="5">
        <f>IF(J314&lt;PuntoReorden,1,0)</f>
        <v>1</v>
      </c>
      <c r="M314" s="9">
        <f>PrecioVenta*H314</f>
        <v>4080000</v>
      </c>
      <c r="N314" s="9">
        <f>CostoUnitario*E314</f>
        <v>0</v>
      </c>
      <c r="O314" s="9">
        <f>IF(E314&gt;0,CostoPedido,0)</f>
        <v>0</v>
      </c>
      <c r="P314" s="9">
        <f>CostoAlm*(F314+J314)/2</f>
        <v>400</v>
      </c>
      <c r="Q314" s="9">
        <f>CostoFijo*D314</f>
        <v>0</v>
      </c>
      <c r="R314" s="9">
        <f>M314-N314-O314-P314-Q314</f>
        <v>4079600</v>
      </c>
      <c r="S314" s="21">
        <f>PuntoReorden</f>
        <v>7</v>
      </c>
    </row>
    <row r="315">
      <c r="A315" s="5">
        <f>A314+1</f>
        <v>310</v>
      </c>
      <c r="B315" s="20">
        <f>B314+IF(WEEKDAY(B314,2)=6,2,1)</f>
        <v>46384</v>
      </c>
      <c r="C315" s="5">
        <f>MONTH(B315)</f>
        <v>12</v>
      </c>
      <c r="D315" s="5">
        <f>IF(C315&lt;&gt;C314,1,0)</f>
        <v>0</v>
      </c>
      <c r="E315" s="5">
        <f>IF(L314=1,CantPedido,0)</f>
        <v>15</v>
      </c>
      <c r="F315" s="5">
        <f>J314+E315</f>
        <v>17</v>
      </c>
      <c r="G315" s="5">
        <f>VLOOKUP(RAND(),TablaEmpirica,2,TRUE)</f>
        <v>3</v>
      </c>
      <c r="H315" s="5">
        <f>MIN(F315,G315)</f>
        <v>3</v>
      </c>
      <c r="I315" s="5">
        <f>G315-H315</f>
        <v>0</v>
      </c>
      <c r="J315" s="5">
        <f>F315-H315</f>
        <v>14</v>
      </c>
      <c r="K315" s="5">
        <f>IF(I315&gt;0,1,0)</f>
        <v>0</v>
      </c>
      <c r="L315" s="5">
        <f>IF(J315&lt;PuntoReorden,1,0)</f>
        <v>0</v>
      </c>
      <c r="M315" s="9">
        <f>PrecioVenta*H315</f>
        <v>2040000</v>
      </c>
      <c r="N315" s="9">
        <f>CostoUnitario*E315</f>
        <v>9000000</v>
      </c>
      <c r="O315" s="9">
        <f>IF(E315&gt;0,CostoPedido,0)</f>
        <v>40000</v>
      </c>
      <c r="P315" s="9">
        <f>CostoAlm*(F315+J315)/2</f>
        <v>1240</v>
      </c>
      <c r="Q315" s="9">
        <f>CostoFijo*D315</f>
        <v>0</v>
      </c>
      <c r="R315" s="9">
        <f>M315-N315-O315-P315-Q315</f>
        <v>-7001240</v>
      </c>
      <c r="S315" s="21">
        <f>PuntoReorden</f>
        <v>7</v>
      </c>
    </row>
    <row r="316">
      <c r="A316" s="5">
        <f>A315+1</f>
        <v>311</v>
      </c>
      <c r="B316" s="20">
        <f>B315+IF(WEEKDAY(B315,2)=6,2,1)</f>
        <v>46385</v>
      </c>
      <c r="C316" s="5">
        <f>MONTH(B316)</f>
        <v>12</v>
      </c>
      <c r="D316" s="5">
        <f>IF(C316&lt;&gt;C315,1,0)</f>
        <v>0</v>
      </c>
      <c r="E316" s="5">
        <f>IF(L315=1,CantPedido,0)</f>
        <v>0</v>
      </c>
      <c r="F316" s="5">
        <f>J315+E316</f>
        <v>14</v>
      </c>
      <c r="G316" s="5">
        <f>VLOOKUP(RAND(),TablaEmpirica,2,TRUE)</f>
        <v>3</v>
      </c>
      <c r="H316" s="5">
        <f>MIN(F316,G316)</f>
        <v>3</v>
      </c>
      <c r="I316" s="5">
        <f>G316-H316</f>
        <v>0</v>
      </c>
      <c r="J316" s="5">
        <f>F316-H316</f>
        <v>11</v>
      </c>
      <c r="K316" s="5">
        <f>IF(I316&gt;0,1,0)</f>
        <v>0</v>
      </c>
      <c r="L316" s="5">
        <f>IF(J316&lt;PuntoReorden,1,0)</f>
        <v>0</v>
      </c>
      <c r="M316" s="9">
        <f>PrecioVenta*H316</f>
        <v>2040000</v>
      </c>
      <c r="N316" s="9">
        <f>CostoUnitario*E316</f>
        <v>0</v>
      </c>
      <c r="O316" s="9">
        <f>IF(E316&gt;0,CostoPedido,0)</f>
        <v>0</v>
      </c>
      <c r="P316" s="9">
        <f>CostoAlm*(F316+J316)/2</f>
        <v>1000</v>
      </c>
      <c r="Q316" s="9">
        <f>CostoFijo*D316</f>
        <v>0</v>
      </c>
      <c r="R316" s="9">
        <f>M316-N316-O316-P316-Q316</f>
        <v>2039000</v>
      </c>
      <c r="S316" s="21">
        <f>PuntoReorden</f>
        <v>7</v>
      </c>
    </row>
    <row r="317">
      <c r="A317" s="5">
        <f>A316+1</f>
        <v>312</v>
      </c>
      <c r="B317" s="20">
        <f>B316+IF(WEEKDAY(B316,2)=6,2,1)</f>
        <v>46386</v>
      </c>
      <c r="C317" s="5">
        <f>MONTH(B317)</f>
        <v>12</v>
      </c>
      <c r="D317" s="5">
        <f>IF(C317&lt;&gt;C316,1,0)</f>
        <v>0</v>
      </c>
      <c r="E317" s="5">
        <f>IF(L316=1,CantPedido,0)</f>
        <v>0</v>
      </c>
      <c r="F317" s="5">
        <f>J316+E317</f>
        <v>11</v>
      </c>
      <c r="G317" s="5">
        <f>VLOOKUP(RAND(),TablaEmpirica,2,TRUE)</f>
        <v>6</v>
      </c>
      <c r="H317" s="5">
        <f>MIN(F317,G317)</f>
        <v>6</v>
      </c>
      <c r="I317" s="5">
        <f>G317-H317</f>
        <v>0</v>
      </c>
      <c r="J317" s="5">
        <f>F317-H317</f>
        <v>5</v>
      </c>
      <c r="K317" s="5">
        <f>IF(I317&gt;0,1,0)</f>
        <v>0</v>
      </c>
      <c r="L317" s="5">
        <f>IF(J317&lt;PuntoReorden,1,0)</f>
        <v>1</v>
      </c>
      <c r="M317" s="9">
        <f>PrecioVenta*H317</f>
        <v>4080000</v>
      </c>
      <c r="N317" s="9">
        <f>CostoUnitario*E317</f>
        <v>0</v>
      </c>
      <c r="O317" s="9">
        <f>IF(E317&gt;0,CostoPedido,0)</f>
        <v>0</v>
      </c>
      <c r="P317" s="9">
        <f>CostoAlm*(F317+J317)/2</f>
        <v>640</v>
      </c>
      <c r="Q317" s="9">
        <f>CostoFijo*D317</f>
        <v>0</v>
      </c>
      <c r="R317" s="9">
        <f>M317-N317-O317-P317-Q317</f>
        <v>4079360</v>
      </c>
      <c r="S317" s="21">
        <f>PuntoReorden</f>
        <v>7</v>
      </c>
    </row>
    <row r="318">
      <c r="A318" s="5">
        <f>A317+1</f>
        <v>313</v>
      </c>
      <c r="B318" s="20">
        <f>B317+IF(WEEKDAY(B317,2)=6,2,1)</f>
        <v>46387</v>
      </c>
      <c r="C318" s="5">
        <f>MONTH(B318)</f>
        <v>12</v>
      </c>
      <c r="D318" s="5">
        <f>IF(C318&lt;&gt;C317,1,0)</f>
        <v>0</v>
      </c>
      <c r="E318" s="5">
        <f>IF(L317=1,CantPedido,0)</f>
        <v>15</v>
      </c>
      <c r="F318" s="5">
        <f>J317+E318</f>
        <v>20</v>
      </c>
      <c r="G318" s="5">
        <f>VLOOKUP(RAND(),TablaEmpirica,2,TRUE)</f>
        <v>6</v>
      </c>
      <c r="H318" s="5">
        <f>MIN(F318,G318)</f>
        <v>6</v>
      </c>
      <c r="I318" s="5">
        <f>G318-H318</f>
        <v>0</v>
      </c>
      <c r="J318" s="5">
        <f>F318-H318</f>
        <v>14</v>
      </c>
      <c r="K318" s="5">
        <f>IF(I318&gt;0,1,0)</f>
        <v>0</v>
      </c>
      <c r="L318" s="5">
        <f>IF(J318&lt;PuntoReorden,1,0)</f>
        <v>0</v>
      </c>
      <c r="M318" s="9">
        <f>PrecioVenta*H318</f>
        <v>4080000</v>
      </c>
      <c r="N318" s="9">
        <f>CostoUnitario*E318</f>
        <v>9000000</v>
      </c>
      <c r="O318" s="9">
        <f>IF(E318&gt;0,CostoPedido,0)</f>
        <v>40000</v>
      </c>
      <c r="P318" s="9">
        <f>CostoAlm*(F318+J318)/2</f>
        <v>1360</v>
      </c>
      <c r="Q318" s="9">
        <f>CostoFijo*D318</f>
        <v>0</v>
      </c>
      <c r="R318" s="9">
        <f>M318-N318-O318-P318-Q318</f>
        <v>-4961360</v>
      </c>
      <c r="S318" s="21">
        <f>PuntoReorden</f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6" customWidth="1" min="4" max="4"/>
    <col width="15" customWidth="1" min="5" max="5"/>
    <col width="12" customWidth="1" min="6" max="6"/>
    <col width="12" customWidth="1" min="7" max="7"/>
    <col width="36" customWidth="1" min="8" max="8"/>
    <col width="14" customWidth="1" min="10" max="10"/>
    <col width="15" customWidth="1" min="11" max="11"/>
    <col width="15" customWidth="1" min="12" max="12"/>
  </cols>
  <sheetData>
    <row r="1" ht="24" customHeight="1">
      <c r="A1" s="1" t="inlineStr">
        <is>
          <t>Comparación de políticas (s, Q)</t>
        </is>
      </c>
    </row>
    <row r="2">
      <c r="A2" s="2" t="inlineStr">
        <is>
          <t>100 réplicas por combinación y caso de demanda (Paso A9): se cambian s y Q en Parametros, se recalcula y se guardan los estadísticos como valores.</t>
        </is>
      </c>
    </row>
    <row r="4" ht="44" customHeight="1">
      <c r="A4" s="3" t="inlineStr">
        <is>
          <t>Demanda</t>
        </is>
      </c>
      <c r="B4" s="4" t="inlineStr">
        <is>
          <t>s</t>
        </is>
      </c>
      <c r="C4" s="4" t="inlineStr">
        <is>
          <t>Q</t>
        </is>
      </c>
      <c r="D4" s="4" t="inlineStr">
        <is>
          <t>Ganancia promedio</t>
        </is>
      </c>
      <c r="E4" s="4" t="inlineStr">
        <is>
          <t>Desv. estándar</t>
        </is>
      </c>
      <c r="F4" s="4" t="inlineStr">
        <is>
          <t>Prob. ventas perdidas</t>
        </is>
      </c>
      <c r="G4" s="4" t="inlineStr">
        <is>
          <t>Ventas perdidas por día</t>
        </is>
      </c>
      <c r="H4" s="3" t="inlineStr">
        <is>
          <t>Observación</t>
        </is>
      </c>
      <c r="J4" s="3" t="inlineStr">
        <is>
          <t>Política</t>
        </is>
      </c>
      <c r="K4" s="4" t="inlineStr">
        <is>
          <t>Uniforme</t>
        </is>
      </c>
      <c r="L4" s="4" t="inlineStr">
        <is>
          <t>Empírica</t>
        </is>
      </c>
    </row>
    <row r="5">
      <c r="A5" s="5" t="inlineStr">
        <is>
          <t>Uniforme</t>
        </is>
      </c>
      <c r="B5" s="12" t="n">
        <v>5</v>
      </c>
      <c r="C5" s="12" t="n">
        <v>10</v>
      </c>
      <c r="D5" s="9" t="n">
        <v>101939216</v>
      </c>
      <c r="E5" s="9" t="n">
        <v>2645893.142996054</v>
      </c>
      <c r="F5" s="27" t="n">
        <v>0.0626517571884984</v>
      </c>
      <c r="G5" s="27" t="n">
        <v>0.08201277955271566</v>
      </c>
      <c r="H5" s="7" t="n"/>
      <c r="J5" s="5" t="inlineStr">
        <is>
          <t>s=5, Q=10</t>
        </is>
      </c>
      <c r="K5" s="9" t="n">
        <v>101939216</v>
      </c>
      <c r="L5" s="9" t="n">
        <v>102317104</v>
      </c>
    </row>
    <row r="6">
      <c r="A6" s="5" t="inlineStr">
        <is>
          <t>Uniforme</t>
        </is>
      </c>
      <c r="B6" s="12" t="n">
        <v>5</v>
      </c>
      <c r="C6" s="12" t="n">
        <v>15</v>
      </c>
      <c r="D6" s="9" t="n">
        <v>103838672.8</v>
      </c>
      <c r="E6" s="9" t="n">
        <v>3247954.168360427</v>
      </c>
      <c r="F6" s="27" t="n">
        <v>0.04095846645367412</v>
      </c>
      <c r="G6" s="27" t="n">
        <v>0.05549520766773162</v>
      </c>
      <c r="H6" s="7" t="n"/>
      <c r="J6" s="5" t="inlineStr">
        <is>
          <t>s=5, Q=15</t>
        </is>
      </c>
      <c r="K6" s="9" t="n">
        <v>103838672.8</v>
      </c>
      <c r="L6" s="9" t="n">
        <v>103825750</v>
      </c>
    </row>
    <row r="7">
      <c r="A7" s="5" t="inlineStr">
        <is>
          <t>Uniforme</t>
        </is>
      </c>
      <c r="B7" s="12" t="n">
        <v>6</v>
      </c>
      <c r="C7" s="12" t="n">
        <v>10</v>
      </c>
      <c r="D7" s="9" t="n">
        <v>102862393.6</v>
      </c>
      <c r="E7" s="9" t="n">
        <v>2450472.436862176</v>
      </c>
      <c r="F7" s="27" t="n">
        <v>0.02047923322683706</v>
      </c>
      <c r="G7" s="27" t="n">
        <v>0.02047923322683706</v>
      </c>
      <c r="H7" s="7" t="n"/>
      <c r="J7" s="5" t="inlineStr">
        <is>
          <t>s=6, Q=10</t>
        </is>
      </c>
      <c r="K7" s="9" t="n">
        <v>102862393.6</v>
      </c>
      <c r="L7" s="9" t="n">
        <v>102845517.2</v>
      </c>
    </row>
    <row r="8">
      <c r="A8" s="5" t="inlineStr">
        <is>
          <t>Uniforme</t>
        </is>
      </c>
      <c r="B8" s="12" t="n">
        <v>6</v>
      </c>
      <c r="C8" s="12" t="n">
        <v>15</v>
      </c>
      <c r="D8" s="9" t="n">
        <v>103908688</v>
      </c>
      <c r="E8" s="9" t="n">
        <v>3692465.478209059</v>
      </c>
      <c r="F8" s="27" t="n">
        <v>0.01313099041533546</v>
      </c>
      <c r="G8" s="27" t="n">
        <v>0.01313099041533546</v>
      </c>
      <c r="H8" s="7" t="n"/>
      <c r="J8" s="5" t="inlineStr">
        <is>
          <t>s=6, Q=15</t>
        </is>
      </c>
      <c r="K8" s="9" t="n">
        <v>103908688</v>
      </c>
      <c r="L8" s="9" t="n">
        <v>102990297.2</v>
      </c>
    </row>
    <row r="9">
      <c r="A9" s="5" t="inlineStr">
        <is>
          <t>Uniforme</t>
        </is>
      </c>
      <c r="B9" s="12" t="n">
        <v>7</v>
      </c>
      <c r="C9" s="12" t="n">
        <v>10</v>
      </c>
      <c r="D9" s="9" t="n">
        <v>103142580</v>
      </c>
      <c r="E9" s="9" t="n">
        <v>2850778.452118408</v>
      </c>
      <c r="F9" s="27" t="n">
        <v>0</v>
      </c>
      <c r="G9" s="27" t="n">
        <v>0</v>
      </c>
      <c r="H9" s="7" t="n"/>
      <c r="J9" s="5" t="inlineStr">
        <is>
          <t>s=7, Q=10</t>
        </is>
      </c>
      <c r="K9" s="9" t="n">
        <v>103142580</v>
      </c>
      <c r="L9" s="9" t="n">
        <v>102845421.2</v>
      </c>
    </row>
    <row r="10">
      <c r="A10" s="35" t="inlineStr">
        <is>
          <t>Uniforme</t>
        </is>
      </c>
      <c r="B10" s="6" t="n">
        <v>7</v>
      </c>
      <c r="C10" s="6" t="n">
        <v>15</v>
      </c>
      <c r="D10" s="36" t="n">
        <v>102985918.8</v>
      </c>
      <c r="E10" s="37" t="n">
        <v>3147847.676580956</v>
      </c>
      <c r="F10" s="38" t="n">
        <v>0</v>
      </c>
      <c r="G10" s="38" t="n">
        <v>0</v>
      </c>
      <c r="H10" s="39" t="inlineStr">
        <is>
          <t>Recomendada (cargada en Parametros)</t>
        </is>
      </c>
      <c r="J10" s="5" t="inlineStr">
        <is>
          <t>s=7, Q=15</t>
        </is>
      </c>
      <c r="K10" s="9" t="n">
        <v>102985918.8</v>
      </c>
      <c r="L10" s="9" t="n">
        <v>102872550.4</v>
      </c>
    </row>
    <row r="11">
      <c r="A11" s="5" t="inlineStr">
        <is>
          <t>Uniforme</t>
        </is>
      </c>
      <c r="B11" s="12" t="n">
        <v>7</v>
      </c>
      <c r="C11" s="12" t="n">
        <v>20</v>
      </c>
      <c r="D11" s="9" t="n">
        <v>104149102.4</v>
      </c>
      <c r="E11" s="9" t="n">
        <v>4360110.734767708</v>
      </c>
      <c r="F11" s="27" t="n">
        <v>0</v>
      </c>
      <c r="G11" s="27" t="n">
        <v>0</v>
      </c>
      <c r="H11" s="7" t="n"/>
      <c r="J11" s="5" t="inlineStr">
        <is>
          <t>s=7, Q=20</t>
        </is>
      </c>
      <c r="K11" s="9" t="n">
        <v>104149102.4</v>
      </c>
      <c r="L11" s="9" t="n">
        <v>103232336</v>
      </c>
    </row>
    <row r="12">
      <c r="A12" s="5" t="inlineStr">
        <is>
          <t>Uniforme</t>
        </is>
      </c>
      <c r="B12" s="12" t="n">
        <v>7</v>
      </c>
      <c r="C12" s="12" t="n">
        <v>30</v>
      </c>
      <c r="D12" s="9" t="n">
        <v>99256794.40000001</v>
      </c>
      <c r="E12" s="9" t="n">
        <v>5497943.342572938</v>
      </c>
      <c r="F12" s="27" t="n">
        <v>0</v>
      </c>
      <c r="G12" s="27" t="n">
        <v>0</v>
      </c>
      <c r="H12" s="7" t="n"/>
      <c r="J12" s="5" t="inlineStr">
        <is>
          <t>s=7, Q=30</t>
        </is>
      </c>
      <c r="K12" s="9" t="n">
        <v>99256794.40000001</v>
      </c>
      <c r="L12" s="9" t="n">
        <v>101183327.6</v>
      </c>
    </row>
    <row r="13">
      <c r="A13" s="5" t="inlineStr">
        <is>
          <t>Uniforme</t>
        </is>
      </c>
      <c r="B13" s="12" t="n">
        <v>8</v>
      </c>
      <c r="C13" s="12" t="n">
        <v>15</v>
      </c>
      <c r="D13" s="9" t="n">
        <v>102556946.4</v>
      </c>
      <c r="E13" s="9" t="n">
        <v>3230259.931245338</v>
      </c>
      <c r="F13" s="27" t="n">
        <v>0</v>
      </c>
      <c r="G13" s="27" t="n">
        <v>0</v>
      </c>
      <c r="H13" s="7" t="n"/>
      <c r="J13" s="5" t="inlineStr">
        <is>
          <t>s=8, Q=15</t>
        </is>
      </c>
      <c r="K13" s="9" t="n">
        <v>102556946.4</v>
      </c>
      <c r="L13" s="9" t="n">
        <v>102602372.4</v>
      </c>
    </row>
    <row r="14">
      <c r="A14" s="5" t="inlineStr">
        <is>
          <t>Empírica</t>
        </is>
      </c>
      <c r="B14" s="12" t="n">
        <v>5</v>
      </c>
      <c r="C14" s="12" t="n">
        <v>10</v>
      </c>
      <c r="D14" s="9" t="n">
        <v>102317104</v>
      </c>
      <c r="E14" s="9" t="n">
        <v>2590490.587887034</v>
      </c>
      <c r="F14" s="27" t="n">
        <v>0.0489776357827476</v>
      </c>
      <c r="G14" s="27" t="n">
        <v>0.05971246006389776</v>
      </c>
      <c r="H14" s="7" t="n"/>
    </row>
    <row r="15">
      <c r="A15" s="5" t="inlineStr">
        <is>
          <t>Empírica</t>
        </is>
      </c>
      <c r="B15" s="12" t="n">
        <v>5</v>
      </c>
      <c r="C15" s="12" t="n">
        <v>15</v>
      </c>
      <c r="D15" s="9" t="n">
        <v>103825750</v>
      </c>
      <c r="E15" s="9" t="n">
        <v>2999850.949064306</v>
      </c>
      <c r="F15" s="27" t="n">
        <v>0.03118210862619808</v>
      </c>
      <c r="G15" s="27" t="n">
        <v>0.03757188498402556</v>
      </c>
      <c r="H15" s="7" t="n"/>
    </row>
    <row r="16">
      <c r="A16" s="5" t="inlineStr">
        <is>
          <t>Empírica</t>
        </is>
      </c>
      <c r="B16" s="12" t="n">
        <v>6</v>
      </c>
      <c r="C16" s="12" t="n">
        <v>10</v>
      </c>
      <c r="D16" s="9" t="n">
        <v>102845517.2</v>
      </c>
      <c r="E16" s="9" t="n">
        <v>2387694.381243627</v>
      </c>
      <c r="F16" s="27" t="n">
        <v>0.009680511182108626</v>
      </c>
      <c r="G16" s="27" t="n">
        <v>0.009680511182108626</v>
      </c>
      <c r="H16" s="7" t="n"/>
    </row>
    <row r="17">
      <c r="A17" s="5" t="inlineStr">
        <is>
          <t>Empírica</t>
        </is>
      </c>
      <c r="B17" s="12" t="n">
        <v>6</v>
      </c>
      <c r="C17" s="12" t="n">
        <v>15</v>
      </c>
      <c r="D17" s="9" t="n">
        <v>102990297.2</v>
      </c>
      <c r="E17" s="9" t="n">
        <v>3122364.479720193</v>
      </c>
      <c r="F17" s="27" t="n">
        <v>0.005591054313099041</v>
      </c>
      <c r="G17" s="27" t="n">
        <v>0.005591054313099041</v>
      </c>
      <c r="H17" s="7" t="n"/>
    </row>
    <row r="18">
      <c r="A18" s="5" t="inlineStr">
        <is>
          <t>Empírica</t>
        </is>
      </c>
      <c r="B18" s="12" t="n">
        <v>7</v>
      </c>
      <c r="C18" s="12" t="n">
        <v>10</v>
      </c>
      <c r="D18" s="9" t="n">
        <v>102845421.2</v>
      </c>
      <c r="E18" s="9" t="n">
        <v>2168173.778643802</v>
      </c>
      <c r="F18" s="27" t="n">
        <v>0</v>
      </c>
      <c r="G18" s="27" t="n">
        <v>0</v>
      </c>
      <c r="H18" s="7" t="n"/>
    </row>
    <row r="19">
      <c r="A19" s="35" t="inlineStr">
        <is>
          <t>Empírica</t>
        </is>
      </c>
      <c r="B19" s="6" t="n">
        <v>7</v>
      </c>
      <c r="C19" s="6" t="n">
        <v>15</v>
      </c>
      <c r="D19" s="36" t="n">
        <v>102872550.4</v>
      </c>
      <c r="E19" s="37" t="n">
        <v>3148471.391292882</v>
      </c>
      <c r="F19" s="38" t="n">
        <v>0</v>
      </c>
      <c r="G19" s="38" t="n">
        <v>0</v>
      </c>
      <c r="H19" s="39" t="inlineStr">
        <is>
          <t>Recomendada (cargada en Parametros)</t>
        </is>
      </c>
    </row>
    <row r="20">
      <c r="A20" s="5" t="inlineStr">
        <is>
          <t>Empírica</t>
        </is>
      </c>
      <c r="B20" s="12" t="n">
        <v>7</v>
      </c>
      <c r="C20" s="12" t="n">
        <v>20</v>
      </c>
      <c r="D20" s="9" t="n">
        <v>103232336</v>
      </c>
      <c r="E20" s="9" t="n">
        <v>3875958.431383146</v>
      </c>
      <c r="F20" s="27" t="n">
        <v>0</v>
      </c>
      <c r="G20" s="27" t="n">
        <v>0</v>
      </c>
      <c r="H20" s="7" t="n"/>
    </row>
    <row r="21">
      <c r="A21" s="5" t="inlineStr">
        <is>
          <t>Empírica</t>
        </is>
      </c>
      <c r="B21" s="12" t="n">
        <v>7</v>
      </c>
      <c r="C21" s="12" t="n">
        <v>30</v>
      </c>
      <c r="D21" s="9" t="n">
        <v>101183327.6</v>
      </c>
      <c r="E21" s="9" t="n">
        <v>5518996.171992047</v>
      </c>
      <c r="F21" s="27" t="n">
        <v>0</v>
      </c>
      <c r="G21" s="27" t="n">
        <v>0</v>
      </c>
      <c r="H21" s="7" t="n"/>
    </row>
    <row r="22">
      <c r="A22" s="5" t="inlineStr">
        <is>
          <t>Empírica</t>
        </is>
      </c>
      <c r="B22" s="12" t="n">
        <v>8</v>
      </c>
      <c r="C22" s="12" t="n">
        <v>15</v>
      </c>
      <c r="D22" s="9" t="n">
        <v>102602372.4</v>
      </c>
      <c r="E22" s="9" t="n">
        <v>3265082.096588208</v>
      </c>
      <c r="F22" s="27" t="n">
        <v>0</v>
      </c>
      <c r="G22" s="27" t="n">
        <v>0</v>
      </c>
      <c r="H22" s="7" t="n"/>
    </row>
    <row r="24">
      <c r="A24" s="13" t="inlineStr">
        <is>
          <t>Criterio de selección</t>
        </is>
      </c>
    </row>
    <row r="25">
      <c r="A25" s="2" t="inlineStr">
        <is>
          <t>1. Servicio: cero ventas perdidas con ambas demandas (s ≥ 7 y Q ≥ 7 lo garantizan; ver informe, pregunta 5).</t>
        </is>
      </c>
    </row>
    <row r="26">
      <c r="A26" s="2" t="inlineStr">
        <is>
          <t>2. Ganancia: entre esas políticas, la mayor ganancia promedio de los dos casos.</t>
        </is>
      </c>
    </row>
    <row r="27">
      <c r="A27" s="2" t="inlineStr">
        <is>
          <t>3. Riesgo: si las diferencias son menores que el error de Montecarlo, la de menor desviación estándar.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Andrés Young Hoyos (1000337497)</dc:creator>
  <dc:title>Taller 2 - Simulación Montecarlo de un sistema de inventarios</dc:title>
  <dc:language>es-CO</dc:language>
  <dcterms:created xsi:type="dcterms:W3CDTF">2026-11-01T23:12:34Z</dcterms:created>
  <dcterms:modified xsi:type="dcterms:W3CDTF">2026-11-01T23:12:34Z</dcterms:modified>
</cp:coreProperties>
</file>