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ivera6\Downloads\"/>
    </mc:Choice>
  </mc:AlternateContent>
  <xr:revisionPtr revIDLastSave="0" documentId="13_ncr:1_{A3B1A2BF-93D6-4CC8-8DE9-70614F21CAAB}" xr6:coauthVersionLast="47" xr6:coauthVersionMax="47" xr10:uidLastSave="{00000000-0000-0000-0000-000000000000}"/>
  <bookViews>
    <workbookView xWindow="-108" yWindow="-108" windowWidth="23256" windowHeight="12456" activeTab="1" xr2:uid="{94964CD4-B749-42B7-AEFB-F10D8F976AC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" i="2" l="1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12" i="2"/>
  <c r="I12" i="2" s="1"/>
  <c r="E5" i="2"/>
  <c r="E12" i="2"/>
  <c r="B13" i="2"/>
  <c r="F12" i="2"/>
  <c r="G12" i="2"/>
  <c r="C12" i="2"/>
  <c r="K11" i="2"/>
  <c r="C3" i="2"/>
  <c r="D14" i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13" i="1"/>
  <c r="E14" i="1"/>
  <c r="E15" i="1"/>
  <c r="E16" i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13" i="1"/>
  <c r="E12" i="1"/>
  <c r="F12" i="1"/>
  <c r="I11" i="1"/>
  <c r="B13" i="1"/>
  <c r="D12" i="1"/>
  <c r="C12" i="1"/>
  <c r="C3" i="1"/>
  <c r="A13" i="2" l="1"/>
  <c r="D13" i="2"/>
  <c r="E13" i="2"/>
  <c r="G13" i="2" s="1"/>
  <c r="K13" i="2"/>
  <c r="K14" i="2" s="1"/>
  <c r="B14" i="2"/>
  <c r="F13" i="2"/>
  <c r="J12" i="2"/>
  <c r="I13" i="2" s="1"/>
  <c r="K12" i="2"/>
  <c r="L11" i="2"/>
  <c r="I13" i="1"/>
  <c r="I14" i="1" s="1"/>
  <c r="I12" i="1"/>
  <c r="J11" i="1"/>
  <c r="F13" i="1"/>
  <c r="A13" i="1"/>
  <c r="B14" i="1"/>
  <c r="G12" i="1"/>
  <c r="H12" i="1" s="1"/>
  <c r="J12" i="1" s="1"/>
  <c r="E14" i="2" l="1"/>
  <c r="D14" i="2"/>
  <c r="G14" i="2"/>
  <c r="F14" i="2"/>
  <c r="B15" i="2"/>
  <c r="A14" i="2"/>
  <c r="L12" i="2"/>
  <c r="C13" i="2"/>
  <c r="A14" i="1"/>
  <c r="A15" i="1" s="1"/>
  <c r="B15" i="1"/>
  <c r="C13" i="1"/>
  <c r="G13" i="1"/>
  <c r="E15" i="2" l="1"/>
  <c r="D15" i="2"/>
  <c r="K15" i="2"/>
  <c r="K16" i="2" s="1"/>
  <c r="F15" i="2"/>
  <c r="B16" i="2"/>
  <c r="D16" i="2" s="1"/>
  <c r="A15" i="2"/>
  <c r="J13" i="2"/>
  <c r="I14" i="2" s="1"/>
  <c r="I15" i="1"/>
  <c r="I16" i="1" s="1"/>
  <c r="B16" i="1"/>
  <c r="F15" i="1"/>
  <c r="F14" i="1"/>
  <c r="H13" i="1"/>
  <c r="J13" i="1" s="1"/>
  <c r="E16" i="2" l="1"/>
  <c r="G15" i="2"/>
  <c r="F16" i="2"/>
  <c r="G16" i="2"/>
  <c r="B17" i="2"/>
  <c r="A16" i="2"/>
  <c r="L13" i="2"/>
  <c r="C14" i="2"/>
  <c r="A16" i="1"/>
  <c r="A17" i="1" s="1"/>
  <c r="B17" i="1"/>
  <c r="G14" i="1"/>
  <c r="C14" i="1"/>
  <c r="D17" i="2" l="1"/>
  <c r="E17" i="2"/>
  <c r="K17" i="2"/>
  <c r="K18" i="2" s="1"/>
  <c r="F17" i="2"/>
  <c r="B18" i="2"/>
  <c r="D18" i="2" s="1"/>
  <c r="A17" i="2"/>
  <c r="J14" i="2"/>
  <c r="I15" i="2" s="1"/>
  <c r="I17" i="1"/>
  <c r="I18" i="1" s="1"/>
  <c r="B18" i="1"/>
  <c r="F17" i="1"/>
  <c r="F16" i="1"/>
  <c r="H14" i="1"/>
  <c r="J14" i="1" s="1"/>
  <c r="E18" i="2" l="1"/>
  <c r="G17" i="2"/>
  <c r="F18" i="2"/>
  <c r="G18" i="2"/>
  <c r="B19" i="2"/>
  <c r="A18" i="2"/>
  <c r="L14" i="2"/>
  <c r="C15" i="2"/>
  <c r="A18" i="1"/>
  <c r="A19" i="1" s="1"/>
  <c r="B19" i="1"/>
  <c r="G15" i="1"/>
  <c r="C15" i="1"/>
  <c r="D19" i="2" l="1"/>
  <c r="E19" i="2"/>
  <c r="K19" i="2"/>
  <c r="K20" i="2" s="1"/>
  <c r="F19" i="2"/>
  <c r="B20" i="2"/>
  <c r="D20" i="2" s="1"/>
  <c r="A19" i="2"/>
  <c r="J15" i="2"/>
  <c r="I16" i="2" s="1"/>
  <c r="I19" i="1"/>
  <c r="I20" i="1" s="1"/>
  <c r="B20" i="1"/>
  <c r="F19" i="1"/>
  <c r="F18" i="1"/>
  <c r="H15" i="1"/>
  <c r="J15" i="1" s="1"/>
  <c r="E20" i="2" l="1"/>
  <c r="G19" i="2"/>
  <c r="G20" i="2"/>
  <c r="F20" i="2"/>
  <c r="B21" i="2"/>
  <c r="A20" i="2"/>
  <c r="L15" i="2"/>
  <c r="C16" i="2"/>
  <c r="A20" i="1"/>
  <c r="B21" i="1"/>
  <c r="C16" i="1"/>
  <c r="G16" i="1"/>
  <c r="D21" i="2" l="1"/>
  <c r="E21" i="2"/>
  <c r="K21" i="2"/>
  <c r="K22" i="2" s="1"/>
  <c r="F21" i="2"/>
  <c r="B22" i="2"/>
  <c r="D22" i="2" s="1"/>
  <c r="A21" i="2"/>
  <c r="J16" i="2"/>
  <c r="I17" i="2" s="1"/>
  <c r="I21" i="1"/>
  <c r="I22" i="1" s="1"/>
  <c r="B22" i="1"/>
  <c r="A21" i="1"/>
  <c r="A22" i="1" s="1"/>
  <c r="F21" i="1"/>
  <c r="F20" i="1"/>
  <c r="H16" i="1"/>
  <c r="J16" i="1" s="1"/>
  <c r="E22" i="2" l="1"/>
  <c r="G21" i="2"/>
  <c r="F22" i="2"/>
  <c r="G22" i="2"/>
  <c r="B23" i="2"/>
  <c r="A22" i="2"/>
  <c r="L16" i="2"/>
  <c r="C17" i="2"/>
  <c r="B23" i="1"/>
  <c r="G17" i="1"/>
  <c r="C17" i="1"/>
  <c r="D23" i="2" l="1"/>
  <c r="E23" i="2"/>
  <c r="G23" i="2" s="1"/>
  <c r="K23" i="2"/>
  <c r="K24" i="2" s="1"/>
  <c r="F23" i="2"/>
  <c r="B24" i="2"/>
  <c r="D24" i="2" s="1"/>
  <c r="A23" i="2"/>
  <c r="J17" i="2"/>
  <c r="I18" i="2" s="1"/>
  <c r="I23" i="1"/>
  <c r="I24" i="1" s="1"/>
  <c r="A23" i="1"/>
  <c r="B24" i="1"/>
  <c r="F23" i="1"/>
  <c r="F22" i="1"/>
  <c r="H17" i="1"/>
  <c r="J17" i="1" s="1"/>
  <c r="F24" i="2" l="1"/>
  <c r="B25" i="2"/>
  <c r="A24" i="2"/>
  <c r="E24" i="2" s="1"/>
  <c r="L17" i="2"/>
  <c r="C18" i="2"/>
  <c r="A24" i="1"/>
  <c r="B25" i="1"/>
  <c r="C18" i="1"/>
  <c r="G18" i="1"/>
  <c r="D25" i="2" l="1"/>
  <c r="K25" i="2"/>
  <c r="K26" i="2" s="1"/>
  <c r="G24" i="2"/>
  <c r="E25" i="2"/>
  <c r="J18" i="2"/>
  <c r="G25" i="2"/>
  <c r="F25" i="2"/>
  <c r="B26" i="2"/>
  <c r="D26" i="2" s="1"/>
  <c r="A25" i="2"/>
  <c r="I25" i="1"/>
  <c r="I26" i="1" s="1"/>
  <c r="A25" i="1"/>
  <c r="B26" i="1"/>
  <c r="F25" i="1"/>
  <c r="F24" i="1"/>
  <c r="H18" i="1"/>
  <c r="J18" i="1" s="1"/>
  <c r="C19" i="2" l="1"/>
  <c r="I19" i="2"/>
  <c r="E26" i="2"/>
  <c r="L18" i="2"/>
  <c r="F26" i="2"/>
  <c r="B27" i="2"/>
  <c r="A26" i="2"/>
  <c r="B27" i="1"/>
  <c r="A26" i="1"/>
  <c r="A27" i="1" s="1"/>
  <c r="C19" i="1"/>
  <c r="G19" i="1"/>
  <c r="J19" i="2" l="1"/>
  <c r="E27" i="2"/>
  <c r="G26" i="2"/>
  <c r="D27" i="2"/>
  <c r="K27" i="2"/>
  <c r="G27" i="2"/>
  <c r="F27" i="2"/>
  <c r="B28" i="2"/>
  <c r="A27" i="2"/>
  <c r="I27" i="1"/>
  <c r="I28" i="1" s="1"/>
  <c r="B28" i="1"/>
  <c r="F27" i="1"/>
  <c r="F26" i="1"/>
  <c r="H19" i="1"/>
  <c r="J19" i="1" s="1"/>
  <c r="I20" i="2" l="1"/>
  <c r="C20" i="2"/>
  <c r="L19" i="2"/>
  <c r="K28" i="2"/>
  <c r="K29" i="2" s="1"/>
  <c r="D28" i="2"/>
  <c r="E28" i="2"/>
  <c r="G28" i="2"/>
  <c r="F28" i="2"/>
  <c r="B29" i="2"/>
  <c r="D29" i="2" s="1"/>
  <c r="A28" i="2"/>
  <c r="A28" i="1"/>
  <c r="B29" i="1"/>
  <c r="G20" i="1"/>
  <c r="C20" i="1"/>
  <c r="J20" i="2" l="1"/>
  <c r="L20" i="2" s="1"/>
  <c r="E29" i="2"/>
  <c r="G29" i="2"/>
  <c r="F29" i="2"/>
  <c r="B30" i="2"/>
  <c r="A29" i="2"/>
  <c r="I29" i="1"/>
  <c r="F29" i="1"/>
  <c r="B30" i="1"/>
  <c r="A29" i="1"/>
  <c r="A30" i="1" s="1"/>
  <c r="F28" i="1"/>
  <c r="H20" i="1"/>
  <c r="J20" i="1" s="1"/>
  <c r="I21" i="2" l="1"/>
  <c r="C21" i="2"/>
  <c r="E30" i="2"/>
  <c r="D30" i="2"/>
  <c r="K30" i="2"/>
  <c r="K31" i="2" s="1"/>
  <c r="F30" i="2"/>
  <c r="B31" i="2"/>
  <c r="D31" i="2" s="1"/>
  <c r="A30" i="2"/>
  <c r="F30" i="1"/>
  <c r="B31" i="1"/>
  <c r="I30" i="1"/>
  <c r="I31" i="1" s="1"/>
  <c r="C21" i="1"/>
  <c r="G21" i="1"/>
  <c r="J21" i="2" l="1"/>
  <c r="E31" i="2"/>
  <c r="G30" i="2"/>
  <c r="F31" i="2"/>
  <c r="G31" i="2"/>
  <c r="B32" i="2"/>
  <c r="A31" i="2"/>
  <c r="H21" i="1"/>
  <c r="A31" i="1"/>
  <c r="B32" i="1"/>
  <c r="L21" i="2" l="1"/>
  <c r="I22" i="2"/>
  <c r="C22" i="2"/>
  <c r="D32" i="2"/>
  <c r="E32" i="2"/>
  <c r="K32" i="2"/>
  <c r="K33" i="2" s="1"/>
  <c r="F32" i="2"/>
  <c r="B33" i="2"/>
  <c r="D33" i="2" s="1"/>
  <c r="A32" i="2"/>
  <c r="J21" i="1"/>
  <c r="G22" i="1"/>
  <c r="C22" i="1"/>
  <c r="I32" i="1"/>
  <c r="I33" i="1" s="1"/>
  <c r="F32" i="1"/>
  <c r="B33" i="1"/>
  <c r="A32" i="1"/>
  <c r="A33" i="1" s="1"/>
  <c r="F31" i="1"/>
  <c r="J22" i="2" l="1"/>
  <c r="I23" i="2" s="1"/>
  <c r="E33" i="2"/>
  <c r="G32" i="2"/>
  <c r="G33" i="2"/>
  <c r="F33" i="2"/>
  <c r="B34" i="2"/>
  <c r="A33" i="2"/>
  <c r="H22" i="1"/>
  <c r="B34" i="1"/>
  <c r="C23" i="2" l="1"/>
  <c r="J23" i="2" s="1"/>
  <c r="L22" i="2"/>
  <c r="D34" i="2"/>
  <c r="E34" i="2"/>
  <c r="K34" i="2"/>
  <c r="G34" i="2"/>
  <c r="F34" i="2"/>
  <c r="B35" i="2"/>
  <c r="D35" i="2" s="1"/>
  <c r="A34" i="2"/>
  <c r="J22" i="1"/>
  <c r="G23" i="1"/>
  <c r="H23" i="1" s="1"/>
  <c r="C23" i="1"/>
  <c r="I34" i="1"/>
  <c r="I35" i="1" s="1"/>
  <c r="A34" i="1"/>
  <c r="B35" i="1"/>
  <c r="F34" i="1"/>
  <c r="F33" i="1"/>
  <c r="I24" i="2" l="1"/>
  <c r="C24" i="2"/>
  <c r="L23" i="2"/>
  <c r="E35" i="2"/>
  <c r="G35" i="2" s="1"/>
  <c r="K35" i="2"/>
  <c r="K36" i="2" s="1"/>
  <c r="F35" i="2"/>
  <c r="B36" i="2"/>
  <c r="D36" i="2" s="1"/>
  <c r="A35" i="2"/>
  <c r="J23" i="1"/>
  <c r="C24" i="1"/>
  <c r="G24" i="1"/>
  <c r="F35" i="1"/>
  <c r="B36" i="1"/>
  <c r="A35" i="1"/>
  <c r="J24" i="2" l="1"/>
  <c r="I25" i="2" s="1"/>
  <c r="F36" i="2"/>
  <c r="B37" i="2"/>
  <c r="A36" i="2"/>
  <c r="E36" i="2" s="1"/>
  <c r="H24" i="1"/>
  <c r="J24" i="1" s="1"/>
  <c r="I36" i="1"/>
  <c r="I37" i="1" s="1"/>
  <c r="B37" i="1"/>
  <c r="A36" i="1"/>
  <c r="L24" i="2" l="1"/>
  <c r="C25" i="2"/>
  <c r="J25" i="2" s="1"/>
  <c r="D37" i="2"/>
  <c r="K37" i="2"/>
  <c r="K38" i="2" s="1"/>
  <c r="G36" i="2"/>
  <c r="E37" i="2"/>
  <c r="G37" i="2"/>
  <c r="F37" i="2"/>
  <c r="B38" i="2"/>
  <c r="D38" i="2" s="1"/>
  <c r="A37" i="2"/>
  <c r="G25" i="1"/>
  <c r="H25" i="1" s="1"/>
  <c r="C25" i="1"/>
  <c r="B38" i="1"/>
  <c r="A37" i="1"/>
  <c r="F37" i="1"/>
  <c r="F36" i="1"/>
  <c r="L25" i="2" l="1"/>
  <c r="C26" i="2"/>
  <c r="I26" i="2"/>
  <c r="E38" i="2"/>
  <c r="E39" i="2" s="1"/>
  <c r="G38" i="2"/>
  <c r="F38" i="2"/>
  <c r="B39" i="2"/>
  <c r="A38" i="2"/>
  <c r="I38" i="1"/>
  <c r="I39" i="1" s="1"/>
  <c r="F38" i="1"/>
  <c r="B39" i="1"/>
  <c r="A38" i="1"/>
  <c r="C26" i="1"/>
  <c r="J25" i="1"/>
  <c r="G26" i="1"/>
  <c r="J26" i="2" l="1"/>
  <c r="D39" i="2"/>
  <c r="K39" i="2"/>
  <c r="F39" i="2"/>
  <c r="G39" i="2"/>
  <c r="B40" i="2"/>
  <c r="A39" i="2"/>
  <c r="H26" i="1"/>
  <c r="A39" i="1"/>
  <c r="B40" i="1"/>
  <c r="L26" i="2" l="1"/>
  <c r="C27" i="2"/>
  <c r="I27" i="2"/>
  <c r="K40" i="2"/>
  <c r="K41" i="2" s="1"/>
  <c r="D40" i="2"/>
  <c r="E40" i="2"/>
  <c r="F40" i="2"/>
  <c r="G40" i="2"/>
  <c r="B41" i="2"/>
  <c r="D41" i="2" s="1"/>
  <c r="A40" i="2"/>
  <c r="G27" i="1"/>
  <c r="J26" i="1"/>
  <c r="C27" i="1"/>
  <c r="H27" i="1" s="1"/>
  <c r="I40" i="1"/>
  <c r="I41" i="1" s="1"/>
  <c r="B41" i="1"/>
  <c r="A40" i="1"/>
  <c r="A41" i="1" s="1"/>
  <c r="F40" i="1"/>
  <c r="F39" i="1"/>
  <c r="J27" i="2" l="1"/>
  <c r="E41" i="2"/>
  <c r="F41" i="2"/>
  <c r="B42" i="2"/>
  <c r="A41" i="2"/>
  <c r="G28" i="1"/>
  <c r="J27" i="1"/>
  <c r="C28" i="1"/>
  <c r="H28" i="1" s="1"/>
  <c r="J28" i="1" s="1"/>
  <c r="B42" i="1"/>
  <c r="I28" i="2" l="1"/>
  <c r="C28" i="2"/>
  <c r="L27" i="2"/>
  <c r="E42" i="2"/>
  <c r="G41" i="2"/>
  <c r="D42" i="2"/>
  <c r="K42" i="2"/>
  <c r="K43" i="2" s="1"/>
  <c r="G42" i="2"/>
  <c r="F42" i="2"/>
  <c r="B43" i="2"/>
  <c r="A42" i="2"/>
  <c r="C29" i="1"/>
  <c r="G29" i="1"/>
  <c r="I42" i="1"/>
  <c r="A42" i="1"/>
  <c r="F42" i="1"/>
  <c r="B43" i="1"/>
  <c r="F41" i="1"/>
  <c r="J28" i="2" l="1"/>
  <c r="C29" i="2" s="1"/>
  <c r="D43" i="2"/>
  <c r="E43" i="2"/>
  <c r="G43" i="2"/>
  <c r="F43" i="2"/>
  <c r="B44" i="2"/>
  <c r="A43" i="2"/>
  <c r="H29" i="1"/>
  <c r="B44" i="1"/>
  <c r="F43" i="1"/>
  <c r="I43" i="1"/>
  <c r="I44" i="1" s="1"/>
  <c r="A43" i="1"/>
  <c r="A44" i="1" s="1"/>
  <c r="I29" i="2" l="1"/>
  <c r="J29" i="2" s="1"/>
  <c r="I30" i="2" s="1"/>
  <c r="L28" i="2"/>
  <c r="E44" i="2"/>
  <c r="D44" i="2"/>
  <c r="K44" i="2"/>
  <c r="K45" i="2" s="1"/>
  <c r="B45" i="2"/>
  <c r="D45" i="2" s="1"/>
  <c r="F44" i="2"/>
  <c r="A44" i="2"/>
  <c r="C30" i="1"/>
  <c r="J29" i="1"/>
  <c r="G30" i="1"/>
  <c r="H30" i="1" s="1"/>
  <c r="B45" i="1"/>
  <c r="C30" i="2" l="1"/>
  <c r="J30" i="2" s="1"/>
  <c r="L29" i="2"/>
  <c r="E45" i="2"/>
  <c r="G44" i="2"/>
  <c r="G45" i="2"/>
  <c r="A45" i="2"/>
  <c r="F45" i="2"/>
  <c r="B46" i="2"/>
  <c r="G31" i="1"/>
  <c r="C31" i="1"/>
  <c r="H31" i="1" s="1"/>
  <c r="J30" i="1"/>
  <c r="A45" i="1"/>
  <c r="I45" i="1"/>
  <c r="B46" i="1"/>
  <c r="F45" i="1"/>
  <c r="F44" i="1"/>
  <c r="L30" i="2" l="1"/>
  <c r="C31" i="2"/>
  <c r="I31" i="2"/>
  <c r="D46" i="2"/>
  <c r="E46" i="2"/>
  <c r="K46" i="2"/>
  <c r="K47" i="2" s="1"/>
  <c r="B47" i="2"/>
  <c r="D47" i="2" s="1"/>
  <c r="F46" i="2"/>
  <c r="A46" i="2"/>
  <c r="F46" i="1"/>
  <c r="A46" i="1"/>
  <c r="B47" i="1"/>
  <c r="I46" i="1"/>
  <c r="I47" i="1" s="1"/>
  <c r="J31" i="1"/>
  <c r="G32" i="1"/>
  <c r="C32" i="1"/>
  <c r="J31" i="2" l="1"/>
  <c r="E47" i="2"/>
  <c r="G46" i="2"/>
  <c r="A47" i="2"/>
  <c r="B48" i="2"/>
  <c r="F47" i="2"/>
  <c r="G47" i="2"/>
  <c r="A47" i="1"/>
  <c r="B48" i="1"/>
  <c r="F47" i="1"/>
  <c r="H32" i="1"/>
  <c r="I32" i="2" l="1"/>
  <c r="C32" i="2"/>
  <c r="L31" i="2"/>
  <c r="D48" i="2"/>
  <c r="E48" i="2" s="1"/>
  <c r="K48" i="2"/>
  <c r="B49" i="2"/>
  <c r="D49" i="2" s="1"/>
  <c r="A48" i="2"/>
  <c r="F48" i="2"/>
  <c r="I48" i="1"/>
  <c r="A48" i="1"/>
  <c r="F48" i="1" s="1"/>
  <c r="B49" i="1"/>
  <c r="J32" i="1"/>
  <c r="G33" i="1"/>
  <c r="C33" i="1"/>
  <c r="J32" i="2" l="1"/>
  <c r="K49" i="2"/>
  <c r="K50" i="2" s="1"/>
  <c r="E49" i="2"/>
  <c r="G49" i="2" s="1"/>
  <c r="G48" i="2"/>
  <c r="F49" i="2"/>
  <c r="A49" i="2"/>
  <c r="B50" i="2"/>
  <c r="A49" i="1"/>
  <c r="B50" i="1"/>
  <c r="I49" i="1"/>
  <c r="I50" i="1" s="1"/>
  <c r="H33" i="1"/>
  <c r="L32" i="2" l="1"/>
  <c r="I33" i="2"/>
  <c r="C33" i="2"/>
  <c r="D50" i="2"/>
  <c r="E50" i="2"/>
  <c r="F50" i="2"/>
  <c r="A50" i="2"/>
  <c r="B51" i="2"/>
  <c r="J33" i="1"/>
  <c r="C34" i="1"/>
  <c r="H34" i="1" s="1"/>
  <c r="G34" i="1"/>
  <c r="A50" i="1"/>
  <c r="B51" i="1"/>
  <c r="F50" i="1"/>
  <c r="F49" i="1"/>
  <c r="J33" i="2" l="1"/>
  <c r="L33" i="2" s="1"/>
  <c r="E51" i="2"/>
  <c r="G50" i="2"/>
  <c r="D51" i="2"/>
  <c r="K51" i="2"/>
  <c r="K52" i="2" s="1"/>
  <c r="A51" i="2"/>
  <c r="F51" i="2"/>
  <c r="B52" i="2"/>
  <c r="F51" i="1"/>
  <c r="I51" i="1"/>
  <c r="B52" i="1"/>
  <c r="A51" i="1"/>
  <c r="J34" i="1"/>
  <c r="G35" i="1"/>
  <c r="C35" i="1"/>
  <c r="I34" i="2" l="1"/>
  <c r="C34" i="2"/>
  <c r="G51" i="2"/>
  <c r="D52" i="2"/>
  <c r="E52" i="2"/>
  <c r="B53" i="2"/>
  <c r="A52" i="2"/>
  <c r="F52" i="2"/>
  <c r="A52" i="1"/>
  <c r="B53" i="1"/>
  <c r="I52" i="1"/>
  <c r="I53" i="1" s="1"/>
  <c r="H35" i="1"/>
  <c r="J34" i="2" l="1"/>
  <c r="E53" i="2"/>
  <c r="G52" i="2"/>
  <c r="D53" i="2"/>
  <c r="K53" i="2"/>
  <c r="K54" i="2" s="1"/>
  <c r="F53" i="2"/>
  <c r="A53" i="2"/>
  <c r="B54" i="2"/>
  <c r="B54" i="1"/>
  <c r="A53" i="1"/>
  <c r="F53" i="1"/>
  <c r="F52" i="1"/>
  <c r="C36" i="1"/>
  <c r="J35" i="1"/>
  <c r="G36" i="1"/>
  <c r="I35" i="2" l="1"/>
  <c r="C35" i="2"/>
  <c r="L34" i="2"/>
  <c r="G53" i="2"/>
  <c r="D54" i="2"/>
  <c r="E54" i="2"/>
  <c r="A54" i="2"/>
  <c r="F54" i="2"/>
  <c r="B55" i="2"/>
  <c r="H36" i="1"/>
  <c r="I54" i="1"/>
  <c r="I55" i="1" s="1"/>
  <c r="B55" i="1"/>
  <c r="A54" i="1"/>
  <c r="J35" i="2" l="1"/>
  <c r="C36" i="2" s="1"/>
  <c r="E55" i="2"/>
  <c r="G55" i="2" s="1"/>
  <c r="G54" i="2"/>
  <c r="D55" i="2"/>
  <c r="K55" i="2"/>
  <c r="K56" i="2" s="1"/>
  <c r="B56" i="2"/>
  <c r="F55" i="2"/>
  <c r="A55" i="2"/>
  <c r="C37" i="1"/>
  <c r="G37" i="1"/>
  <c r="H37" i="1" s="1"/>
  <c r="J37" i="1" s="1"/>
  <c r="J36" i="1"/>
  <c r="B56" i="1"/>
  <c r="A55" i="1"/>
  <c r="F55" i="1"/>
  <c r="F54" i="1"/>
  <c r="C38" i="1"/>
  <c r="G38" i="1"/>
  <c r="H38" i="1" s="1"/>
  <c r="I36" i="2" l="1"/>
  <c r="J36" i="2" s="1"/>
  <c r="L35" i="2"/>
  <c r="D56" i="2"/>
  <c r="E56" i="2"/>
  <c r="B57" i="2"/>
  <c r="F56" i="2"/>
  <c r="A56" i="2"/>
  <c r="I56" i="1"/>
  <c r="I57" i="1" s="1"/>
  <c r="A56" i="1"/>
  <c r="B57" i="1"/>
  <c r="J38" i="1"/>
  <c r="C39" i="1"/>
  <c r="G39" i="1"/>
  <c r="L36" i="2" l="1"/>
  <c r="C37" i="2"/>
  <c r="I37" i="2"/>
  <c r="E57" i="2"/>
  <c r="G56" i="2"/>
  <c r="D57" i="2"/>
  <c r="K57" i="2"/>
  <c r="K58" i="2" s="1"/>
  <c r="F57" i="2"/>
  <c r="B58" i="2"/>
  <c r="A57" i="2"/>
  <c r="B58" i="1"/>
  <c r="A57" i="1"/>
  <c r="F57" i="1"/>
  <c r="F56" i="1"/>
  <c r="H39" i="1"/>
  <c r="J37" i="2" l="1"/>
  <c r="G57" i="2"/>
  <c r="D58" i="2"/>
  <c r="E58" i="2"/>
  <c r="F58" i="2"/>
  <c r="B59" i="2"/>
  <c r="A58" i="2"/>
  <c r="C40" i="1"/>
  <c r="J39" i="1"/>
  <c r="G40" i="1"/>
  <c r="H40" i="1" s="1"/>
  <c r="I58" i="1"/>
  <c r="I59" i="1" s="1"/>
  <c r="B59" i="1"/>
  <c r="A58" i="1"/>
  <c r="L37" i="2" l="1"/>
  <c r="I38" i="2"/>
  <c r="C38" i="2"/>
  <c r="E59" i="2"/>
  <c r="G58" i="2"/>
  <c r="D59" i="2"/>
  <c r="K59" i="2"/>
  <c r="K60" i="2" s="1"/>
  <c r="F59" i="2"/>
  <c r="B60" i="2"/>
  <c r="A59" i="2"/>
  <c r="G41" i="1"/>
  <c r="J40" i="1"/>
  <c r="C41" i="1"/>
  <c r="B60" i="1"/>
  <c r="A59" i="1"/>
  <c r="F59" i="1"/>
  <c r="F58" i="1"/>
  <c r="J38" i="2" l="1"/>
  <c r="C39" i="2" s="1"/>
  <c r="G59" i="2"/>
  <c r="D60" i="2"/>
  <c r="E60" i="2" s="1"/>
  <c r="F60" i="2"/>
  <c r="B61" i="2"/>
  <c r="A60" i="2"/>
  <c r="H41" i="1"/>
  <c r="J41" i="1"/>
  <c r="I60" i="1"/>
  <c r="I61" i="1" s="1"/>
  <c r="B61" i="1"/>
  <c r="A60" i="1"/>
  <c r="L38" i="2" l="1"/>
  <c r="I39" i="2"/>
  <c r="J39" i="2" s="1"/>
  <c r="E61" i="2"/>
  <c r="G60" i="2"/>
  <c r="D61" i="2"/>
  <c r="K61" i="2"/>
  <c r="K62" i="2" s="1"/>
  <c r="F61" i="2"/>
  <c r="B62" i="2"/>
  <c r="A61" i="2"/>
  <c r="C42" i="1"/>
  <c r="H42" i="1" s="1"/>
  <c r="G42" i="1"/>
  <c r="B62" i="1"/>
  <c r="A61" i="1"/>
  <c r="F61" i="1"/>
  <c r="F60" i="1"/>
  <c r="I40" i="2" l="1"/>
  <c r="L39" i="2"/>
  <c r="C40" i="2"/>
  <c r="G61" i="2"/>
  <c r="D62" i="2"/>
  <c r="E62" i="2"/>
  <c r="F62" i="2"/>
  <c r="B63" i="2"/>
  <c r="A62" i="2"/>
  <c r="J42" i="1"/>
  <c r="C43" i="1"/>
  <c r="G43" i="1"/>
  <c r="I62" i="1"/>
  <c r="I63" i="1" s="1"/>
  <c r="B63" i="1"/>
  <c r="A62" i="1"/>
  <c r="J40" i="2" l="1"/>
  <c r="I41" i="2" s="1"/>
  <c r="E63" i="2"/>
  <c r="G62" i="2"/>
  <c r="D63" i="2"/>
  <c r="K63" i="2"/>
  <c r="K64" i="2" s="1"/>
  <c r="F63" i="2"/>
  <c r="B64" i="2"/>
  <c r="A63" i="2"/>
  <c r="H43" i="1"/>
  <c r="B64" i="1"/>
  <c r="A63" i="1"/>
  <c r="F63" i="1"/>
  <c r="F62" i="1"/>
  <c r="C41" i="2" l="1"/>
  <c r="J41" i="2" s="1"/>
  <c r="L40" i="2"/>
  <c r="G63" i="2"/>
  <c r="D64" i="2"/>
  <c r="E64" i="2"/>
  <c r="F64" i="2"/>
  <c r="B65" i="2"/>
  <c r="A64" i="2"/>
  <c r="J43" i="1"/>
  <c r="G44" i="1"/>
  <c r="C44" i="1"/>
  <c r="H44" i="1" s="1"/>
  <c r="I64" i="1"/>
  <c r="I65" i="1" s="1"/>
  <c r="B65" i="1"/>
  <c r="A64" i="1"/>
  <c r="I42" i="2" l="1"/>
  <c r="L41" i="2"/>
  <c r="C42" i="2"/>
  <c r="E65" i="2"/>
  <c r="G64" i="2"/>
  <c r="D65" i="2"/>
  <c r="K65" i="2"/>
  <c r="K66" i="2" s="1"/>
  <c r="F65" i="2"/>
  <c r="B66" i="2"/>
  <c r="A65" i="2"/>
  <c r="B66" i="1"/>
  <c r="A65" i="1"/>
  <c r="F65" i="1"/>
  <c r="F64" i="1"/>
  <c r="J44" i="1"/>
  <c r="G45" i="1"/>
  <c r="C45" i="1"/>
  <c r="J42" i="2" l="1"/>
  <c r="G65" i="2"/>
  <c r="D66" i="2"/>
  <c r="E66" i="2"/>
  <c r="F66" i="2"/>
  <c r="B67" i="2"/>
  <c r="A66" i="2"/>
  <c r="I66" i="1"/>
  <c r="I67" i="1" s="1"/>
  <c r="B67" i="1"/>
  <c r="A66" i="1"/>
  <c r="H45" i="1"/>
  <c r="L42" i="2" l="1"/>
  <c r="I43" i="2"/>
  <c r="C43" i="2"/>
  <c r="E67" i="2"/>
  <c r="G66" i="2"/>
  <c r="D67" i="2"/>
  <c r="K67" i="2"/>
  <c r="K68" i="2" s="1"/>
  <c r="F67" i="2"/>
  <c r="B68" i="2"/>
  <c r="A67" i="2"/>
  <c r="B68" i="1"/>
  <c r="A67" i="1"/>
  <c r="F67" i="1"/>
  <c r="F66" i="1"/>
  <c r="C46" i="1"/>
  <c r="G46" i="1"/>
  <c r="J45" i="1"/>
  <c r="J43" i="2" l="1"/>
  <c r="G67" i="2"/>
  <c r="D68" i="2"/>
  <c r="E68" i="2"/>
  <c r="F68" i="2"/>
  <c r="B69" i="2"/>
  <c r="A68" i="2"/>
  <c r="I68" i="1"/>
  <c r="I69" i="1" s="1"/>
  <c r="B69" i="1"/>
  <c r="A68" i="1"/>
  <c r="H46" i="1"/>
  <c r="C44" i="2" l="1"/>
  <c r="I44" i="2"/>
  <c r="L43" i="2"/>
  <c r="E69" i="2"/>
  <c r="G68" i="2"/>
  <c r="D69" i="2"/>
  <c r="K69" i="2"/>
  <c r="K70" i="2" s="1"/>
  <c r="F69" i="2"/>
  <c r="B70" i="2"/>
  <c r="A69" i="2"/>
  <c r="B70" i="1"/>
  <c r="A69" i="1"/>
  <c r="F69" i="1"/>
  <c r="F68" i="1"/>
  <c r="J46" i="1"/>
  <c r="C47" i="1"/>
  <c r="G47" i="1"/>
  <c r="J44" i="2" l="1"/>
  <c r="G69" i="2"/>
  <c r="D70" i="2"/>
  <c r="E70" i="2"/>
  <c r="F70" i="2"/>
  <c r="B71" i="2"/>
  <c r="A70" i="2"/>
  <c r="H47" i="1"/>
  <c r="I70" i="1"/>
  <c r="I71" i="1" s="1"/>
  <c r="B71" i="1"/>
  <c r="A70" i="1"/>
  <c r="C45" i="2" l="1"/>
  <c r="L44" i="2"/>
  <c r="I45" i="2"/>
  <c r="E71" i="2"/>
  <c r="G70" i="2"/>
  <c r="D71" i="2"/>
  <c r="K71" i="2"/>
  <c r="K72" i="2" s="1"/>
  <c r="F71" i="2"/>
  <c r="B72" i="2"/>
  <c r="A71" i="2"/>
  <c r="C48" i="1"/>
  <c r="G48" i="1"/>
  <c r="J47" i="1"/>
  <c r="B72" i="1"/>
  <c r="A71" i="1"/>
  <c r="F71" i="1"/>
  <c r="F70" i="1"/>
  <c r="J45" i="2" l="1"/>
  <c r="G71" i="2"/>
  <c r="D72" i="2"/>
  <c r="E72" i="2" s="1"/>
  <c r="F72" i="2"/>
  <c r="B73" i="2"/>
  <c r="A72" i="2"/>
  <c r="H48" i="1"/>
  <c r="I72" i="1"/>
  <c r="I73" i="1" s="1"/>
  <c r="B73" i="1"/>
  <c r="A72" i="1"/>
  <c r="G49" i="1"/>
  <c r="I46" i="2" l="1"/>
  <c r="C46" i="2"/>
  <c r="L45" i="2"/>
  <c r="E73" i="2"/>
  <c r="G72" i="2"/>
  <c r="D73" i="2"/>
  <c r="K73" i="2"/>
  <c r="K74" i="2" s="1"/>
  <c r="F73" i="2"/>
  <c r="B74" i="2"/>
  <c r="A73" i="2"/>
  <c r="J48" i="1"/>
  <c r="C49" i="1"/>
  <c r="B74" i="1"/>
  <c r="A73" i="1"/>
  <c r="F73" i="1"/>
  <c r="F72" i="1"/>
  <c r="H49" i="1"/>
  <c r="J46" i="2" l="1"/>
  <c r="I47" i="2" s="1"/>
  <c r="G73" i="2"/>
  <c r="D74" i="2"/>
  <c r="E74" i="2"/>
  <c r="F74" i="2"/>
  <c r="B75" i="2"/>
  <c r="A74" i="2"/>
  <c r="I74" i="1"/>
  <c r="I75" i="1" s="1"/>
  <c r="B75" i="1"/>
  <c r="A74" i="1"/>
  <c r="J49" i="1"/>
  <c r="G50" i="1"/>
  <c r="C50" i="1"/>
  <c r="L46" i="2" l="1"/>
  <c r="C47" i="2"/>
  <c r="J47" i="2" s="1"/>
  <c r="E75" i="2"/>
  <c r="G74" i="2"/>
  <c r="D75" i="2"/>
  <c r="K75" i="2"/>
  <c r="K76" i="2" s="1"/>
  <c r="F75" i="2"/>
  <c r="B76" i="2"/>
  <c r="A75" i="2"/>
  <c r="B76" i="1"/>
  <c r="A75" i="1"/>
  <c r="F75" i="1"/>
  <c r="F74" i="1"/>
  <c r="H50" i="1"/>
  <c r="J50" i="1" s="1"/>
  <c r="I48" i="2" l="1"/>
  <c r="L47" i="2"/>
  <c r="C48" i="2"/>
  <c r="G75" i="2"/>
  <c r="D76" i="2"/>
  <c r="E76" i="2"/>
  <c r="F76" i="2"/>
  <c r="B77" i="2"/>
  <c r="A76" i="2"/>
  <c r="I76" i="1"/>
  <c r="I77" i="1" s="1"/>
  <c r="B77" i="1"/>
  <c r="A76" i="1"/>
  <c r="C51" i="1"/>
  <c r="G51" i="1"/>
  <c r="H51" i="1" s="1"/>
  <c r="G52" i="1" s="1"/>
  <c r="J48" i="2" l="1"/>
  <c r="E77" i="2"/>
  <c r="G76" i="2"/>
  <c r="D77" i="2"/>
  <c r="K77" i="2"/>
  <c r="K78" i="2" s="1"/>
  <c r="F77" i="2"/>
  <c r="B78" i="2"/>
  <c r="A77" i="2"/>
  <c r="J51" i="1"/>
  <c r="C52" i="1"/>
  <c r="H52" i="1" s="1"/>
  <c r="B78" i="1"/>
  <c r="A77" i="1"/>
  <c r="F77" i="1"/>
  <c r="F76" i="1"/>
  <c r="L48" i="2" l="1"/>
  <c r="C49" i="2"/>
  <c r="I49" i="2"/>
  <c r="G77" i="2"/>
  <c r="D78" i="2"/>
  <c r="E78" i="2"/>
  <c r="F78" i="2"/>
  <c r="B79" i="2"/>
  <c r="A78" i="2"/>
  <c r="I78" i="1"/>
  <c r="I79" i="1" s="1"/>
  <c r="B79" i="1"/>
  <c r="A78" i="1"/>
  <c r="C53" i="1"/>
  <c r="G53" i="1"/>
  <c r="J52" i="1"/>
  <c r="J49" i="2" l="1"/>
  <c r="E79" i="2"/>
  <c r="G78" i="2"/>
  <c r="D79" i="2"/>
  <c r="K79" i="2"/>
  <c r="K80" i="2" s="1"/>
  <c r="F79" i="2"/>
  <c r="B80" i="2"/>
  <c r="A79" i="2"/>
  <c r="B80" i="1"/>
  <c r="A79" i="1"/>
  <c r="F79" i="1"/>
  <c r="F78" i="1"/>
  <c r="H53" i="1"/>
  <c r="C50" i="2" l="1"/>
  <c r="L49" i="2"/>
  <c r="I50" i="2"/>
  <c r="J50" i="2" s="1"/>
  <c r="C51" i="2" s="1"/>
  <c r="G79" i="2"/>
  <c r="D80" i="2"/>
  <c r="E80" i="2"/>
  <c r="F80" i="2"/>
  <c r="B81" i="2"/>
  <c r="A80" i="2"/>
  <c r="I80" i="1"/>
  <c r="I81" i="1" s="1"/>
  <c r="B81" i="1"/>
  <c r="A80" i="1"/>
  <c r="G54" i="1"/>
  <c r="C54" i="1"/>
  <c r="J53" i="1"/>
  <c r="I51" i="2" l="1"/>
  <c r="J51" i="2" s="1"/>
  <c r="L50" i="2"/>
  <c r="E81" i="2"/>
  <c r="G80" i="2"/>
  <c r="D81" i="2"/>
  <c r="K81" i="2"/>
  <c r="K82" i="2" s="1"/>
  <c r="F81" i="2"/>
  <c r="B82" i="2"/>
  <c r="A81" i="2"/>
  <c r="H54" i="1"/>
  <c r="B82" i="1"/>
  <c r="A81" i="1"/>
  <c r="F81" i="1"/>
  <c r="F80" i="1"/>
  <c r="C52" i="2" l="1"/>
  <c r="I52" i="2"/>
  <c r="L51" i="2"/>
  <c r="G81" i="2"/>
  <c r="D82" i="2"/>
  <c r="E82" i="2"/>
  <c r="F82" i="2"/>
  <c r="B83" i="2"/>
  <c r="A82" i="2"/>
  <c r="C55" i="1"/>
  <c r="J54" i="1"/>
  <c r="G55" i="1"/>
  <c r="I82" i="1"/>
  <c r="I83" i="1" s="1"/>
  <c r="B83" i="1"/>
  <c r="A82" i="1"/>
  <c r="J52" i="2" l="1"/>
  <c r="E83" i="2"/>
  <c r="G82" i="2"/>
  <c r="D83" i="2"/>
  <c r="K83" i="2"/>
  <c r="K84" i="2" s="1"/>
  <c r="F83" i="2"/>
  <c r="B84" i="2"/>
  <c r="A83" i="2"/>
  <c r="H55" i="1"/>
  <c r="B84" i="1"/>
  <c r="A83" i="1"/>
  <c r="F83" i="1"/>
  <c r="F82" i="1"/>
  <c r="G56" i="1"/>
  <c r="I53" i="2" l="1"/>
  <c r="C53" i="2"/>
  <c r="L52" i="2"/>
  <c r="G83" i="2"/>
  <c r="D84" i="2"/>
  <c r="E84" i="2" s="1"/>
  <c r="F84" i="2"/>
  <c r="B85" i="2"/>
  <c r="A84" i="2"/>
  <c r="C56" i="1"/>
  <c r="H56" i="1" s="1"/>
  <c r="J56" i="1" s="1"/>
  <c r="J55" i="1"/>
  <c r="I84" i="1"/>
  <c r="I85" i="1" s="1"/>
  <c r="B85" i="1"/>
  <c r="A84" i="1"/>
  <c r="J53" i="2" l="1"/>
  <c r="C54" i="2" s="1"/>
  <c r="E85" i="2"/>
  <c r="G85" i="2" s="1"/>
  <c r="G84" i="2"/>
  <c r="D85" i="2"/>
  <c r="K85" i="2"/>
  <c r="K86" i="2" s="1"/>
  <c r="F85" i="2"/>
  <c r="B86" i="2"/>
  <c r="A85" i="2"/>
  <c r="B86" i="1"/>
  <c r="A85" i="1"/>
  <c r="F85" i="1"/>
  <c r="F84" i="1"/>
  <c r="C57" i="1"/>
  <c r="G57" i="1"/>
  <c r="I54" i="2" l="1"/>
  <c r="J54" i="2" s="1"/>
  <c r="L53" i="2"/>
  <c r="D86" i="2"/>
  <c r="E86" i="2"/>
  <c r="G86" i="2" s="1"/>
  <c r="F86" i="2"/>
  <c r="B87" i="2"/>
  <c r="A86" i="2"/>
  <c r="I86" i="1"/>
  <c r="I87" i="1" s="1"/>
  <c r="B87" i="1"/>
  <c r="A86" i="1"/>
  <c r="H57" i="1"/>
  <c r="I55" i="2" l="1"/>
  <c r="C55" i="2"/>
  <c r="L54" i="2"/>
  <c r="E87" i="2"/>
  <c r="D87" i="2"/>
  <c r="K87" i="2"/>
  <c r="K88" i="2" s="1"/>
  <c r="F87" i="2"/>
  <c r="B88" i="2"/>
  <c r="A87" i="2"/>
  <c r="B88" i="1"/>
  <c r="A87" i="1"/>
  <c r="F87" i="1"/>
  <c r="F86" i="1"/>
  <c r="G58" i="1"/>
  <c r="C58" i="1"/>
  <c r="J57" i="1"/>
  <c r="J55" i="2" l="1"/>
  <c r="G87" i="2"/>
  <c r="D88" i="2"/>
  <c r="E88" i="2"/>
  <c r="F88" i="2"/>
  <c r="B89" i="2"/>
  <c r="A88" i="2"/>
  <c r="I88" i="1"/>
  <c r="I89" i="1" s="1"/>
  <c r="B89" i="1"/>
  <c r="A88" i="1"/>
  <c r="H58" i="1"/>
  <c r="C56" i="2" l="1"/>
  <c r="L55" i="2"/>
  <c r="I56" i="2"/>
  <c r="E89" i="2"/>
  <c r="G88" i="2"/>
  <c r="D89" i="2"/>
  <c r="K89" i="2"/>
  <c r="K90" i="2" s="1"/>
  <c r="F89" i="2"/>
  <c r="B90" i="2"/>
  <c r="A89" i="2"/>
  <c r="B90" i="1"/>
  <c r="A89" i="1"/>
  <c r="F89" i="1"/>
  <c r="F88" i="1"/>
  <c r="G59" i="1"/>
  <c r="C59" i="1"/>
  <c r="J58" i="1"/>
  <c r="J56" i="2" l="1"/>
  <c r="G89" i="2"/>
  <c r="D90" i="2"/>
  <c r="E90" i="2"/>
  <c r="F90" i="2"/>
  <c r="B91" i="2"/>
  <c r="A90" i="2"/>
  <c r="I90" i="1"/>
  <c r="I91" i="1" s="1"/>
  <c r="B91" i="1"/>
  <c r="A90" i="1"/>
  <c r="H59" i="1"/>
  <c r="L56" i="2" l="1"/>
  <c r="C57" i="2"/>
  <c r="I57" i="2"/>
  <c r="E91" i="2"/>
  <c r="G90" i="2"/>
  <c r="D91" i="2"/>
  <c r="K91" i="2"/>
  <c r="F91" i="2"/>
  <c r="B92" i="2"/>
  <c r="A91" i="2"/>
  <c r="B92" i="1"/>
  <c r="A91" i="1"/>
  <c r="F91" i="1"/>
  <c r="F90" i="1"/>
  <c r="G60" i="1"/>
  <c r="C60" i="1"/>
  <c r="J59" i="1"/>
  <c r="J57" i="2" l="1"/>
  <c r="I58" i="2" s="1"/>
  <c r="G91" i="2"/>
  <c r="K92" i="2"/>
  <c r="D92" i="2"/>
  <c r="E92" i="2"/>
  <c r="F92" i="2"/>
  <c r="B93" i="2"/>
  <c r="D93" i="2" s="1"/>
  <c r="A92" i="2"/>
  <c r="I92" i="1"/>
  <c r="I93" i="1" s="1"/>
  <c r="B93" i="1"/>
  <c r="A92" i="1"/>
  <c r="H60" i="1"/>
  <c r="C58" i="2" l="1"/>
  <c r="J58" i="2" s="1"/>
  <c r="L57" i="2"/>
  <c r="G92" i="2"/>
  <c r="K93" i="2"/>
  <c r="E93" i="2"/>
  <c r="F93" i="2"/>
  <c r="B94" i="2"/>
  <c r="D94" i="2" s="1"/>
  <c r="A93" i="2"/>
  <c r="A93" i="1"/>
  <c r="B94" i="1"/>
  <c r="F93" i="1"/>
  <c r="F92" i="1"/>
  <c r="G61" i="1"/>
  <c r="C61" i="1"/>
  <c r="J60" i="1"/>
  <c r="I59" i="2" l="1"/>
  <c r="L58" i="2"/>
  <c r="C59" i="2"/>
  <c r="G93" i="2"/>
  <c r="K94" i="2"/>
  <c r="E94" i="2"/>
  <c r="G94" i="2" s="1"/>
  <c r="F94" i="2"/>
  <c r="A94" i="2"/>
  <c r="B95" i="2"/>
  <c r="D95" i="2" s="1"/>
  <c r="H61" i="1"/>
  <c r="I94" i="1"/>
  <c r="I95" i="1" s="1"/>
  <c r="B95" i="1"/>
  <c r="A94" i="1"/>
  <c r="J59" i="2" l="1"/>
  <c r="I60" i="2" s="1"/>
  <c r="K95" i="2"/>
  <c r="E95" i="2"/>
  <c r="F95" i="2"/>
  <c r="A95" i="2"/>
  <c r="B96" i="2"/>
  <c r="D96" i="2" s="1"/>
  <c r="G62" i="1"/>
  <c r="J61" i="1"/>
  <c r="C62" i="1"/>
  <c r="H62" i="1" s="1"/>
  <c r="J62" i="1" s="1"/>
  <c r="B96" i="1"/>
  <c r="A95" i="1"/>
  <c r="F95" i="1"/>
  <c r="F94" i="1"/>
  <c r="G63" i="1"/>
  <c r="C63" i="1"/>
  <c r="C60" i="2" l="1"/>
  <c r="J60" i="2" s="1"/>
  <c r="L59" i="2"/>
  <c r="G95" i="2"/>
  <c r="K96" i="2"/>
  <c r="K97" i="2" s="1"/>
  <c r="E96" i="2"/>
  <c r="F96" i="2"/>
  <c r="A96" i="2"/>
  <c r="B97" i="2"/>
  <c r="D97" i="2" s="1"/>
  <c r="I96" i="1"/>
  <c r="I97" i="1" s="1"/>
  <c r="A96" i="1"/>
  <c r="B97" i="1"/>
  <c r="H63" i="1"/>
  <c r="G64" i="1"/>
  <c r="I61" i="2" l="1"/>
  <c r="C61" i="2"/>
  <c r="J61" i="2" s="1"/>
  <c r="L60" i="2"/>
  <c r="E97" i="2"/>
  <c r="G97" i="2" s="1"/>
  <c r="G96" i="2"/>
  <c r="A97" i="2"/>
  <c r="B98" i="2"/>
  <c r="F97" i="2"/>
  <c r="A97" i="1"/>
  <c r="B98" i="1"/>
  <c r="F97" i="1"/>
  <c r="F96" i="1"/>
  <c r="J63" i="1"/>
  <c r="C64" i="1"/>
  <c r="H64" i="1" s="1"/>
  <c r="C62" i="2" l="1"/>
  <c r="I62" i="2"/>
  <c r="L61" i="2"/>
  <c r="D98" i="2"/>
  <c r="E98" i="2"/>
  <c r="K98" i="2"/>
  <c r="K99" i="2" s="1"/>
  <c r="A98" i="2"/>
  <c r="F98" i="2"/>
  <c r="B99" i="2"/>
  <c r="D99" i="2" s="1"/>
  <c r="I98" i="1"/>
  <c r="I99" i="1" s="1"/>
  <c r="A98" i="1"/>
  <c r="B99" i="1"/>
  <c r="J64" i="1"/>
  <c r="G65" i="1"/>
  <c r="C65" i="1"/>
  <c r="J62" i="2" l="1"/>
  <c r="I63" i="2" s="1"/>
  <c r="E99" i="2"/>
  <c r="G98" i="2"/>
  <c r="A99" i="2"/>
  <c r="B100" i="2"/>
  <c r="F99" i="2"/>
  <c r="B100" i="1"/>
  <c r="A99" i="1"/>
  <c r="F99" i="1"/>
  <c r="F98" i="1"/>
  <c r="H65" i="1"/>
  <c r="G66" i="1" s="1"/>
  <c r="L62" i="2" l="1"/>
  <c r="C63" i="2"/>
  <c r="J63" i="2" s="1"/>
  <c r="G99" i="2"/>
  <c r="D100" i="2"/>
  <c r="E100" i="2"/>
  <c r="K100" i="2"/>
  <c r="K101" i="2" s="1"/>
  <c r="A100" i="2"/>
  <c r="F100" i="2"/>
  <c r="B101" i="2"/>
  <c r="D101" i="2" s="1"/>
  <c r="I100" i="1"/>
  <c r="A100" i="1"/>
  <c r="B101" i="1"/>
  <c r="J65" i="1"/>
  <c r="C66" i="1"/>
  <c r="H66" i="1" s="1"/>
  <c r="C67" i="1" s="1"/>
  <c r="I64" i="2" l="1"/>
  <c r="L63" i="2"/>
  <c r="C64" i="2"/>
  <c r="E101" i="2"/>
  <c r="G100" i="2"/>
  <c r="B102" i="2"/>
  <c r="A101" i="2"/>
  <c r="F101" i="2"/>
  <c r="B102" i="1"/>
  <c r="A101" i="1"/>
  <c r="I101" i="1"/>
  <c r="I102" i="1" s="1"/>
  <c r="F101" i="1"/>
  <c r="F100" i="1"/>
  <c r="J66" i="1"/>
  <c r="G67" i="1"/>
  <c r="H67" i="1" s="1"/>
  <c r="J67" i="1" s="1"/>
  <c r="J64" i="2" l="1"/>
  <c r="G101" i="2"/>
  <c r="D102" i="2"/>
  <c r="E102" i="2"/>
  <c r="K102" i="2"/>
  <c r="K103" i="2" s="1"/>
  <c r="B103" i="2"/>
  <c r="D103" i="2" s="1"/>
  <c r="A102" i="2"/>
  <c r="F102" i="2"/>
  <c r="B103" i="1"/>
  <c r="A102" i="1"/>
  <c r="C68" i="1"/>
  <c r="G68" i="1"/>
  <c r="C65" i="2" l="1"/>
  <c r="I65" i="2"/>
  <c r="L64" i="2"/>
  <c r="E103" i="2"/>
  <c r="G102" i="2"/>
  <c r="F103" i="2"/>
  <c r="A103" i="2"/>
  <c r="B104" i="2"/>
  <c r="I103" i="1"/>
  <c r="I104" i="1" s="1"/>
  <c r="B104" i="1"/>
  <c r="A103" i="1"/>
  <c r="F103" i="1"/>
  <c r="F102" i="1"/>
  <c r="H68" i="1"/>
  <c r="C69" i="1" s="1"/>
  <c r="J65" i="2" l="1"/>
  <c r="C66" i="2" s="1"/>
  <c r="J66" i="2" s="1"/>
  <c r="L65" i="2"/>
  <c r="I66" i="2"/>
  <c r="G103" i="2"/>
  <c r="D104" i="2"/>
  <c r="E104" i="2"/>
  <c r="K104" i="2"/>
  <c r="K105" i="2" s="1"/>
  <c r="B105" i="2"/>
  <c r="D105" i="2" s="1"/>
  <c r="A104" i="2"/>
  <c r="F104" i="2"/>
  <c r="B105" i="1"/>
  <c r="A104" i="1"/>
  <c r="J68" i="1"/>
  <c r="G69" i="1"/>
  <c r="H69" i="1" s="1"/>
  <c r="G70" i="1" s="1"/>
  <c r="C67" i="2" l="1"/>
  <c r="L66" i="2"/>
  <c r="I67" i="2"/>
  <c r="E105" i="2"/>
  <c r="G105" i="2" s="1"/>
  <c r="G104" i="2"/>
  <c r="B106" i="2"/>
  <c r="F105" i="2"/>
  <c r="A105" i="2"/>
  <c r="I105" i="1"/>
  <c r="I106" i="1" s="1"/>
  <c r="B106" i="1"/>
  <c r="A105" i="1"/>
  <c r="F105" i="1"/>
  <c r="F104" i="1"/>
  <c r="J69" i="1"/>
  <c r="C70" i="1"/>
  <c r="H70" i="1" s="1"/>
  <c r="J67" i="2" l="1"/>
  <c r="D106" i="2"/>
  <c r="E106" i="2"/>
  <c r="K106" i="2"/>
  <c r="K107" i="2" s="1"/>
  <c r="B107" i="2"/>
  <c r="D107" i="2" s="1"/>
  <c r="F106" i="2"/>
  <c r="A106" i="2"/>
  <c r="B107" i="1"/>
  <c r="A106" i="1"/>
  <c r="J70" i="1"/>
  <c r="G71" i="1"/>
  <c r="C71" i="1"/>
  <c r="I68" i="2" l="1"/>
  <c r="L67" i="2"/>
  <c r="C68" i="2"/>
  <c r="E107" i="2"/>
  <c r="G106" i="2"/>
  <c r="F107" i="2"/>
  <c r="B108" i="2"/>
  <c r="A107" i="2"/>
  <c r="H71" i="1"/>
  <c r="I107" i="1"/>
  <c r="I108" i="1" s="1"/>
  <c r="B108" i="1"/>
  <c r="A107" i="1"/>
  <c r="F107" i="1"/>
  <c r="F106" i="1"/>
  <c r="J68" i="2" l="1"/>
  <c r="L68" i="2" s="1"/>
  <c r="G107" i="2"/>
  <c r="D108" i="2"/>
  <c r="E108" i="2" s="1"/>
  <c r="K108" i="2"/>
  <c r="K109" i="2" s="1"/>
  <c r="F108" i="2"/>
  <c r="B109" i="2"/>
  <c r="D109" i="2" s="1"/>
  <c r="A108" i="2"/>
  <c r="G72" i="1"/>
  <c r="J71" i="1"/>
  <c r="C72" i="1"/>
  <c r="B109" i="1"/>
  <c r="A108" i="1"/>
  <c r="I69" i="2" l="1"/>
  <c r="C69" i="2"/>
  <c r="E109" i="2"/>
  <c r="G109" i="2" s="1"/>
  <c r="G108" i="2"/>
  <c r="F109" i="2"/>
  <c r="B110" i="2"/>
  <c r="A109" i="2"/>
  <c r="H72" i="1"/>
  <c r="I109" i="1"/>
  <c r="I110" i="1" s="1"/>
  <c r="B110" i="1"/>
  <c r="A109" i="1"/>
  <c r="F109" i="1"/>
  <c r="F108" i="1"/>
  <c r="J69" i="2" l="1"/>
  <c r="C70" i="2" s="1"/>
  <c r="D110" i="2"/>
  <c r="E110" i="2"/>
  <c r="K110" i="2"/>
  <c r="K111" i="2" s="1"/>
  <c r="F110" i="2"/>
  <c r="B111" i="2"/>
  <c r="D111" i="2" s="1"/>
  <c r="A110" i="2"/>
  <c r="J72" i="1"/>
  <c r="C73" i="1"/>
  <c r="G73" i="1"/>
  <c r="B111" i="1"/>
  <c r="A110" i="1"/>
  <c r="L69" i="2" l="1"/>
  <c r="I70" i="2"/>
  <c r="J70" i="2" s="1"/>
  <c r="E111" i="2"/>
  <c r="G110" i="2"/>
  <c r="F111" i="2"/>
  <c r="B112" i="2"/>
  <c r="A111" i="2"/>
  <c r="H73" i="1"/>
  <c r="I111" i="1"/>
  <c r="I112" i="1" s="1"/>
  <c r="B112" i="1"/>
  <c r="A111" i="1"/>
  <c r="F111" i="1"/>
  <c r="F110" i="1"/>
  <c r="I71" i="2" l="1"/>
  <c r="L70" i="2"/>
  <c r="C71" i="2"/>
  <c r="G111" i="2"/>
  <c r="D112" i="2"/>
  <c r="K112" i="2"/>
  <c r="K113" i="2" s="1"/>
  <c r="E112" i="2"/>
  <c r="F112" i="2"/>
  <c r="B113" i="2"/>
  <c r="D113" i="2" s="1"/>
  <c r="A112" i="2"/>
  <c r="G74" i="1"/>
  <c r="H74" i="1" s="1"/>
  <c r="J73" i="1"/>
  <c r="C74" i="1"/>
  <c r="B113" i="1"/>
  <c r="A112" i="1"/>
  <c r="J71" i="2" l="1"/>
  <c r="I72" i="2" s="1"/>
  <c r="G112" i="2"/>
  <c r="E113" i="2"/>
  <c r="F113" i="2"/>
  <c r="B114" i="2"/>
  <c r="A113" i="2"/>
  <c r="C75" i="1"/>
  <c r="J74" i="1"/>
  <c r="G75" i="1"/>
  <c r="I113" i="1"/>
  <c r="B114" i="1"/>
  <c r="A113" i="1"/>
  <c r="F113" i="1"/>
  <c r="F112" i="1"/>
  <c r="L71" i="2" l="1"/>
  <c r="C72" i="2"/>
  <c r="J72" i="2" s="1"/>
  <c r="E114" i="2"/>
  <c r="G113" i="2"/>
  <c r="D114" i="2"/>
  <c r="K114" i="2"/>
  <c r="K115" i="2" s="1"/>
  <c r="F114" i="2"/>
  <c r="B115" i="2"/>
  <c r="A114" i="2"/>
  <c r="H75" i="1"/>
  <c r="B115" i="1"/>
  <c r="A114" i="1"/>
  <c r="I114" i="1"/>
  <c r="I115" i="1" s="1"/>
  <c r="I73" i="2" l="1"/>
  <c r="L72" i="2"/>
  <c r="C73" i="2"/>
  <c r="G114" i="2"/>
  <c r="D115" i="2"/>
  <c r="E115" i="2"/>
  <c r="F115" i="2"/>
  <c r="B116" i="2"/>
  <c r="A115" i="2"/>
  <c r="J75" i="1"/>
  <c r="G76" i="1"/>
  <c r="C76" i="1"/>
  <c r="H76" i="1" s="1"/>
  <c r="A115" i="1"/>
  <c r="B116" i="1"/>
  <c r="F115" i="1"/>
  <c r="F114" i="1"/>
  <c r="J73" i="2" l="1"/>
  <c r="E116" i="2"/>
  <c r="G115" i="2"/>
  <c r="D116" i="2"/>
  <c r="K116" i="2"/>
  <c r="K117" i="2" s="1"/>
  <c r="F116" i="2"/>
  <c r="B117" i="2"/>
  <c r="A116" i="2"/>
  <c r="C77" i="1"/>
  <c r="J76" i="1"/>
  <c r="G77" i="1"/>
  <c r="I116" i="1"/>
  <c r="I117" i="1" s="1"/>
  <c r="B117" i="1"/>
  <c r="A116" i="1"/>
  <c r="I74" i="2" l="1"/>
  <c r="L73" i="2"/>
  <c r="C74" i="2"/>
  <c r="G116" i="2"/>
  <c r="D117" i="2"/>
  <c r="E117" i="2"/>
  <c r="F117" i="2"/>
  <c r="B118" i="2"/>
  <c r="A117" i="2"/>
  <c r="H77" i="1"/>
  <c r="B118" i="1"/>
  <c r="A117" i="1"/>
  <c r="F117" i="1"/>
  <c r="F116" i="1"/>
  <c r="J74" i="2" l="1"/>
  <c r="L74" i="2" s="1"/>
  <c r="E118" i="2"/>
  <c r="G117" i="2"/>
  <c r="D118" i="2"/>
  <c r="K118" i="2"/>
  <c r="K119" i="2" s="1"/>
  <c r="F118" i="2"/>
  <c r="B119" i="2"/>
  <c r="A118" i="2"/>
  <c r="J77" i="1"/>
  <c r="G78" i="1"/>
  <c r="C78" i="1"/>
  <c r="I118" i="1"/>
  <c r="I119" i="1" s="1"/>
  <c r="B119" i="1"/>
  <c r="A118" i="1"/>
  <c r="I75" i="2" l="1"/>
  <c r="C75" i="2"/>
  <c r="J75" i="2" s="1"/>
  <c r="I76" i="2" s="1"/>
  <c r="G118" i="2"/>
  <c r="D119" i="2"/>
  <c r="E119" i="2"/>
  <c r="F119" i="2"/>
  <c r="B120" i="2"/>
  <c r="A119" i="2"/>
  <c r="H78" i="1"/>
  <c r="G79" i="1"/>
  <c r="J78" i="1"/>
  <c r="C79" i="1"/>
  <c r="A119" i="1"/>
  <c r="B120" i="1"/>
  <c r="F119" i="1"/>
  <c r="F118" i="1"/>
  <c r="G119" i="2" l="1"/>
  <c r="D120" i="2"/>
  <c r="K120" i="2"/>
  <c r="K121" i="2" s="1"/>
  <c r="L75" i="2"/>
  <c r="C76" i="2"/>
  <c r="F120" i="2"/>
  <c r="B121" i="2"/>
  <c r="D121" i="2" s="1"/>
  <c r="A120" i="2"/>
  <c r="E120" i="2" s="1"/>
  <c r="H79" i="1"/>
  <c r="C80" i="1"/>
  <c r="I120" i="1"/>
  <c r="I121" i="1" s="1"/>
  <c r="A120" i="1"/>
  <c r="B121" i="1"/>
  <c r="G120" i="2" l="1"/>
  <c r="E121" i="2"/>
  <c r="J76" i="2"/>
  <c r="F121" i="2"/>
  <c r="B122" i="2"/>
  <c r="A121" i="2"/>
  <c r="G80" i="1"/>
  <c r="H80" i="1" s="1"/>
  <c r="J79" i="1"/>
  <c r="J80" i="1"/>
  <c r="C81" i="1"/>
  <c r="G81" i="1"/>
  <c r="H81" i="1" s="1"/>
  <c r="B122" i="1"/>
  <c r="A121" i="1"/>
  <c r="F121" i="1"/>
  <c r="F120" i="1"/>
  <c r="I77" i="2" l="1"/>
  <c r="L76" i="2"/>
  <c r="C77" i="2"/>
  <c r="E122" i="2"/>
  <c r="G121" i="2"/>
  <c r="D122" i="2"/>
  <c r="K122" i="2"/>
  <c r="F122" i="2"/>
  <c r="B123" i="2"/>
  <c r="A122" i="2"/>
  <c r="J81" i="1"/>
  <c r="G82" i="1"/>
  <c r="C82" i="1"/>
  <c r="I122" i="1"/>
  <c r="A122" i="1"/>
  <c r="B123" i="1"/>
  <c r="J77" i="2" l="1"/>
  <c r="I78" i="2" s="1"/>
  <c r="G122" i="2"/>
  <c r="K123" i="2"/>
  <c r="K124" i="2" s="1"/>
  <c r="D123" i="2"/>
  <c r="E123" i="2"/>
  <c r="F123" i="2"/>
  <c r="B124" i="2"/>
  <c r="D124" i="2" s="1"/>
  <c r="A123" i="2"/>
  <c r="H82" i="1"/>
  <c r="B124" i="1"/>
  <c r="A123" i="1"/>
  <c r="I123" i="1"/>
  <c r="I124" i="1" s="1"/>
  <c r="F123" i="1"/>
  <c r="F122" i="1"/>
  <c r="C78" i="2" l="1"/>
  <c r="J78" i="2" s="1"/>
  <c r="I79" i="2" s="1"/>
  <c r="L77" i="2"/>
  <c r="G123" i="2"/>
  <c r="E124" i="2"/>
  <c r="G124" i="2" s="1"/>
  <c r="F124" i="2"/>
  <c r="B125" i="2"/>
  <c r="A124" i="2"/>
  <c r="J82" i="1"/>
  <c r="C83" i="1"/>
  <c r="G83" i="1"/>
  <c r="B125" i="1"/>
  <c r="A124" i="1"/>
  <c r="L78" i="2" l="1"/>
  <c r="C79" i="2"/>
  <c r="J79" i="2" s="1"/>
  <c r="E125" i="2"/>
  <c r="D125" i="2"/>
  <c r="K125" i="2"/>
  <c r="F125" i="2"/>
  <c r="B126" i="2"/>
  <c r="D126" i="2" s="1"/>
  <c r="A125" i="2"/>
  <c r="H83" i="1"/>
  <c r="I125" i="1"/>
  <c r="I126" i="1" s="1"/>
  <c r="B126" i="1"/>
  <c r="A125" i="1"/>
  <c r="F125" i="1"/>
  <c r="F124" i="1"/>
  <c r="C80" i="2" l="1"/>
  <c r="I80" i="2"/>
  <c r="L79" i="2"/>
  <c r="K126" i="2"/>
  <c r="K127" i="2" s="1"/>
  <c r="E126" i="2"/>
  <c r="G125" i="2"/>
  <c r="F126" i="2"/>
  <c r="B127" i="2"/>
  <c r="A126" i="2"/>
  <c r="G84" i="1"/>
  <c r="C84" i="1"/>
  <c r="H84" i="1" s="1"/>
  <c r="J83" i="1"/>
  <c r="B127" i="1"/>
  <c r="A126" i="1"/>
  <c r="J80" i="2" l="1"/>
  <c r="G126" i="2"/>
  <c r="D127" i="2"/>
  <c r="E127" i="2"/>
  <c r="F127" i="2"/>
  <c r="B128" i="2"/>
  <c r="A127" i="2"/>
  <c r="J84" i="1"/>
  <c r="G85" i="1"/>
  <c r="C85" i="1"/>
  <c r="I127" i="1"/>
  <c r="I128" i="1" s="1"/>
  <c r="B128" i="1"/>
  <c r="A127" i="1"/>
  <c r="F127" i="1"/>
  <c r="F126" i="1"/>
  <c r="H85" i="1"/>
  <c r="C86" i="1" s="1"/>
  <c r="I81" i="2" l="1"/>
  <c r="C81" i="2"/>
  <c r="L80" i="2"/>
  <c r="E128" i="2"/>
  <c r="G128" i="2" s="1"/>
  <c r="G127" i="2"/>
  <c r="D128" i="2"/>
  <c r="K128" i="2"/>
  <c r="K129" i="2" s="1"/>
  <c r="F128" i="2"/>
  <c r="B129" i="2"/>
  <c r="A128" i="2"/>
  <c r="B129" i="1"/>
  <c r="A128" i="1"/>
  <c r="J85" i="1"/>
  <c r="G86" i="1"/>
  <c r="H86" i="1" s="1"/>
  <c r="J81" i="2" l="1"/>
  <c r="C82" i="2" s="1"/>
  <c r="D129" i="2"/>
  <c r="E129" i="2"/>
  <c r="F129" i="2"/>
  <c r="B130" i="2"/>
  <c r="A129" i="2"/>
  <c r="I129" i="1"/>
  <c r="I130" i="1" s="1"/>
  <c r="B130" i="1"/>
  <c r="A129" i="1"/>
  <c r="F129" i="1"/>
  <c r="F128" i="1"/>
  <c r="J86" i="1"/>
  <c r="C87" i="1"/>
  <c r="G87" i="1"/>
  <c r="I82" i="2" l="1"/>
  <c r="J82" i="2" s="1"/>
  <c r="L81" i="2"/>
  <c r="E130" i="2"/>
  <c r="G129" i="2"/>
  <c r="D130" i="2"/>
  <c r="K130" i="2"/>
  <c r="K131" i="2" s="1"/>
  <c r="F130" i="2"/>
  <c r="B131" i="2"/>
  <c r="A130" i="2"/>
  <c r="B131" i="1"/>
  <c r="A130" i="1"/>
  <c r="H87" i="1"/>
  <c r="C88" i="1" s="1"/>
  <c r="L82" i="2" l="1"/>
  <c r="C83" i="2"/>
  <c r="I83" i="2"/>
  <c r="G130" i="2"/>
  <c r="D131" i="2"/>
  <c r="E131" i="2"/>
  <c r="F131" i="2"/>
  <c r="B132" i="2"/>
  <c r="A131" i="2"/>
  <c r="J87" i="1"/>
  <c r="G88" i="1"/>
  <c r="H88" i="1" s="1"/>
  <c r="I131" i="1"/>
  <c r="I132" i="1" s="1"/>
  <c r="B132" i="1"/>
  <c r="A131" i="1"/>
  <c r="F131" i="1"/>
  <c r="F130" i="1"/>
  <c r="J83" i="2" l="1"/>
  <c r="I84" i="2" s="1"/>
  <c r="G131" i="2"/>
  <c r="D132" i="2"/>
  <c r="K132" i="2"/>
  <c r="K133" i="2" s="1"/>
  <c r="F132" i="2"/>
  <c r="B133" i="2"/>
  <c r="D133" i="2" s="1"/>
  <c r="A132" i="2"/>
  <c r="J88" i="1"/>
  <c r="C89" i="1"/>
  <c r="G89" i="1"/>
  <c r="H89" i="1" s="1"/>
  <c r="B133" i="1"/>
  <c r="A132" i="1"/>
  <c r="L83" i="2" l="1"/>
  <c r="C84" i="2"/>
  <c r="J84" i="2" s="1"/>
  <c r="I85" i="2" s="1"/>
  <c r="E132" i="2"/>
  <c r="F133" i="2"/>
  <c r="B134" i="2"/>
  <c r="A133" i="2"/>
  <c r="I133" i="1"/>
  <c r="I134" i="1" s="1"/>
  <c r="B134" i="1"/>
  <c r="A133" i="1"/>
  <c r="F133" i="1"/>
  <c r="F132" i="1"/>
  <c r="C90" i="1"/>
  <c r="G90" i="1"/>
  <c r="J89" i="1"/>
  <c r="L84" i="2" l="1"/>
  <c r="C85" i="2"/>
  <c r="E133" i="2"/>
  <c r="G133" i="2" s="1"/>
  <c r="G132" i="2"/>
  <c r="D134" i="2"/>
  <c r="K134" i="2"/>
  <c r="K135" i="2" s="1"/>
  <c r="F134" i="2"/>
  <c r="B135" i="2"/>
  <c r="A134" i="2"/>
  <c r="B135" i="1"/>
  <c r="A134" i="1"/>
  <c r="H90" i="1"/>
  <c r="E134" i="2" l="1"/>
  <c r="J85" i="2"/>
  <c r="I86" i="2" s="1"/>
  <c r="D135" i="2"/>
  <c r="F135" i="2"/>
  <c r="B136" i="2"/>
  <c r="A135" i="2"/>
  <c r="I135" i="1"/>
  <c r="I136" i="1" s="1"/>
  <c r="B136" i="1"/>
  <c r="A135" i="1"/>
  <c r="F135" i="1"/>
  <c r="F134" i="1"/>
  <c r="C91" i="1"/>
  <c r="G91" i="1"/>
  <c r="J90" i="1"/>
  <c r="E135" i="2" l="1"/>
  <c r="G134" i="2"/>
  <c r="C86" i="2"/>
  <c r="L85" i="2"/>
  <c r="D136" i="2"/>
  <c r="K136" i="2"/>
  <c r="K137" i="2" s="1"/>
  <c r="F136" i="2"/>
  <c r="B137" i="2"/>
  <c r="A136" i="2"/>
  <c r="A136" i="1"/>
  <c r="B137" i="1"/>
  <c r="H91" i="1"/>
  <c r="E136" i="2" l="1"/>
  <c r="G135" i="2"/>
  <c r="J86" i="2"/>
  <c r="I87" i="2" s="1"/>
  <c r="D137" i="2"/>
  <c r="F137" i="2"/>
  <c r="B138" i="2"/>
  <c r="A137" i="2"/>
  <c r="I137" i="1"/>
  <c r="I138" i="1" s="1"/>
  <c r="B138" i="1"/>
  <c r="A137" i="1"/>
  <c r="F137" i="1"/>
  <c r="F136" i="1"/>
  <c r="J91" i="1"/>
  <c r="G92" i="1"/>
  <c r="C92" i="1"/>
  <c r="G136" i="2" l="1"/>
  <c r="E137" i="2"/>
  <c r="L86" i="2"/>
  <c r="C87" i="2"/>
  <c r="D138" i="2"/>
  <c r="K138" i="2"/>
  <c r="K139" i="2" s="1"/>
  <c r="F138" i="2"/>
  <c r="B139" i="2"/>
  <c r="A138" i="2"/>
  <c r="H92" i="1"/>
  <c r="J92" i="1"/>
  <c r="B139" i="1"/>
  <c r="A138" i="1"/>
  <c r="G137" i="2" l="1"/>
  <c r="E138" i="2"/>
  <c r="J87" i="2"/>
  <c r="I88" i="2" s="1"/>
  <c r="D139" i="2"/>
  <c r="F139" i="2"/>
  <c r="B140" i="2"/>
  <c r="A139" i="2"/>
  <c r="C93" i="1"/>
  <c r="G93" i="1"/>
  <c r="I139" i="1"/>
  <c r="I140" i="1" s="1"/>
  <c r="B140" i="1"/>
  <c r="A139" i="1"/>
  <c r="F139" i="1"/>
  <c r="F138" i="1"/>
  <c r="E139" i="2" l="1"/>
  <c r="G138" i="2"/>
  <c r="L87" i="2"/>
  <c r="C88" i="2"/>
  <c r="D140" i="2"/>
  <c r="K140" i="2"/>
  <c r="K141" i="2" s="1"/>
  <c r="F140" i="2"/>
  <c r="B141" i="2"/>
  <c r="A140" i="2"/>
  <c r="H93" i="1"/>
  <c r="G94" i="1"/>
  <c r="J93" i="1"/>
  <c r="C94" i="1"/>
  <c r="H94" i="1" s="1"/>
  <c r="B141" i="1"/>
  <c r="A140" i="1"/>
  <c r="E140" i="2" l="1"/>
  <c r="G139" i="2"/>
  <c r="J88" i="2"/>
  <c r="D141" i="2"/>
  <c r="F141" i="2"/>
  <c r="B142" i="2"/>
  <c r="A141" i="2"/>
  <c r="J94" i="1"/>
  <c r="G95" i="1"/>
  <c r="C95" i="1"/>
  <c r="H95" i="1" s="1"/>
  <c r="I141" i="1"/>
  <c r="I142" i="1" s="1"/>
  <c r="B142" i="1"/>
  <c r="A141" i="1"/>
  <c r="F141" i="1"/>
  <c r="F140" i="1"/>
  <c r="G140" i="2" l="1"/>
  <c r="E141" i="2"/>
  <c r="L88" i="2"/>
  <c r="I89" i="2"/>
  <c r="C89" i="2"/>
  <c r="D142" i="2"/>
  <c r="K142" i="2"/>
  <c r="K143" i="2" s="1"/>
  <c r="F142" i="2"/>
  <c r="B143" i="2"/>
  <c r="A142" i="2"/>
  <c r="J95" i="1"/>
  <c r="C96" i="1"/>
  <c r="G96" i="1"/>
  <c r="A142" i="1"/>
  <c r="B143" i="1"/>
  <c r="E142" i="2" l="1"/>
  <c r="G141" i="2"/>
  <c r="J89" i="2"/>
  <c r="C90" i="2" s="1"/>
  <c r="D143" i="2"/>
  <c r="F143" i="2"/>
  <c r="B144" i="2"/>
  <c r="A143" i="2"/>
  <c r="H96" i="1"/>
  <c r="G97" i="1" s="1"/>
  <c r="J96" i="1"/>
  <c r="C97" i="1"/>
  <c r="H97" i="1" s="1"/>
  <c r="J97" i="1" s="1"/>
  <c r="I143" i="1"/>
  <c r="I144" i="1" s="1"/>
  <c r="A143" i="1"/>
  <c r="B144" i="1"/>
  <c r="F143" i="1"/>
  <c r="F142" i="1"/>
  <c r="G142" i="2" l="1"/>
  <c r="E143" i="2"/>
  <c r="G143" i="2" s="1"/>
  <c r="I90" i="2"/>
  <c r="J90" i="2" s="1"/>
  <c r="L90" i="2" s="1"/>
  <c r="L89" i="2"/>
  <c r="D144" i="2"/>
  <c r="K144" i="2"/>
  <c r="K145" i="2" s="1"/>
  <c r="F144" i="2"/>
  <c r="B145" i="2"/>
  <c r="D145" i="2" s="1"/>
  <c r="A144" i="2"/>
  <c r="B145" i="1"/>
  <c r="A144" i="1"/>
  <c r="G98" i="1"/>
  <c r="C98" i="1"/>
  <c r="I91" i="2" l="1"/>
  <c r="C91" i="2"/>
  <c r="E144" i="2"/>
  <c r="F145" i="2"/>
  <c r="B146" i="2"/>
  <c r="A145" i="2"/>
  <c r="I145" i="1"/>
  <c r="I146" i="1" s="1"/>
  <c r="A145" i="1"/>
  <c r="B146" i="1"/>
  <c r="F145" i="1"/>
  <c r="F144" i="1"/>
  <c r="H98" i="1"/>
  <c r="J91" i="2" l="1"/>
  <c r="C92" i="2" s="1"/>
  <c r="E145" i="2"/>
  <c r="G144" i="2"/>
  <c r="D146" i="2"/>
  <c r="K146" i="2"/>
  <c r="K147" i="2" s="1"/>
  <c r="F146" i="2"/>
  <c r="B147" i="2"/>
  <c r="A146" i="2"/>
  <c r="A146" i="1"/>
  <c r="B147" i="1"/>
  <c r="J98" i="1"/>
  <c r="G99" i="1"/>
  <c r="C99" i="1"/>
  <c r="I92" i="2" l="1"/>
  <c r="J92" i="2" s="1"/>
  <c r="I93" i="2" s="1"/>
  <c r="L91" i="2"/>
  <c r="G145" i="2"/>
  <c r="E146" i="2"/>
  <c r="D147" i="2"/>
  <c r="F147" i="2"/>
  <c r="B148" i="2"/>
  <c r="A147" i="2"/>
  <c r="I147" i="1"/>
  <c r="I148" i="1" s="1"/>
  <c r="B148" i="1"/>
  <c r="A147" i="1"/>
  <c r="H99" i="1"/>
  <c r="F147" i="1"/>
  <c r="F146" i="1"/>
  <c r="G146" i="2" l="1"/>
  <c r="E147" i="2"/>
  <c r="C93" i="2"/>
  <c r="L92" i="2"/>
  <c r="D148" i="2"/>
  <c r="K148" i="2"/>
  <c r="F148" i="2"/>
  <c r="B149" i="2"/>
  <c r="A148" i="2"/>
  <c r="J99" i="1"/>
  <c r="G100" i="1"/>
  <c r="C100" i="1"/>
  <c r="B149" i="1"/>
  <c r="A148" i="1"/>
  <c r="G147" i="2" l="1"/>
  <c r="E148" i="2"/>
  <c r="J93" i="2"/>
  <c r="I94" i="2" s="1"/>
  <c r="K149" i="2"/>
  <c r="K150" i="2" s="1"/>
  <c r="D149" i="2"/>
  <c r="F149" i="2"/>
  <c r="B150" i="2"/>
  <c r="D150" i="2" s="1"/>
  <c r="A149" i="2"/>
  <c r="H100" i="1"/>
  <c r="I149" i="1"/>
  <c r="I150" i="1" s="1"/>
  <c r="A149" i="1"/>
  <c r="B150" i="1"/>
  <c r="F149" i="1"/>
  <c r="F148" i="1"/>
  <c r="G148" i="2" l="1"/>
  <c r="E149" i="2"/>
  <c r="L93" i="2"/>
  <c r="C94" i="2"/>
  <c r="J94" i="2" s="1"/>
  <c r="I95" i="2" s="1"/>
  <c r="F150" i="2"/>
  <c r="B151" i="2"/>
  <c r="A150" i="2"/>
  <c r="J100" i="1"/>
  <c r="G101" i="1"/>
  <c r="C101" i="1"/>
  <c r="H101" i="1" s="1"/>
  <c r="A150" i="1"/>
  <c r="B151" i="1"/>
  <c r="G149" i="2" l="1"/>
  <c r="E150" i="2"/>
  <c r="C95" i="2"/>
  <c r="L94" i="2"/>
  <c r="D151" i="2"/>
  <c r="K151" i="2"/>
  <c r="K152" i="2" s="1"/>
  <c r="F151" i="2"/>
  <c r="B152" i="2"/>
  <c r="D152" i="2" s="1"/>
  <c r="A151" i="2"/>
  <c r="I151" i="1"/>
  <c r="I152" i="1" s="1"/>
  <c r="B152" i="1"/>
  <c r="A151" i="1"/>
  <c r="F151" i="1"/>
  <c r="F150" i="1"/>
  <c r="J101" i="1"/>
  <c r="C102" i="1"/>
  <c r="G102" i="1"/>
  <c r="H102" i="1" s="1"/>
  <c r="E151" i="2" l="1"/>
  <c r="G150" i="2"/>
  <c r="J95" i="2"/>
  <c r="F152" i="2"/>
  <c r="B153" i="2"/>
  <c r="A152" i="2"/>
  <c r="B153" i="1"/>
  <c r="A152" i="1"/>
  <c r="G103" i="1"/>
  <c r="C103" i="1"/>
  <c r="J102" i="1"/>
  <c r="E152" i="2" l="1"/>
  <c r="G151" i="2"/>
  <c r="C96" i="2"/>
  <c r="I96" i="2"/>
  <c r="L95" i="2"/>
  <c r="D153" i="2"/>
  <c r="K153" i="2"/>
  <c r="F153" i="2"/>
  <c r="B154" i="2"/>
  <c r="D154" i="2" s="1"/>
  <c r="A153" i="2"/>
  <c r="I153" i="1"/>
  <c r="I154" i="1" s="1"/>
  <c r="A153" i="1"/>
  <c r="B154" i="1"/>
  <c r="F153" i="1"/>
  <c r="F152" i="1"/>
  <c r="H103" i="1"/>
  <c r="C104" i="1" s="1"/>
  <c r="G152" i="2" l="1"/>
  <c r="E153" i="2"/>
  <c r="J96" i="2"/>
  <c r="K154" i="2"/>
  <c r="K155" i="2" s="1"/>
  <c r="F154" i="2"/>
  <c r="B155" i="2"/>
  <c r="A154" i="2"/>
  <c r="B155" i="1"/>
  <c r="A154" i="1"/>
  <c r="J103" i="1"/>
  <c r="G104" i="1"/>
  <c r="H104" i="1" s="1"/>
  <c r="J104" i="1" s="1"/>
  <c r="E154" i="2" l="1"/>
  <c r="G153" i="2"/>
  <c r="I97" i="2"/>
  <c r="C97" i="2"/>
  <c r="L96" i="2"/>
  <c r="D155" i="2"/>
  <c r="F155" i="2"/>
  <c r="B156" i="2"/>
  <c r="A155" i="2"/>
  <c r="I155" i="1"/>
  <c r="I156" i="1" s="1"/>
  <c r="B156" i="1"/>
  <c r="A155" i="1"/>
  <c r="F155" i="1"/>
  <c r="F154" i="1"/>
  <c r="G105" i="1"/>
  <c r="C105" i="1"/>
  <c r="J97" i="2" l="1"/>
  <c r="G154" i="2"/>
  <c r="E155" i="2"/>
  <c r="G155" i="2" s="1"/>
  <c r="D156" i="2"/>
  <c r="K156" i="2"/>
  <c r="K157" i="2" s="1"/>
  <c r="F156" i="2"/>
  <c r="B157" i="2"/>
  <c r="D157" i="2" s="1"/>
  <c r="A156" i="2"/>
  <c r="H105" i="1"/>
  <c r="G106" i="1" s="1"/>
  <c r="A156" i="1"/>
  <c r="B157" i="1"/>
  <c r="C98" i="2" l="1"/>
  <c r="L97" i="2"/>
  <c r="I98" i="2"/>
  <c r="E156" i="2"/>
  <c r="F157" i="2"/>
  <c r="B158" i="2"/>
  <c r="A157" i="2"/>
  <c r="J105" i="1"/>
  <c r="C106" i="1"/>
  <c r="H106" i="1" s="1"/>
  <c r="I157" i="1"/>
  <c r="I158" i="1" s="1"/>
  <c r="B158" i="1"/>
  <c r="A157" i="1"/>
  <c r="F157" i="1"/>
  <c r="F156" i="1"/>
  <c r="J98" i="2" l="1"/>
  <c r="I99" i="2" s="1"/>
  <c r="G156" i="2"/>
  <c r="E157" i="2"/>
  <c r="D158" i="2"/>
  <c r="K158" i="2"/>
  <c r="K159" i="2" s="1"/>
  <c r="F158" i="2"/>
  <c r="B159" i="2"/>
  <c r="A158" i="2"/>
  <c r="B159" i="1"/>
  <c r="A158" i="1"/>
  <c r="J106" i="1"/>
  <c r="G107" i="1"/>
  <c r="C107" i="1"/>
  <c r="L98" i="2" l="1"/>
  <c r="C99" i="2"/>
  <c r="J99" i="2" s="1"/>
  <c r="I100" i="2" s="1"/>
  <c r="E158" i="2"/>
  <c r="G157" i="2"/>
  <c r="D159" i="2"/>
  <c r="F159" i="2"/>
  <c r="B160" i="2"/>
  <c r="A159" i="2"/>
  <c r="I159" i="1"/>
  <c r="I160" i="1" s="1"/>
  <c r="A159" i="1"/>
  <c r="B160" i="1"/>
  <c r="F159" i="1"/>
  <c r="F158" i="1"/>
  <c r="H107" i="1"/>
  <c r="L99" i="2" l="1"/>
  <c r="C100" i="2"/>
  <c r="J100" i="2" s="1"/>
  <c r="G158" i="2"/>
  <c r="E159" i="2"/>
  <c r="D160" i="2"/>
  <c r="K160" i="2"/>
  <c r="K161" i="2" s="1"/>
  <c r="F160" i="2"/>
  <c r="B161" i="2"/>
  <c r="A160" i="2"/>
  <c r="A160" i="1"/>
  <c r="B161" i="1"/>
  <c r="C108" i="1"/>
  <c r="G108" i="1"/>
  <c r="J107" i="1"/>
  <c r="C101" i="2" l="1"/>
  <c r="I101" i="2"/>
  <c r="L100" i="2"/>
  <c r="G159" i="2"/>
  <c r="E160" i="2"/>
  <c r="D161" i="2"/>
  <c r="F161" i="2"/>
  <c r="B162" i="2"/>
  <c r="A161" i="2"/>
  <c r="I161" i="1"/>
  <c r="I162" i="1" s="1"/>
  <c r="A161" i="1"/>
  <c r="B162" i="1"/>
  <c r="F161" i="1"/>
  <c r="F160" i="1"/>
  <c r="H108" i="1"/>
  <c r="J101" i="2" l="1"/>
  <c r="G160" i="2"/>
  <c r="E161" i="2"/>
  <c r="D162" i="2"/>
  <c r="K162" i="2"/>
  <c r="F162" i="2"/>
  <c r="B163" i="2"/>
  <c r="D163" i="2" s="1"/>
  <c r="A162" i="2"/>
  <c r="B163" i="1"/>
  <c r="A162" i="1"/>
  <c r="J108" i="1"/>
  <c r="C109" i="1"/>
  <c r="G109" i="1"/>
  <c r="I102" i="2" l="1"/>
  <c r="L101" i="2"/>
  <c r="C102" i="2"/>
  <c r="E162" i="2"/>
  <c r="G161" i="2"/>
  <c r="K163" i="2"/>
  <c r="K164" i="2" s="1"/>
  <c r="F163" i="2"/>
  <c r="B164" i="2"/>
  <c r="A163" i="2"/>
  <c r="I163" i="1"/>
  <c r="I164" i="1" s="1"/>
  <c r="B164" i="1"/>
  <c r="A163" i="1"/>
  <c r="F163" i="1"/>
  <c r="F162" i="1"/>
  <c r="H109" i="1"/>
  <c r="J102" i="2" l="1"/>
  <c r="C103" i="2" s="1"/>
  <c r="E163" i="2"/>
  <c r="G162" i="2"/>
  <c r="D164" i="2"/>
  <c r="F164" i="2"/>
  <c r="B165" i="2"/>
  <c r="A164" i="2"/>
  <c r="A164" i="1"/>
  <c r="B165" i="1"/>
  <c r="J109" i="1"/>
  <c r="G110" i="1"/>
  <c r="C110" i="1"/>
  <c r="L102" i="2" l="1"/>
  <c r="I103" i="2"/>
  <c r="J103" i="2" s="1"/>
  <c r="G163" i="2"/>
  <c r="E164" i="2"/>
  <c r="D165" i="2"/>
  <c r="K165" i="2"/>
  <c r="K166" i="2" s="1"/>
  <c r="F165" i="2"/>
  <c r="B166" i="2"/>
  <c r="A165" i="2"/>
  <c r="I165" i="1"/>
  <c r="I166" i="1" s="1"/>
  <c r="A165" i="1"/>
  <c r="B166" i="1"/>
  <c r="F165" i="1"/>
  <c r="F164" i="1"/>
  <c r="H110" i="1"/>
  <c r="E165" i="2" l="1"/>
  <c r="G164" i="2"/>
  <c r="L103" i="2"/>
  <c r="C104" i="2"/>
  <c r="I104" i="2"/>
  <c r="D166" i="2"/>
  <c r="F166" i="2"/>
  <c r="B167" i="2"/>
  <c r="A166" i="2"/>
  <c r="B167" i="1"/>
  <c r="A166" i="1"/>
  <c r="J110" i="1"/>
  <c r="G111" i="1"/>
  <c r="C111" i="1"/>
  <c r="G165" i="2" l="1"/>
  <c r="E166" i="2"/>
  <c r="J104" i="2"/>
  <c r="D167" i="2"/>
  <c r="K167" i="2"/>
  <c r="K168" i="2" s="1"/>
  <c r="F167" i="2"/>
  <c r="B168" i="2"/>
  <c r="A167" i="2"/>
  <c r="I167" i="1"/>
  <c r="I168" i="1" s="1"/>
  <c r="A167" i="1"/>
  <c r="B168" i="1"/>
  <c r="F167" i="1"/>
  <c r="F166" i="1"/>
  <c r="H111" i="1"/>
  <c r="E167" i="2" l="1"/>
  <c r="G167" i="2" s="1"/>
  <c r="G166" i="2"/>
  <c r="I105" i="2"/>
  <c r="C105" i="2"/>
  <c r="L104" i="2"/>
  <c r="D168" i="2"/>
  <c r="F168" i="2"/>
  <c r="B169" i="2"/>
  <c r="A168" i="2"/>
  <c r="B169" i="1"/>
  <c r="A168" i="1"/>
  <c r="C112" i="1"/>
  <c r="J111" i="1"/>
  <c r="G112" i="1"/>
  <c r="E168" i="2" l="1"/>
  <c r="J105" i="2"/>
  <c r="C106" i="2" s="1"/>
  <c r="D169" i="2"/>
  <c r="K169" i="2"/>
  <c r="K170" i="2" s="1"/>
  <c r="F169" i="2"/>
  <c r="B170" i="2"/>
  <c r="A169" i="2"/>
  <c r="I169" i="1"/>
  <c r="I170" i="1" s="1"/>
  <c r="B170" i="1"/>
  <c r="A169" i="1"/>
  <c r="H112" i="1"/>
  <c r="F169" i="1"/>
  <c r="F168" i="1"/>
  <c r="C113" i="1"/>
  <c r="G168" i="2" l="1"/>
  <c r="E169" i="2"/>
  <c r="I106" i="2"/>
  <c r="J106" i="2" s="1"/>
  <c r="L105" i="2"/>
  <c r="D170" i="2"/>
  <c r="F170" i="2"/>
  <c r="B171" i="2"/>
  <c r="A170" i="2"/>
  <c r="G113" i="1"/>
  <c r="H113" i="1" s="1"/>
  <c r="J112" i="1"/>
  <c r="A170" i="1"/>
  <c r="B171" i="1"/>
  <c r="G169" i="2" l="1"/>
  <c r="E170" i="2"/>
  <c r="L106" i="2"/>
  <c r="C107" i="2"/>
  <c r="I107" i="2"/>
  <c r="D171" i="2"/>
  <c r="K171" i="2"/>
  <c r="F171" i="2"/>
  <c r="B172" i="2"/>
  <c r="A171" i="2"/>
  <c r="C114" i="1"/>
  <c r="J113" i="1"/>
  <c r="G114" i="1"/>
  <c r="I171" i="1"/>
  <c r="I172" i="1" s="1"/>
  <c r="B172" i="1"/>
  <c r="A171" i="1"/>
  <c r="F171" i="1"/>
  <c r="F170" i="1"/>
  <c r="E171" i="2" l="1"/>
  <c r="G170" i="2"/>
  <c r="J107" i="2"/>
  <c r="K172" i="2"/>
  <c r="K173" i="2" s="1"/>
  <c r="D172" i="2"/>
  <c r="F172" i="2"/>
  <c r="B173" i="2"/>
  <c r="D173" i="2" s="1"/>
  <c r="A172" i="2"/>
  <c r="H114" i="1"/>
  <c r="B173" i="1"/>
  <c r="A172" i="1"/>
  <c r="E172" i="2" l="1"/>
  <c r="G171" i="2"/>
  <c r="L107" i="2"/>
  <c r="I108" i="2"/>
  <c r="C108" i="2"/>
  <c r="F173" i="2"/>
  <c r="B174" i="2"/>
  <c r="A173" i="2"/>
  <c r="C115" i="1"/>
  <c r="G115" i="1"/>
  <c r="H115" i="1" s="1"/>
  <c r="J114" i="1"/>
  <c r="I173" i="1"/>
  <c r="I174" i="1" s="1"/>
  <c r="B174" i="1"/>
  <c r="A173" i="1"/>
  <c r="F173" i="1"/>
  <c r="F172" i="1"/>
  <c r="J115" i="1"/>
  <c r="C116" i="1"/>
  <c r="G116" i="1"/>
  <c r="G172" i="2" l="1"/>
  <c r="E173" i="2"/>
  <c r="J108" i="2"/>
  <c r="D174" i="2"/>
  <c r="K174" i="2"/>
  <c r="K175" i="2" s="1"/>
  <c r="F174" i="2"/>
  <c r="B175" i="2"/>
  <c r="A174" i="2"/>
  <c r="B175" i="1"/>
  <c r="A174" i="1"/>
  <c r="H116" i="1"/>
  <c r="G173" i="2" l="1"/>
  <c r="E174" i="2"/>
  <c r="L108" i="2"/>
  <c r="C109" i="2"/>
  <c r="I109" i="2"/>
  <c r="G174" i="2"/>
  <c r="D175" i="2"/>
  <c r="E175" i="2"/>
  <c r="F175" i="2"/>
  <c r="B176" i="2"/>
  <c r="A175" i="2"/>
  <c r="I175" i="1"/>
  <c r="I176" i="1" s="1"/>
  <c r="B176" i="1"/>
  <c r="A175" i="1"/>
  <c r="F175" i="1"/>
  <c r="F174" i="1"/>
  <c r="G117" i="1"/>
  <c r="C117" i="1"/>
  <c r="J116" i="1"/>
  <c r="J109" i="2" l="1"/>
  <c r="G175" i="2"/>
  <c r="E176" i="2"/>
  <c r="D176" i="2"/>
  <c r="K176" i="2"/>
  <c r="F176" i="2"/>
  <c r="B177" i="2"/>
  <c r="D177" i="2" s="1"/>
  <c r="A176" i="2"/>
  <c r="H117" i="1"/>
  <c r="C118" i="1" s="1"/>
  <c r="B177" i="1"/>
  <c r="A176" i="1"/>
  <c r="I110" i="2" l="1"/>
  <c r="C110" i="2"/>
  <c r="L109" i="2"/>
  <c r="K177" i="2"/>
  <c r="K178" i="2" s="1"/>
  <c r="E177" i="2"/>
  <c r="G177" i="2" s="1"/>
  <c r="G176" i="2"/>
  <c r="F177" i="2"/>
  <c r="B178" i="2"/>
  <c r="A177" i="2"/>
  <c r="G118" i="1"/>
  <c r="H118" i="1" s="1"/>
  <c r="J117" i="1"/>
  <c r="I177" i="1"/>
  <c r="I178" i="1" s="1"/>
  <c r="B178" i="1"/>
  <c r="A177" i="1"/>
  <c r="F177" i="1"/>
  <c r="F176" i="1"/>
  <c r="J110" i="2" l="1"/>
  <c r="C111" i="2" s="1"/>
  <c r="D178" i="2"/>
  <c r="E178" i="2"/>
  <c r="F178" i="2"/>
  <c r="B179" i="2"/>
  <c r="A178" i="2"/>
  <c r="B179" i="1"/>
  <c r="A178" i="1"/>
  <c r="G119" i="1"/>
  <c r="J118" i="1"/>
  <c r="C119" i="1"/>
  <c r="I111" i="2" l="1"/>
  <c r="J111" i="2" s="1"/>
  <c r="L110" i="2"/>
  <c r="E179" i="2"/>
  <c r="G178" i="2"/>
  <c r="D179" i="2"/>
  <c r="K179" i="2"/>
  <c r="K180" i="2" s="1"/>
  <c r="F179" i="2"/>
  <c r="B180" i="2"/>
  <c r="A179" i="2"/>
  <c r="I179" i="1"/>
  <c r="I180" i="1" s="1"/>
  <c r="A179" i="1"/>
  <c r="B180" i="1"/>
  <c r="F179" i="1"/>
  <c r="F178" i="1"/>
  <c r="H119" i="1"/>
  <c r="C112" i="2" l="1"/>
  <c r="L111" i="2"/>
  <c r="I112" i="2"/>
  <c r="G179" i="2"/>
  <c r="D180" i="2"/>
  <c r="E180" i="2" s="1"/>
  <c r="F180" i="2"/>
  <c r="B181" i="2"/>
  <c r="A180" i="2"/>
  <c r="A180" i="1"/>
  <c r="B181" i="1"/>
  <c r="J119" i="1"/>
  <c r="C120" i="1"/>
  <c r="G120" i="1"/>
  <c r="J112" i="2" l="1"/>
  <c r="C113" i="2" s="1"/>
  <c r="E181" i="2"/>
  <c r="G180" i="2"/>
  <c r="D181" i="2"/>
  <c r="K181" i="2"/>
  <c r="K182" i="2" s="1"/>
  <c r="F181" i="2"/>
  <c r="B182" i="2"/>
  <c r="A181" i="2"/>
  <c r="H120" i="1"/>
  <c r="I181" i="1"/>
  <c r="I182" i="1" s="1"/>
  <c r="A181" i="1"/>
  <c r="B182" i="1"/>
  <c r="F181" i="1"/>
  <c r="F180" i="1"/>
  <c r="J120" i="1"/>
  <c r="I113" i="2" l="1"/>
  <c r="J113" i="2" s="1"/>
  <c r="L112" i="2"/>
  <c r="G181" i="2"/>
  <c r="D182" i="2"/>
  <c r="E182" i="2"/>
  <c r="F182" i="2"/>
  <c r="B183" i="2"/>
  <c r="A182" i="2"/>
  <c r="C121" i="1"/>
  <c r="G121" i="1"/>
  <c r="A182" i="1"/>
  <c r="B183" i="1"/>
  <c r="C114" i="2" l="1"/>
  <c r="L113" i="2"/>
  <c r="I114" i="2"/>
  <c r="E183" i="2"/>
  <c r="G182" i="2"/>
  <c r="D183" i="2"/>
  <c r="K183" i="2"/>
  <c r="K184" i="2" s="1"/>
  <c r="F183" i="2"/>
  <c r="B184" i="2"/>
  <c r="A183" i="2"/>
  <c r="H121" i="1"/>
  <c r="I183" i="1"/>
  <c r="I184" i="1" s="1"/>
  <c r="B184" i="1"/>
  <c r="A183" i="1"/>
  <c r="F183" i="1"/>
  <c r="F182" i="1"/>
  <c r="J121" i="1"/>
  <c r="C122" i="1"/>
  <c r="G122" i="1"/>
  <c r="J114" i="2" l="1"/>
  <c r="G183" i="2"/>
  <c r="D184" i="2"/>
  <c r="E184" i="2"/>
  <c r="F184" i="2"/>
  <c r="B185" i="2"/>
  <c r="A184" i="2"/>
  <c r="A184" i="1"/>
  <c r="B185" i="1"/>
  <c r="H122" i="1"/>
  <c r="J122" i="1" s="1"/>
  <c r="I115" i="2" l="1"/>
  <c r="C115" i="2"/>
  <c r="L114" i="2"/>
  <c r="G184" i="2"/>
  <c r="E185" i="2"/>
  <c r="D185" i="2"/>
  <c r="K185" i="2"/>
  <c r="F185" i="2"/>
  <c r="B186" i="2"/>
  <c r="D186" i="2" s="1"/>
  <c r="A185" i="2"/>
  <c r="I185" i="1"/>
  <c r="I186" i="1" s="1"/>
  <c r="A185" i="1"/>
  <c r="B186" i="1"/>
  <c r="F185" i="1"/>
  <c r="F184" i="1"/>
  <c r="G123" i="1"/>
  <c r="C123" i="1"/>
  <c r="J115" i="2" l="1"/>
  <c r="L115" i="2" s="1"/>
  <c r="K186" i="2"/>
  <c r="E186" i="2"/>
  <c r="G185" i="2"/>
  <c r="F186" i="2"/>
  <c r="B187" i="2"/>
  <c r="A186" i="2"/>
  <c r="A186" i="1"/>
  <c r="B187" i="1"/>
  <c r="H123" i="1"/>
  <c r="C116" i="2" l="1"/>
  <c r="I116" i="2"/>
  <c r="J116" i="2" s="1"/>
  <c r="I117" i="2" s="1"/>
  <c r="G186" i="2"/>
  <c r="K187" i="2"/>
  <c r="K188" i="2" s="1"/>
  <c r="D187" i="2"/>
  <c r="E187" i="2"/>
  <c r="F187" i="2"/>
  <c r="B188" i="2"/>
  <c r="D188" i="2" s="1"/>
  <c r="A187" i="2"/>
  <c r="I187" i="1"/>
  <c r="I188" i="1" s="1"/>
  <c r="A187" i="1"/>
  <c r="B188" i="1"/>
  <c r="F187" i="1"/>
  <c r="F186" i="1"/>
  <c r="J123" i="1"/>
  <c r="C124" i="1"/>
  <c r="G124" i="1"/>
  <c r="H124" i="1" s="1"/>
  <c r="G125" i="1" s="1"/>
  <c r="C117" i="2" l="1"/>
  <c r="J117" i="2" s="1"/>
  <c r="L116" i="2"/>
  <c r="G187" i="2"/>
  <c r="E188" i="2"/>
  <c r="F188" i="2"/>
  <c r="B189" i="2"/>
  <c r="A188" i="2"/>
  <c r="B189" i="1"/>
  <c r="A188" i="1"/>
  <c r="C125" i="1"/>
  <c r="H125" i="1" s="1"/>
  <c r="C126" i="1" s="1"/>
  <c r="J124" i="1"/>
  <c r="I118" i="2" l="1"/>
  <c r="L117" i="2"/>
  <c r="C118" i="2"/>
  <c r="G188" i="2"/>
  <c r="E189" i="2"/>
  <c r="D189" i="2"/>
  <c r="K189" i="2"/>
  <c r="F189" i="2"/>
  <c r="B190" i="2"/>
  <c r="D190" i="2" s="1"/>
  <c r="A189" i="2"/>
  <c r="I189" i="1"/>
  <c r="I190" i="1" s="1"/>
  <c r="B190" i="1"/>
  <c r="A189" i="1"/>
  <c r="F189" i="1"/>
  <c r="F188" i="1"/>
  <c r="G126" i="1"/>
  <c r="H126" i="1" s="1"/>
  <c r="J125" i="1"/>
  <c r="J118" i="2" l="1"/>
  <c r="G189" i="2"/>
  <c r="K190" i="2"/>
  <c r="K191" i="2" s="1"/>
  <c r="E190" i="2"/>
  <c r="F190" i="2"/>
  <c r="B191" i="2"/>
  <c r="D191" i="2" s="1"/>
  <c r="A190" i="2"/>
  <c r="B191" i="1"/>
  <c r="A190" i="1"/>
  <c r="J126" i="1"/>
  <c r="G127" i="1"/>
  <c r="C127" i="1"/>
  <c r="L118" i="2" l="1"/>
  <c r="I119" i="2"/>
  <c r="C119" i="2"/>
  <c r="J119" i="2" s="1"/>
  <c r="G190" i="2"/>
  <c r="E191" i="2"/>
  <c r="F191" i="2"/>
  <c r="B192" i="2"/>
  <c r="A191" i="2"/>
  <c r="I191" i="1"/>
  <c r="I192" i="1" s="1"/>
  <c r="B192" i="1"/>
  <c r="A191" i="1"/>
  <c r="F191" i="1"/>
  <c r="F190" i="1"/>
  <c r="H127" i="1"/>
  <c r="C120" i="2" l="1"/>
  <c r="L119" i="2"/>
  <c r="I120" i="2"/>
  <c r="G191" i="2"/>
  <c r="D192" i="2"/>
  <c r="K192" i="2"/>
  <c r="K193" i="2" s="1"/>
  <c r="F192" i="2"/>
  <c r="B193" i="2"/>
  <c r="D193" i="2" s="1"/>
  <c r="A192" i="2"/>
  <c r="B193" i="1"/>
  <c r="A192" i="1"/>
  <c r="J127" i="1"/>
  <c r="G128" i="1"/>
  <c r="C128" i="1"/>
  <c r="J120" i="2" l="1"/>
  <c r="E192" i="2"/>
  <c r="F193" i="2"/>
  <c r="B194" i="2"/>
  <c r="A193" i="2"/>
  <c r="H128" i="1"/>
  <c r="I193" i="1"/>
  <c r="I194" i="1" s="1"/>
  <c r="B194" i="1"/>
  <c r="A193" i="1"/>
  <c r="F193" i="1"/>
  <c r="F192" i="1"/>
  <c r="I121" i="2" l="1"/>
  <c r="C121" i="2"/>
  <c r="L120" i="2"/>
  <c r="E193" i="2"/>
  <c r="G192" i="2"/>
  <c r="D194" i="2"/>
  <c r="K194" i="2"/>
  <c r="K195" i="2" s="1"/>
  <c r="F194" i="2"/>
  <c r="B195" i="2"/>
  <c r="A194" i="2"/>
  <c r="J128" i="1"/>
  <c r="G129" i="1"/>
  <c r="C129" i="1"/>
  <c r="B195" i="1"/>
  <c r="A194" i="1"/>
  <c r="J121" i="2" l="1"/>
  <c r="L121" i="2" s="1"/>
  <c r="E194" i="2"/>
  <c r="E195" i="2" s="1"/>
  <c r="G193" i="2"/>
  <c r="D195" i="2"/>
  <c r="B196" i="2"/>
  <c r="F195" i="2"/>
  <c r="A195" i="2"/>
  <c r="H129" i="1"/>
  <c r="I195" i="1"/>
  <c r="I196" i="1" s="1"/>
  <c r="B196" i="1"/>
  <c r="A195" i="1"/>
  <c r="F195" i="1"/>
  <c r="F194" i="1"/>
  <c r="I122" i="2" l="1"/>
  <c r="C122" i="2"/>
  <c r="G194" i="2"/>
  <c r="E196" i="2"/>
  <c r="G195" i="2"/>
  <c r="D196" i="2"/>
  <c r="K196" i="2"/>
  <c r="A196" i="2"/>
  <c r="F196" i="2"/>
  <c r="B197" i="2"/>
  <c r="C130" i="1"/>
  <c r="G130" i="1"/>
  <c r="H130" i="1" s="1"/>
  <c r="J129" i="1"/>
  <c r="B197" i="1"/>
  <c r="A196" i="1"/>
  <c r="J122" i="2" l="1"/>
  <c r="C123" i="2" s="1"/>
  <c r="G196" i="2"/>
  <c r="K197" i="2"/>
  <c r="D197" i="2"/>
  <c r="E197" i="2"/>
  <c r="B198" i="2"/>
  <c r="D198" i="2" s="1"/>
  <c r="A197" i="2"/>
  <c r="F197" i="2"/>
  <c r="J130" i="1"/>
  <c r="G131" i="1"/>
  <c r="C131" i="1"/>
  <c r="I197" i="1"/>
  <c r="I198" i="1" s="1"/>
  <c r="B198" i="1"/>
  <c r="A197" i="1"/>
  <c r="F197" i="1"/>
  <c r="F196" i="1"/>
  <c r="I123" i="2" l="1"/>
  <c r="J123" i="2" s="1"/>
  <c r="L122" i="2"/>
  <c r="G197" i="2"/>
  <c r="K198" i="2"/>
  <c r="E198" i="2"/>
  <c r="B199" i="2"/>
  <c r="D199" i="2" s="1"/>
  <c r="A198" i="2"/>
  <c r="F198" i="2"/>
  <c r="H131" i="1"/>
  <c r="B199" i="1"/>
  <c r="A198" i="1"/>
  <c r="L123" i="2" l="1"/>
  <c r="C124" i="2"/>
  <c r="I124" i="2"/>
  <c r="G198" i="2"/>
  <c r="K199" i="2"/>
  <c r="K200" i="2" s="1"/>
  <c r="E199" i="2"/>
  <c r="B200" i="2"/>
  <c r="D200" i="2" s="1"/>
  <c r="A199" i="2"/>
  <c r="F199" i="2"/>
  <c r="G132" i="1"/>
  <c r="J131" i="1"/>
  <c r="C132" i="1"/>
  <c r="H132" i="1" s="1"/>
  <c r="I199" i="1"/>
  <c r="I200" i="1" s="1"/>
  <c r="A199" i="1"/>
  <c r="B200" i="1"/>
  <c r="F199" i="1"/>
  <c r="F198" i="1"/>
  <c r="J124" i="2" l="1"/>
  <c r="E200" i="2"/>
  <c r="G199" i="2"/>
  <c r="B201" i="2"/>
  <c r="A200" i="2"/>
  <c r="F200" i="2"/>
  <c r="B201" i="1"/>
  <c r="A200" i="1"/>
  <c r="J132" i="1"/>
  <c r="G133" i="1"/>
  <c r="C133" i="1"/>
  <c r="C125" i="2" l="1"/>
  <c r="I125" i="2"/>
  <c r="L124" i="2"/>
  <c r="G200" i="2"/>
  <c r="D201" i="2"/>
  <c r="E201" i="2"/>
  <c r="K201" i="2"/>
  <c r="K202" i="2" s="1"/>
  <c r="F201" i="2"/>
  <c r="A201" i="2"/>
  <c r="B202" i="2"/>
  <c r="D202" i="2" s="1"/>
  <c r="I201" i="1"/>
  <c r="I202" i="1" s="1"/>
  <c r="B202" i="1"/>
  <c r="A201" i="1"/>
  <c r="F201" i="1"/>
  <c r="F200" i="1"/>
  <c r="H133" i="1"/>
  <c r="J125" i="2" l="1"/>
  <c r="E202" i="2"/>
  <c r="G202" i="2" s="1"/>
  <c r="G201" i="2"/>
  <c r="F202" i="2"/>
  <c r="A202" i="2"/>
  <c r="B203" i="2"/>
  <c r="A202" i="1"/>
  <c r="B203" i="1"/>
  <c r="G134" i="1"/>
  <c r="C134" i="1"/>
  <c r="J133" i="1"/>
  <c r="C126" i="2" l="1"/>
  <c r="L125" i="2"/>
  <c r="I126" i="2"/>
  <c r="D203" i="2"/>
  <c r="E203" i="2"/>
  <c r="K203" i="2"/>
  <c r="B204" i="2"/>
  <c r="D204" i="2" s="1"/>
  <c r="A203" i="2"/>
  <c r="F203" i="2"/>
  <c r="I203" i="1"/>
  <c r="I204" i="1" s="1"/>
  <c r="A203" i="1"/>
  <c r="B204" i="1"/>
  <c r="F203" i="1"/>
  <c r="F202" i="1"/>
  <c r="H134" i="1"/>
  <c r="J134" i="1" s="1"/>
  <c r="J126" i="2" l="1"/>
  <c r="G203" i="2"/>
  <c r="K204" i="2"/>
  <c r="K205" i="2" s="1"/>
  <c r="B205" i="2"/>
  <c r="D205" i="2" s="1"/>
  <c r="F204" i="2"/>
  <c r="A204" i="2"/>
  <c r="E204" i="2" s="1"/>
  <c r="B205" i="1"/>
  <c r="A204" i="1"/>
  <c r="C135" i="1"/>
  <c r="G135" i="1"/>
  <c r="C127" i="2" l="1"/>
  <c r="L126" i="2"/>
  <c r="I127" i="2"/>
  <c r="G204" i="2"/>
  <c r="E205" i="2"/>
  <c r="B206" i="2"/>
  <c r="A205" i="2"/>
  <c r="F205" i="2"/>
  <c r="I205" i="1"/>
  <c r="I206" i="1" s="1"/>
  <c r="B206" i="1"/>
  <c r="A205" i="1"/>
  <c r="F205" i="1"/>
  <c r="F204" i="1"/>
  <c r="H135" i="1"/>
  <c r="J127" i="2" l="1"/>
  <c r="E206" i="2"/>
  <c r="G205" i="2"/>
  <c r="D206" i="2"/>
  <c r="K206" i="2"/>
  <c r="K207" i="2" s="1"/>
  <c r="F206" i="2"/>
  <c r="A206" i="2"/>
  <c r="B207" i="2"/>
  <c r="B207" i="1"/>
  <c r="A206" i="1"/>
  <c r="C136" i="1"/>
  <c r="G136" i="1"/>
  <c r="J135" i="1"/>
  <c r="L127" i="2" l="1"/>
  <c r="C128" i="2"/>
  <c r="I128" i="2"/>
  <c r="G206" i="2"/>
  <c r="D207" i="2"/>
  <c r="E207" i="2"/>
  <c r="A207" i="2"/>
  <c r="F207" i="2"/>
  <c r="B208" i="2"/>
  <c r="I207" i="1"/>
  <c r="I208" i="1" s="1"/>
  <c r="B208" i="1"/>
  <c r="A207" i="1"/>
  <c r="F207" i="1"/>
  <c r="F206" i="1"/>
  <c r="H136" i="1"/>
  <c r="J128" i="2" l="1"/>
  <c r="E208" i="2"/>
  <c r="G207" i="2"/>
  <c r="D208" i="2"/>
  <c r="K208" i="2"/>
  <c r="K209" i="2" s="1"/>
  <c r="F208" i="2"/>
  <c r="B209" i="2"/>
  <c r="A208" i="2"/>
  <c r="B209" i="1"/>
  <c r="A208" i="1"/>
  <c r="C137" i="1"/>
  <c r="G137" i="1"/>
  <c r="J136" i="1"/>
  <c r="L128" i="2" l="1"/>
  <c r="C129" i="2"/>
  <c r="I129" i="2"/>
  <c r="G208" i="2"/>
  <c r="D209" i="2"/>
  <c r="E209" i="2"/>
  <c r="F209" i="2"/>
  <c r="B210" i="2"/>
  <c r="A209" i="2"/>
  <c r="I209" i="1"/>
  <c r="I210" i="1" s="1"/>
  <c r="A209" i="1"/>
  <c r="B210" i="1"/>
  <c r="F209" i="1"/>
  <c r="F208" i="1"/>
  <c r="H137" i="1"/>
  <c r="J129" i="2" l="1"/>
  <c r="E210" i="2"/>
  <c r="G209" i="2"/>
  <c r="D210" i="2"/>
  <c r="K210" i="2"/>
  <c r="K211" i="2" s="1"/>
  <c r="A210" i="2"/>
  <c r="F210" i="2"/>
  <c r="B211" i="2"/>
  <c r="A210" i="1"/>
  <c r="B211" i="1"/>
  <c r="C138" i="1"/>
  <c r="J137" i="1"/>
  <c r="G138" i="1"/>
  <c r="C130" i="2" l="1"/>
  <c r="L129" i="2"/>
  <c r="I130" i="2"/>
  <c r="G210" i="2"/>
  <c r="D211" i="2"/>
  <c r="E211" i="2"/>
  <c r="F211" i="2"/>
  <c r="A211" i="2"/>
  <c r="B212" i="2"/>
  <c r="I211" i="1"/>
  <c r="I212" i="1" s="1"/>
  <c r="B212" i="1"/>
  <c r="A211" i="1"/>
  <c r="H138" i="1"/>
  <c r="F211" i="1"/>
  <c r="F210" i="1"/>
  <c r="J138" i="1"/>
  <c r="J130" i="2" l="1"/>
  <c r="E212" i="2"/>
  <c r="G211" i="2"/>
  <c r="D212" i="2"/>
  <c r="K212" i="2"/>
  <c r="K213" i="2" s="1"/>
  <c r="B213" i="2"/>
  <c r="A212" i="2"/>
  <c r="F212" i="2"/>
  <c r="C139" i="1"/>
  <c r="G139" i="1"/>
  <c r="H139" i="1" s="1"/>
  <c r="A212" i="1"/>
  <c r="B213" i="1"/>
  <c r="I131" i="2" l="1"/>
  <c r="L130" i="2"/>
  <c r="C131" i="2"/>
  <c r="G212" i="2"/>
  <c r="D213" i="2"/>
  <c r="E213" i="2"/>
  <c r="B214" i="2"/>
  <c r="F213" i="2"/>
  <c r="A213" i="2"/>
  <c r="I213" i="1"/>
  <c r="I214" i="1" s="1"/>
  <c r="A213" i="1"/>
  <c r="B214" i="1"/>
  <c r="F213" i="1"/>
  <c r="F212" i="1"/>
  <c r="J139" i="1"/>
  <c r="G140" i="1"/>
  <c r="C140" i="1"/>
  <c r="J131" i="2" l="1"/>
  <c r="C132" i="2" s="1"/>
  <c r="E214" i="2"/>
  <c r="G213" i="2"/>
  <c r="D214" i="2"/>
  <c r="K214" i="2"/>
  <c r="K215" i="2" s="1"/>
  <c r="F214" i="2"/>
  <c r="A214" i="2"/>
  <c r="B215" i="2"/>
  <c r="A214" i="1"/>
  <c r="B215" i="1"/>
  <c r="H140" i="1"/>
  <c r="L131" i="2" l="1"/>
  <c r="I132" i="2"/>
  <c r="J132" i="2" s="1"/>
  <c r="L132" i="2" s="1"/>
  <c r="G214" i="2"/>
  <c r="D215" i="2"/>
  <c r="E215" i="2"/>
  <c r="B216" i="2"/>
  <c r="A215" i="2"/>
  <c r="F215" i="2"/>
  <c r="I215" i="1"/>
  <c r="I216" i="1" s="1"/>
  <c r="B216" i="1"/>
  <c r="A215" i="1"/>
  <c r="F215" i="1"/>
  <c r="F214" i="1"/>
  <c r="G141" i="1"/>
  <c r="C141" i="1"/>
  <c r="J140" i="1"/>
  <c r="C133" i="2" l="1"/>
  <c r="I133" i="2"/>
  <c r="G215" i="2"/>
  <c r="D216" i="2"/>
  <c r="K216" i="2"/>
  <c r="K217" i="2" s="1"/>
  <c r="A216" i="2"/>
  <c r="F216" i="2"/>
  <c r="B217" i="2"/>
  <c r="D217" i="2" s="1"/>
  <c r="H141" i="1"/>
  <c r="G142" i="1" s="1"/>
  <c r="A216" i="1"/>
  <c r="B217" i="1"/>
  <c r="J133" i="2" l="1"/>
  <c r="E216" i="2"/>
  <c r="F217" i="2"/>
  <c r="B218" i="2"/>
  <c r="A217" i="2"/>
  <c r="J141" i="1"/>
  <c r="C142" i="1"/>
  <c r="H142" i="1" s="1"/>
  <c r="G143" i="1" s="1"/>
  <c r="I217" i="1"/>
  <c r="I218" i="1" s="1"/>
  <c r="B218" i="1"/>
  <c r="A217" i="1"/>
  <c r="F217" i="1"/>
  <c r="F216" i="1"/>
  <c r="L133" i="2" l="1"/>
  <c r="I134" i="2"/>
  <c r="C134" i="2"/>
  <c r="E217" i="2"/>
  <c r="G216" i="2"/>
  <c r="D218" i="2"/>
  <c r="K218" i="2"/>
  <c r="K219" i="2" s="1"/>
  <c r="F218" i="2"/>
  <c r="A218" i="2"/>
  <c r="B219" i="2"/>
  <c r="J142" i="1"/>
  <c r="C143" i="1"/>
  <c r="H143" i="1" s="1"/>
  <c r="A218" i="1"/>
  <c r="B219" i="1"/>
  <c r="J134" i="2" l="1"/>
  <c r="E218" i="2"/>
  <c r="G217" i="2"/>
  <c r="D219" i="2"/>
  <c r="F219" i="2"/>
  <c r="A219" i="2"/>
  <c r="B220" i="2"/>
  <c r="J143" i="1"/>
  <c r="C144" i="1"/>
  <c r="G144" i="1"/>
  <c r="I219" i="1"/>
  <c r="I220" i="1" s="1"/>
  <c r="B220" i="1"/>
  <c r="A219" i="1"/>
  <c r="F219" i="1"/>
  <c r="F218" i="1"/>
  <c r="L134" i="2" l="1"/>
  <c r="C135" i="2"/>
  <c r="I135" i="2"/>
  <c r="E219" i="2"/>
  <c r="G218" i="2"/>
  <c r="D220" i="2"/>
  <c r="K220" i="2"/>
  <c r="A220" i="2"/>
  <c r="F220" i="2"/>
  <c r="B221" i="2"/>
  <c r="D221" i="2" s="1"/>
  <c r="H144" i="1"/>
  <c r="B221" i="1"/>
  <c r="A220" i="1"/>
  <c r="J135" i="2" l="1"/>
  <c r="G219" i="2"/>
  <c r="E220" i="2"/>
  <c r="K221" i="2"/>
  <c r="K222" i="2" s="1"/>
  <c r="F221" i="2"/>
  <c r="B222" i="2"/>
  <c r="A221" i="2"/>
  <c r="J144" i="1"/>
  <c r="G145" i="1"/>
  <c r="H145" i="1" s="1"/>
  <c r="C145" i="1"/>
  <c r="I221" i="1"/>
  <c r="I222" i="1" s="1"/>
  <c r="A221" i="1"/>
  <c r="B222" i="1"/>
  <c r="F221" i="1"/>
  <c r="F220" i="1"/>
  <c r="C136" i="2" l="1"/>
  <c r="L135" i="2"/>
  <c r="I136" i="2"/>
  <c r="G220" i="2"/>
  <c r="E221" i="2"/>
  <c r="D222" i="2"/>
  <c r="F222" i="2"/>
  <c r="B223" i="2"/>
  <c r="A222" i="2"/>
  <c r="J145" i="1"/>
  <c r="C146" i="1"/>
  <c r="G146" i="1"/>
  <c r="A222" i="1"/>
  <c r="B223" i="1"/>
  <c r="J136" i="2" l="1"/>
  <c r="I137" i="2" s="1"/>
  <c r="G221" i="2"/>
  <c r="E222" i="2"/>
  <c r="D223" i="2"/>
  <c r="K223" i="2"/>
  <c r="K224" i="2" s="1"/>
  <c r="F223" i="2"/>
  <c r="B224" i="2"/>
  <c r="A223" i="2"/>
  <c r="H146" i="1"/>
  <c r="C147" i="1" s="1"/>
  <c r="I223" i="1"/>
  <c r="I224" i="1" s="1"/>
  <c r="A223" i="1"/>
  <c r="B224" i="1"/>
  <c r="F223" i="1"/>
  <c r="F222" i="1"/>
  <c r="J146" i="1"/>
  <c r="G147" i="1"/>
  <c r="H147" i="1" s="1"/>
  <c r="C137" i="2" l="1"/>
  <c r="J137" i="2" s="1"/>
  <c r="L136" i="2"/>
  <c r="G222" i="2"/>
  <c r="E223" i="2"/>
  <c r="D224" i="2"/>
  <c r="F224" i="2"/>
  <c r="B225" i="2"/>
  <c r="A224" i="2"/>
  <c r="A224" i="1"/>
  <c r="B225" i="1"/>
  <c r="C148" i="1"/>
  <c r="J147" i="1"/>
  <c r="G148" i="1"/>
  <c r="I138" i="2" l="1"/>
  <c r="L137" i="2"/>
  <c r="C138" i="2"/>
  <c r="G223" i="2"/>
  <c r="E224" i="2"/>
  <c r="D225" i="2"/>
  <c r="K225" i="2"/>
  <c r="F225" i="2"/>
  <c r="B226" i="2"/>
  <c r="A225" i="2"/>
  <c r="I225" i="1"/>
  <c r="I226" i="1" s="1"/>
  <c r="B226" i="1"/>
  <c r="A225" i="1"/>
  <c r="F225" i="1"/>
  <c r="F224" i="1"/>
  <c r="H148" i="1"/>
  <c r="J138" i="2" l="1"/>
  <c r="L138" i="2" s="1"/>
  <c r="E225" i="2"/>
  <c r="G224" i="2"/>
  <c r="K226" i="2"/>
  <c r="K227" i="2" s="1"/>
  <c r="D226" i="2"/>
  <c r="F226" i="2"/>
  <c r="B227" i="2"/>
  <c r="D227" i="2" s="1"/>
  <c r="A226" i="2"/>
  <c r="A226" i="1"/>
  <c r="B227" i="1"/>
  <c r="G149" i="1"/>
  <c r="J148" i="1"/>
  <c r="C149" i="1"/>
  <c r="I139" i="2" l="1"/>
  <c r="C139" i="2"/>
  <c r="G225" i="2"/>
  <c r="E226" i="2"/>
  <c r="F227" i="2"/>
  <c r="B228" i="2"/>
  <c r="A227" i="2"/>
  <c r="I227" i="1"/>
  <c r="I228" i="1" s="1"/>
  <c r="A227" i="1"/>
  <c r="B228" i="1"/>
  <c r="F227" i="1"/>
  <c r="F226" i="1"/>
  <c r="H149" i="1"/>
  <c r="J139" i="2" l="1"/>
  <c r="L139" i="2" s="1"/>
  <c r="E227" i="2"/>
  <c r="G227" i="2" s="1"/>
  <c r="G226" i="2"/>
  <c r="D228" i="2"/>
  <c r="K228" i="2"/>
  <c r="K229" i="2" s="1"/>
  <c r="F228" i="2"/>
  <c r="B229" i="2"/>
  <c r="D229" i="2" s="1"/>
  <c r="A228" i="2"/>
  <c r="B229" i="1"/>
  <c r="A228" i="1"/>
  <c r="G150" i="1"/>
  <c r="C150" i="1"/>
  <c r="J149" i="1"/>
  <c r="I140" i="2" l="1"/>
  <c r="C140" i="2"/>
  <c r="E228" i="2"/>
  <c r="F229" i="2"/>
  <c r="B230" i="2"/>
  <c r="A229" i="2"/>
  <c r="H150" i="1"/>
  <c r="I229" i="1"/>
  <c r="I230" i="1" s="1"/>
  <c r="B230" i="1"/>
  <c r="A229" i="1"/>
  <c r="F228" i="1"/>
  <c r="J140" i="2" l="1"/>
  <c r="E229" i="2"/>
  <c r="G228" i="2"/>
  <c r="D230" i="2"/>
  <c r="K230" i="2"/>
  <c r="K231" i="2" s="1"/>
  <c r="F230" i="2"/>
  <c r="B231" i="2"/>
  <c r="D231" i="2" s="1"/>
  <c r="A230" i="2"/>
  <c r="G151" i="1"/>
  <c r="J150" i="1"/>
  <c r="C151" i="1"/>
  <c r="B231" i="1"/>
  <c r="A230" i="1"/>
  <c r="F230" i="1"/>
  <c r="F229" i="1"/>
  <c r="C141" i="2" l="1"/>
  <c r="L140" i="2"/>
  <c r="I141" i="2"/>
  <c r="G229" i="2"/>
  <c r="E230" i="2"/>
  <c r="F231" i="2"/>
  <c r="B232" i="2"/>
  <c r="A231" i="2"/>
  <c r="H151" i="1"/>
  <c r="I231" i="1"/>
  <c r="I232" i="1" s="1"/>
  <c r="F231" i="1"/>
  <c r="B232" i="1"/>
  <c r="A231" i="1"/>
  <c r="J141" i="2" l="1"/>
  <c r="I142" i="2" s="1"/>
  <c r="E231" i="2"/>
  <c r="G230" i="2"/>
  <c r="D232" i="2"/>
  <c r="K232" i="2"/>
  <c r="K233" i="2" s="1"/>
  <c r="F232" i="2"/>
  <c r="B233" i="2"/>
  <c r="D233" i="2" s="1"/>
  <c r="A232" i="2"/>
  <c r="J151" i="1"/>
  <c r="G152" i="1"/>
  <c r="C152" i="1"/>
  <c r="H152" i="1" s="1"/>
  <c r="B233" i="1"/>
  <c r="A232" i="1"/>
  <c r="J152" i="1"/>
  <c r="L141" i="2" l="1"/>
  <c r="C142" i="2"/>
  <c r="J142" i="2" s="1"/>
  <c r="G231" i="2"/>
  <c r="E232" i="2"/>
  <c r="F233" i="2"/>
  <c r="B234" i="2"/>
  <c r="A233" i="2"/>
  <c r="G153" i="1"/>
  <c r="C153" i="1"/>
  <c r="I233" i="1"/>
  <c r="I234" i="1" s="1"/>
  <c r="B234" i="1"/>
  <c r="A233" i="1"/>
  <c r="F233" i="1"/>
  <c r="F232" i="1"/>
  <c r="I143" i="2" l="1"/>
  <c r="C143" i="2"/>
  <c r="J143" i="2" s="1"/>
  <c r="L142" i="2"/>
  <c r="G232" i="2"/>
  <c r="E233" i="2"/>
  <c r="D234" i="2"/>
  <c r="K234" i="2"/>
  <c r="F234" i="2"/>
  <c r="B235" i="2"/>
  <c r="D235" i="2" s="1"/>
  <c r="A234" i="2"/>
  <c r="H153" i="1"/>
  <c r="B235" i="1"/>
  <c r="A234" i="1"/>
  <c r="I144" i="2" l="1"/>
  <c r="C144" i="2"/>
  <c r="J144" i="2" s="1"/>
  <c r="L143" i="2"/>
  <c r="G233" i="2"/>
  <c r="E234" i="2"/>
  <c r="K235" i="2"/>
  <c r="F235" i="2"/>
  <c r="B236" i="2"/>
  <c r="D236" i="2" s="1"/>
  <c r="A235" i="2"/>
  <c r="G154" i="1"/>
  <c r="J153" i="1"/>
  <c r="C154" i="1"/>
  <c r="H154" i="1" s="1"/>
  <c r="I235" i="1"/>
  <c r="I236" i="1" s="1"/>
  <c r="B236" i="1"/>
  <c r="A235" i="1"/>
  <c r="F235" i="1"/>
  <c r="F234" i="1"/>
  <c r="L144" i="2" l="1"/>
  <c r="C145" i="2"/>
  <c r="J145" i="2" s="1"/>
  <c r="I145" i="2"/>
  <c r="G234" i="2"/>
  <c r="E235" i="2"/>
  <c r="K236" i="2"/>
  <c r="K237" i="2" s="1"/>
  <c r="F236" i="2"/>
  <c r="B237" i="2"/>
  <c r="A236" i="2"/>
  <c r="B237" i="1"/>
  <c r="A236" i="1"/>
  <c r="G155" i="1"/>
  <c r="J154" i="1"/>
  <c r="C155" i="1"/>
  <c r="G235" i="2" l="1"/>
  <c r="E236" i="2"/>
  <c r="I146" i="2"/>
  <c r="L145" i="2"/>
  <c r="C146" i="2"/>
  <c r="D237" i="2"/>
  <c r="F237" i="2"/>
  <c r="B238" i="2"/>
  <c r="A237" i="2"/>
  <c r="I237" i="1"/>
  <c r="I238" i="1" s="1"/>
  <c r="B238" i="1"/>
  <c r="A237" i="1"/>
  <c r="F237" i="1"/>
  <c r="F236" i="1"/>
  <c r="H155" i="1"/>
  <c r="G156" i="1"/>
  <c r="G236" i="2" l="1"/>
  <c r="E237" i="2"/>
  <c r="J146" i="2"/>
  <c r="D238" i="2"/>
  <c r="K238" i="2"/>
  <c r="K239" i="2" s="1"/>
  <c r="F238" i="2"/>
  <c r="B239" i="2"/>
  <c r="A238" i="2"/>
  <c r="B239" i="1"/>
  <c r="A238" i="1"/>
  <c r="J155" i="1"/>
  <c r="C156" i="1"/>
  <c r="H156" i="1" s="1"/>
  <c r="G237" i="2" l="1"/>
  <c r="E238" i="2"/>
  <c r="L146" i="2"/>
  <c r="C147" i="2"/>
  <c r="I147" i="2"/>
  <c r="D239" i="2"/>
  <c r="F239" i="2"/>
  <c r="B240" i="2"/>
  <c r="A239" i="2"/>
  <c r="I239" i="1"/>
  <c r="I240" i="1" s="1"/>
  <c r="B240" i="1"/>
  <c r="A239" i="1"/>
  <c r="F239" i="1"/>
  <c r="F238" i="1"/>
  <c r="J156" i="1"/>
  <c r="C157" i="1"/>
  <c r="G157" i="1"/>
  <c r="G238" i="2" l="1"/>
  <c r="E239" i="2"/>
  <c r="J147" i="2"/>
  <c r="G239" i="2"/>
  <c r="D240" i="2"/>
  <c r="K240" i="2"/>
  <c r="K241" i="2" s="1"/>
  <c r="F240" i="2"/>
  <c r="B241" i="2"/>
  <c r="D241" i="2" s="1"/>
  <c r="A240" i="2"/>
  <c r="B241" i="1"/>
  <c r="A240" i="1"/>
  <c r="H157" i="1"/>
  <c r="I148" i="2" l="1"/>
  <c r="L147" i="2"/>
  <c r="C148" i="2"/>
  <c r="E240" i="2"/>
  <c r="F241" i="2"/>
  <c r="B242" i="2"/>
  <c r="A241" i="2"/>
  <c r="I241" i="1"/>
  <c r="I242" i="1" s="1"/>
  <c r="B242" i="1"/>
  <c r="A241" i="1"/>
  <c r="F241" i="1"/>
  <c r="F240" i="1"/>
  <c r="G158" i="1"/>
  <c r="J157" i="1"/>
  <c r="C158" i="1"/>
  <c r="J148" i="2" l="1"/>
  <c r="G240" i="2"/>
  <c r="E241" i="2"/>
  <c r="D242" i="2"/>
  <c r="K242" i="2"/>
  <c r="K243" i="2" s="1"/>
  <c r="F242" i="2"/>
  <c r="B243" i="2"/>
  <c r="A242" i="2"/>
  <c r="H158" i="1"/>
  <c r="B243" i="1"/>
  <c r="A242" i="1"/>
  <c r="I149" i="2" l="1"/>
  <c r="C149" i="2"/>
  <c r="L148" i="2"/>
  <c r="G241" i="2"/>
  <c r="E242" i="2"/>
  <c r="D243" i="2"/>
  <c r="F243" i="2"/>
  <c r="B244" i="2"/>
  <c r="A243" i="2"/>
  <c r="G159" i="1"/>
  <c r="J158" i="1"/>
  <c r="C159" i="1"/>
  <c r="I243" i="1"/>
  <c r="I244" i="1" s="1"/>
  <c r="B244" i="1"/>
  <c r="A243" i="1"/>
  <c r="F243" i="1"/>
  <c r="F242" i="1"/>
  <c r="J149" i="2" l="1"/>
  <c r="L149" i="2" s="1"/>
  <c r="G242" i="2"/>
  <c r="E243" i="2"/>
  <c r="E244" i="2" s="1"/>
  <c r="D244" i="2"/>
  <c r="K244" i="2"/>
  <c r="F244" i="2"/>
  <c r="B245" i="2"/>
  <c r="A244" i="2"/>
  <c r="H159" i="1"/>
  <c r="B245" i="1"/>
  <c r="A244" i="1"/>
  <c r="C150" i="2" l="1"/>
  <c r="I150" i="2"/>
  <c r="G243" i="2"/>
  <c r="G244" i="2"/>
  <c r="K245" i="2"/>
  <c r="K246" i="2" s="1"/>
  <c r="D245" i="2"/>
  <c r="E245" i="2"/>
  <c r="F245" i="2"/>
  <c r="B246" i="2"/>
  <c r="D246" i="2" s="1"/>
  <c r="A245" i="2"/>
  <c r="G160" i="1"/>
  <c r="C160" i="1"/>
  <c r="J159" i="1"/>
  <c r="I245" i="1"/>
  <c r="I246" i="1" s="1"/>
  <c r="B246" i="1"/>
  <c r="A245" i="1"/>
  <c r="F245" i="1"/>
  <c r="F244" i="1"/>
  <c r="J150" i="2" l="1"/>
  <c r="C151" i="2" s="1"/>
  <c r="E246" i="2"/>
  <c r="G245" i="2"/>
  <c r="B247" i="2"/>
  <c r="F246" i="2"/>
  <c r="A246" i="2"/>
  <c r="H160" i="1"/>
  <c r="B247" i="1"/>
  <c r="A246" i="1"/>
  <c r="I151" i="2" l="1"/>
  <c r="J151" i="2" s="1"/>
  <c r="L150" i="2"/>
  <c r="G246" i="2"/>
  <c r="D247" i="2"/>
  <c r="K247" i="2"/>
  <c r="K248" i="2" s="1"/>
  <c r="E247" i="2"/>
  <c r="F247" i="2"/>
  <c r="B248" i="2"/>
  <c r="D248" i="2" s="1"/>
  <c r="A247" i="2"/>
  <c r="J160" i="1"/>
  <c r="G161" i="1"/>
  <c r="C161" i="1"/>
  <c r="I247" i="1"/>
  <c r="I248" i="1" s="1"/>
  <c r="A247" i="1"/>
  <c r="B248" i="1"/>
  <c r="F247" i="1"/>
  <c r="F246" i="1"/>
  <c r="L151" i="2" l="1"/>
  <c r="I152" i="2"/>
  <c r="C152" i="2"/>
  <c r="E248" i="2"/>
  <c r="G247" i="2"/>
  <c r="B249" i="2"/>
  <c r="A248" i="2"/>
  <c r="F248" i="2"/>
  <c r="H161" i="1"/>
  <c r="C162" i="1" s="1"/>
  <c r="J161" i="1"/>
  <c r="G162" i="1"/>
  <c r="H162" i="1" s="1"/>
  <c r="G163" i="1" s="1"/>
  <c r="J162" i="1"/>
  <c r="C163" i="1"/>
  <c r="A248" i="1"/>
  <c r="B249" i="1"/>
  <c r="J152" i="2" l="1"/>
  <c r="C153" i="2" s="1"/>
  <c r="G248" i="2"/>
  <c r="D249" i="2"/>
  <c r="K249" i="2"/>
  <c r="K250" i="2" s="1"/>
  <c r="E249" i="2"/>
  <c r="A249" i="2"/>
  <c r="F249" i="2"/>
  <c r="B250" i="2"/>
  <c r="D250" i="2" s="1"/>
  <c r="H163" i="1"/>
  <c r="C164" i="1" s="1"/>
  <c r="I249" i="1"/>
  <c r="I250" i="1" s="1"/>
  <c r="A249" i="1"/>
  <c r="B250" i="1"/>
  <c r="F249" i="1"/>
  <c r="F248" i="1"/>
  <c r="I153" i="2" l="1"/>
  <c r="J153" i="2" s="1"/>
  <c r="L152" i="2"/>
  <c r="E250" i="2"/>
  <c r="G249" i="2"/>
  <c r="B251" i="2"/>
  <c r="F250" i="2"/>
  <c r="A250" i="2"/>
  <c r="G164" i="1"/>
  <c r="H164" i="1" s="1"/>
  <c r="J163" i="1"/>
  <c r="A250" i="1"/>
  <c r="B251" i="1"/>
  <c r="L153" i="2" l="1"/>
  <c r="I154" i="2"/>
  <c r="C154" i="2"/>
  <c r="G250" i="2"/>
  <c r="D251" i="2"/>
  <c r="K251" i="2"/>
  <c r="K252" i="2" s="1"/>
  <c r="E251" i="2"/>
  <c r="G251" i="2" s="1"/>
  <c r="B252" i="2"/>
  <c r="D252" i="2" s="1"/>
  <c r="A251" i="2"/>
  <c r="F251" i="2"/>
  <c r="C165" i="1"/>
  <c r="G165" i="1"/>
  <c r="H165" i="1" s="1"/>
  <c r="J164" i="1"/>
  <c r="I251" i="1"/>
  <c r="I252" i="1" s="1"/>
  <c r="B252" i="1"/>
  <c r="A251" i="1"/>
  <c r="F251" i="1"/>
  <c r="F250" i="1"/>
  <c r="J154" i="2" l="1"/>
  <c r="A252" i="2"/>
  <c r="E252" i="2" s="1"/>
  <c r="F252" i="2"/>
  <c r="B253" i="2"/>
  <c r="B253" i="1"/>
  <c r="A252" i="1"/>
  <c r="C166" i="1"/>
  <c r="J165" i="1"/>
  <c r="G166" i="1"/>
  <c r="I155" i="2" l="1"/>
  <c r="L154" i="2"/>
  <c r="C155" i="2"/>
  <c r="G252" i="2"/>
  <c r="E253" i="2"/>
  <c r="D253" i="2"/>
  <c r="K253" i="2"/>
  <c r="A253" i="2"/>
  <c r="F253" i="2"/>
  <c r="B254" i="2"/>
  <c r="D254" i="2" s="1"/>
  <c r="I253" i="1"/>
  <c r="I254" i="1" s="1"/>
  <c r="B254" i="1"/>
  <c r="A253" i="1"/>
  <c r="F253" i="1"/>
  <c r="F252" i="1"/>
  <c r="H166" i="1"/>
  <c r="J166" i="1" s="1"/>
  <c r="J155" i="2" l="1"/>
  <c r="L155" i="2" s="1"/>
  <c r="K254" i="2"/>
  <c r="K255" i="2" s="1"/>
  <c r="E254" i="2"/>
  <c r="G253" i="2"/>
  <c r="F254" i="2"/>
  <c r="A254" i="2"/>
  <c r="B255" i="2"/>
  <c r="A254" i="1"/>
  <c r="B255" i="1"/>
  <c r="G167" i="1"/>
  <c r="C167" i="1"/>
  <c r="I156" i="2" l="1"/>
  <c r="C156" i="2"/>
  <c r="G254" i="2"/>
  <c r="D255" i="2"/>
  <c r="E255" i="2"/>
  <c r="F255" i="2"/>
  <c r="A255" i="2"/>
  <c r="B256" i="2"/>
  <c r="H167" i="1"/>
  <c r="I255" i="1"/>
  <c r="I256" i="1" s="1"/>
  <c r="A255" i="1"/>
  <c r="B256" i="1"/>
  <c r="F255" i="1"/>
  <c r="F254" i="1"/>
  <c r="J156" i="2" l="1"/>
  <c r="C157" i="2" s="1"/>
  <c r="E256" i="2"/>
  <c r="G255" i="2"/>
  <c r="D256" i="2"/>
  <c r="K256" i="2"/>
  <c r="K257" i="2" s="1"/>
  <c r="F256" i="2"/>
  <c r="A256" i="2"/>
  <c r="B257" i="2"/>
  <c r="C168" i="1"/>
  <c r="G168" i="1"/>
  <c r="J167" i="1"/>
  <c r="A256" i="1"/>
  <c r="B257" i="1"/>
  <c r="I157" i="2" l="1"/>
  <c r="J157" i="2" s="1"/>
  <c r="L156" i="2"/>
  <c r="G256" i="2"/>
  <c r="D257" i="2"/>
  <c r="E257" i="2"/>
  <c r="A257" i="2"/>
  <c r="F257" i="2"/>
  <c r="B258" i="2"/>
  <c r="H168" i="1"/>
  <c r="I257" i="1"/>
  <c r="I258" i="1" s="1"/>
  <c r="B258" i="1"/>
  <c r="A257" i="1"/>
  <c r="F257" i="1"/>
  <c r="F256" i="1"/>
  <c r="C158" i="2" l="1"/>
  <c r="I158" i="2"/>
  <c r="L157" i="2"/>
  <c r="E258" i="2"/>
  <c r="G257" i="2"/>
  <c r="D258" i="2"/>
  <c r="K258" i="2"/>
  <c r="K259" i="2" s="1"/>
  <c r="B259" i="2"/>
  <c r="F258" i="2"/>
  <c r="A258" i="2"/>
  <c r="J168" i="1"/>
  <c r="C169" i="1"/>
  <c r="G169" i="1"/>
  <c r="B259" i="1"/>
  <c r="A258" i="1"/>
  <c r="J158" i="2" l="1"/>
  <c r="G258" i="2"/>
  <c r="D259" i="2"/>
  <c r="E259" i="2"/>
  <c r="B260" i="2"/>
  <c r="A259" i="2"/>
  <c r="F259" i="2"/>
  <c r="H169" i="1"/>
  <c r="J169" i="1"/>
  <c r="C170" i="1"/>
  <c r="G170" i="1"/>
  <c r="I259" i="1"/>
  <c r="I260" i="1" s="1"/>
  <c r="B260" i="1"/>
  <c r="A259" i="1"/>
  <c r="F259" i="1"/>
  <c r="F258" i="1"/>
  <c r="C159" i="2" l="1"/>
  <c r="L158" i="2"/>
  <c r="I159" i="2"/>
  <c r="E260" i="2"/>
  <c r="G259" i="2"/>
  <c r="D260" i="2"/>
  <c r="K260" i="2"/>
  <c r="K261" i="2" s="1"/>
  <c r="A260" i="2"/>
  <c r="B261" i="2"/>
  <c r="F260" i="2"/>
  <c r="H170" i="1"/>
  <c r="B261" i="1"/>
  <c r="A260" i="1"/>
  <c r="J159" i="2" l="1"/>
  <c r="L159" i="2" s="1"/>
  <c r="G260" i="2"/>
  <c r="D261" i="2"/>
  <c r="E261" i="2"/>
  <c r="G261" i="2" s="1"/>
  <c r="A261" i="2"/>
  <c r="F261" i="2"/>
  <c r="B262" i="2"/>
  <c r="G171" i="1"/>
  <c r="C171" i="1"/>
  <c r="H171" i="1" s="1"/>
  <c r="J170" i="1"/>
  <c r="I261" i="1"/>
  <c r="I262" i="1" s="1"/>
  <c r="B262" i="1"/>
  <c r="A261" i="1"/>
  <c r="F261" i="1"/>
  <c r="F260" i="1"/>
  <c r="C160" i="2" l="1"/>
  <c r="I160" i="2"/>
  <c r="E262" i="2"/>
  <c r="G262" i="2" s="1"/>
  <c r="D262" i="2"/>
  <c r="K262" i="2"/>
  <c r="K263" i="2" s="1"/>
  <c r="F262" i="2"/>
  <c r="A262" i="2"/>
  <c r="B263" i="2"/>
  <c r="G172" i="1"/>
  <c r="J171" i="1"/>
  <c r="C172" i="1"/>
  <c r="B263" i="1"/>
  <c r="A262" i="1"/>
  <c r="J160" i="2" l="1"/>
  <c r="I161" i="2" s="1"/>
  <c r="D263" i="2"/>
  <c r="E263" i="2"/>
  <c r="F263" i="2"/>
  <c r="A263" i="2"/>
  <c r="B264" i="2"/>
  <c r="H172" i="1"/>
  <c r="I263" i="1"/>
  <c r="I264" i="1" s="1"/>
  <c r="B264" i="1"/>
  <c r="A263" i="1"/>
  <c r="F263" i="1"/>
  <c r="F262" i="1"/>
  <c r="C161" i="2" l="1"/>
  <c r="J161" i="2" s="1"/>
  <c r="L160" i="2"/>
  <c r="G263" i="2"/>
  <c r="D264" i="2"/>
  <c r="K264" i="2"/>
  <c r="K265" i="2" s="1"/>
  <c r="B265" i="2"/>
  <c r="D265" i="2" s="1"/>
  <c r="F264" i="2"/>
  <c r="A264" i="2"/>
  <c r="G173" i="1"/>
  <c r="H173" i="1" s="1"/>
  <c r="J172" i="1"/>
  <c r="C173" i="1"/>
  <c r="B265" i="1"/>
  <c r="A264" i="1"/>
  <c r="L161" i="2" l="1"/>
  <c r="C162" i="2"/>
  <c r="I162" i="2"/>
  <c r="E264" i="2"/>
  <c r="E265" i="2" s="1"/>
  <c r="A265" i="2"/>
  <c r="B266" i="2"/>
  <c r="F265" i="2"/>
  <c r="I265" i="1"/>
  <c r="I266" i="1" s="1"/>
  <c r="B266" i="1"/>
  <c r="A265" i="1"/>
  <c r="F265" i="1"/>
  <c r="F264" i="1"/>
  <c r="G174" i="1"/>
  <c r="J173" i="1"/>
  <c r="C174" i="1"/>
  <c r="J162" i="2" l="1"/>
  <c r="I163" i="2"/>
  <c r="G264" i="2"/>
  <c r="E266" i="2"/>
  <c r="G265" i="2"/>
  <c r="D266" i="2"/>
  <c r="K266" i="2"/>
  <c r="K267" i="2" s="1"/>
  <c r="B267" i="2"/>
  <c r="A266" i="2"/>
  <c r="F266" i="2"/>
  <c r="B267" i="1"/>
  <c r="A266" i="1"/>
  <c r="H174" i="1"/>
  <c r="L162" i="2" l="1"/>
  <c r="C163" i="2"/>
  <c r="J163" i="2" s="1"/>
  <c r="I164" i="2" s="1"/>
  <c r="G266" i="2"/>
  <c r="D267" i="2"/>
  <c r="E267" i="2"/>
  <c r="F267" i="2"/>
  <c r="A267" i="2"/>
  <c r="B268" i="2"/>
  <c r="I267" i="1"/>
  <c r="I268" i="1" s="1"/>
  <c r="B268" i="1"/>
  <c r="A267" i="1"/>
  <c r="F267" i="1"/>
  <c r="F266" i="1"/>
  <c r="J174" i="1"/>
  <c r="G175" i="1"/>
  <c r="C175" i="1"/>
  <c r="L163" i="2" l="1"/>
  <c r="C164" i="2"/>
  <c r="J164" i="2" s="1"/>
  <c r="E268" i="2"/>
  <c r="G267" i="2"/>
  <c r="D268" i="2"/>
  <c r="K268" i="2"/>
  <c r="K269" i="2" s="1"/>
  <c r="A268" i="2"/>
  <c r="F268" i="2"/>
  <c r="B269" i="2"/>
  <c r="B269" i="1"/>
  <c r="A268" i="1"/>
  <c r="H175" i="1"/>
  <c r="I165" i="2" l="1"/>
  <c r="C165" i="2"/>
  <c r="L164" i="2"/>
  <c r="G268" i="2"/>
  <c r="D269" i="2"/>
  <c r="E269" i="2"/>
  <c r="A269" i="2"/>
  <c r="F269" i="2"/>
  <c r="B270" i="2"/>
  <c r="I269" i="1"/>
  <c r="I270" i="1" s="1"/>
  <c r="B270" i="1"/>
  <c r="A269" i="1"/>
  <c r="F269" i="1"/>
  <c r="F268" i="1"/>
  <c r="C176" i="1"/>
  <c r="G176" i="1"/>
  <c r="H176" i="1" s="1"/>
  <c r="J175" i="1"/>
  <c r="J165" i="2" l="1"/>
  <c r="E270" i="2"/>
  <c r="G269" i="2"/>
  <c r="D270" i="2"/>
  <c r="K270" i="2"/>
  <c r="A270" i="2"/>
  <c r="F270" i="2"/>
  <c r="B271" i="2"/>
  <c r="B271" i="1"/>
  <c r="A270" i="1"/>
  <c r="J176" i="1"/>
  <c r="C177" i="1"/>
  <c r="G177" i="1"/>
  <c r="C166" i="2" l="1"/>
  <c r="I166" i="2"/>
  <c r="L165" i="2"/>
  <c r="G270" i="2"/>
  <c r="K271" i="2"/>
  <c r="K272" i="2" s="1"/>
  <c r="D271" i="2"/>
  <c r="E271" i="2"/>
  <c r="G271" i="2" s="1"/>
  <c r="B272" i="2"/>
  <c r="D272" i="2" s="1"/>
  <c r="A271" i="2"/>
  <c r="F271" i="2"/>
  <c r="I271" i="1"/>
  <c r="I272" i="1" s="1"/>
  <c r="B272" i="1"/>
  <c r="A271" i="1"/>
  <c r="H177" i="1"/>
  <c r="F271" i="1"/>
  <c r="F270" i="1"/>
  <c r="G178" i="1"/>
  <c r="J166" i="2" l="1"/>
  <c r="L166" i="2" s="1"/>
  <c r="E272" i="2"/>
  <c r="G272" i="2" s="1"/>
  <c r="A272" i="2"/>
  <c r="B273" i="2"/>
  <c r="F272" i="2"/>
  <c r="J177" i="1"/>
  <c r="C178" i="1"/>
  <c r="H178" i="1" s="1"/>
  <c r="B273" i="1"/>
  <c r="A272" i="1"/>
  <c r="C167" i="2" l="1"/>
  <c r="I167" i="2"/>
  <c r="D273" i="2"/>
  <c r="K273" i="2"/>
  <c r="K274" i="2" s="1"/>
  <c r="E273" i="2"/>
  <c r="B274" i="2"/>
  <c r="D274" i="2" s="1"/>
  <c r="A273" i="2"/>
  <c r="F273" i="2"/>
  <c r="I273" i="1"/>
  <c r="I274" i="1" s="1"/>
  <c r="B274" i="1"/>
  <c r="A273" i="1"/>
  <c r="F273" i="1"/>
  <c r="F272" i="1"/>
  <c r="J178" i="1"/>
  <c r="C179" i="1"/>
  <c r="G179" i="1"/>
  <c r="J167" i="2" l="1"/>
  <c r="I168" i="2"/>
  <c r="L167" i="2"/>
  <c r="C168" i="2"/>
  <c r="E274" i="2"/>
  <c r="G274" i="2" s="1"/>
  <c r="G273" i="2"/>
  <c r="F274" i="2"/>
  <c r="B275" i="2"/>
  <c r="A274" i="2"/>
  <c r="B275" i="1"/>
  <c r="A274" i="1"/>
  <c r="H179" i="1"/>
  <c r="J168" i="2" l="1"/>
  <c r="D275" i="2"/>
  <c r="K275" i="2"/>
  <c r="K276" i="2" s="1"/>
  <c r="E275" i="2"/>
  <c r="F275" i="2"/>
  <c r="B276" i="2"/>
  <c r="D276" i="2" s="1"/>
  <c r="A275" i="2"/>
  <c r="I275" i="1"/>
  <c r="I276" i="1" s="1"/>
  <c r="B276" i="1"/>
  <c r="A275" i="1"/>
  <c r="F275" i="1"/>
  <c r="F274" i="1"/>
  <c r="J179" i="1"/>
  <c r="G180" i="1"/>
  <c r="C180" i="1"/>
  <c r="L168" i="2" l="1"/>
  <c r="C169" i="2"/>
  <c r="I169" i="2"/>
  <c r="J169" i="2"/>
  <c r="I170" i="2" s="1"/>
  <c r="G275" i="2"/>
  <c r="F276" i="2"/>
  <c r="B277" i="2"/>
  <c r="A276" i="2"/>
  <c r="E276" i="2" s="1"/>
  <c r="B277" i="1"/>
  <c r="A276" i="1"/>
  <c r="H180" i="1"/>
  <c r="L169" i="2" l="1"/>
  <c r="C170" i="2"/>
  <c r="J170" i="2" s="1"/>
  <c r="D277" i="2"/>
  <c r="K277" i="2"/>
  <c r="K278" i="2" s="1"/>
  <c r="G276" i="2"/>
  <c r="E277" i="2"/>
  <c r="F277" i="2"/>
  <c r="B278" i="2"/>
  <c r="D278" i="2" s="1"/>
  <c r="A277" i="2"/>
  <c r="I277" i="1"/>
  <c r="I278" i="1" s="1"/>
  <c r="A277" i="1"/>
  <c r="B278" i="1"/>
  <c r="F277" i="1"/>
  <c r="F276" i="1"/>
  <c r="G181" i="1"/>
  <c r="C181" i="1"/>
  <c r="J180" i="1"/>
  <c r="I171" i="2" l="1"/>
  <c r="L170" i="2"/>
  <c r="C171" i="2"/>
  <c r="G277" i="2"/>
  <c r="E278" i="2"/>
  <c r="F278" i="2"/>
  <c r="B279" i="2"/>
  <c r="A278" i="2"/>
  <c r="B279" i="1"/>
  <c r="A278" i="1"/>
  <c r="H181" i="1"/>
  <c r="J171" i="2" l="1"/>
  <c r="L171" i="2" s="1"/>
  <c r="E279" i="2"/>
  <c r="G279" i="2" s="1"/>
  <c r="G278" i="2"/>
  <c r="D279" i="2"/>
  <c r="K279" i="2"/>
  <c r="K280" i="2" s="1"/>
  <c r="F279" i="2"/>
  <c r="B280" i="2"/>
  <c r="A279" i="2"/>
  <c r="I279" i="1"/>
  <c r="I280" i="1" s="1"/>
  <c r="A279" i="1"/>
  <c r="B280" i="1"/>
  <c r="F279" i="1"/>
  <c r="F278" i="1"/>
  <c r="J181" i="1"/>
  <c r="C182" i="1"/>
  <c r="G182" i="1"/>
  <c r="I172" i="2" l="1"/>
  <c r="C172" i="2"/>
  <c r="D280" i="2"/>
  <c r="E280" i="2"/>
  <c r="G280" i="2" s="1"/>
  <c r="F280" i="2"/>
  <c r="B281" i="2"/>
  <c r="A280" i="2"/>
  <c r="A280" i="1"/>
  <c r="B281" i="1"/>
  <c r="H182" i="1"/>
  <c r="J172" i="2" l="1"/>
  <c r="L172" i="2" s="1"/>
  <c r="E281" i="2"/>
  <c r="D281" i="2"/>
  <c r="K281" i="2"/>
  <c r="F281" i="2"/>
  <c r="B282" i="2"/>
  <c r="D282" i="2" s="1"/>
  <c r="A281" i="2"/>
  <c r="I281" i="1"/>
  <c r="I282" i="1" s="1"/>
  <c r="B282" i="1"/>
  <c r="A281" i="1"/>
  <c r="F281" i="1"/>
  <c r="F280" i="1"/>
  <c r="G183" i="1"/>
  <c r="C183" i="1"/>
  <c r="J182" i="1"/>
  <c r="I173" i="2" l="1"/>
  <c r="C173" i="2"/>
  <c r="K282" i="2"/>
  <c r="K283" i="2" s="1"/>
  <c r="E282" i="2"/>
  <c r="G282" i="2" s="1"/>
  <c r="G281" i="2"/>
  <c r="F282" i="2"/>
  <c r="B283" i="2"/>
  <c r="A282" i="2"/>
  <c r="B283" i="1"/>
  <c r="A282" i="1"/>
  <c r="H183" i="1"/>
  <c r="J173" i="2" l="1"/>
  <c r="I174" i="2" s="1"/>
  <c r="D283" i="2"/>
  <c r="E283" i="2"/>
  <c r="F283" i="2"/>
  <c r="B284" i="2"/>
  <c r="A283" i="2"/>
  <c r="I283" i="1"/>
  <c r="I284" i="1" s="1"/>
  <c r="A283" i="1"/>
  <c r="B284" i="1"/>
  <c r="F283" i="1"/>
  <c r="F282" i="1"/>
  <c r="G184" i="1"/>
  <c r="J183" i="1"/>
  <c r="C184" i="1"/>
  <c r="L173" i="2" l="1"/>
  <c r="C174" i="2"/>
  <c r="J174" i="2" s="1"/>
  <c r="E284" i="2"/>
  <c r="G283" i="2"/>
  <c r="D284" i="2"/>
  <c r="K284" i="2"/>
  <c r="K285" i="2" s="1"/>
  <c r="F284" i="2"/>
  <c r="B285" i="2"/>
  <c r="A284" i="2"/>
  <c r="F284" i="1"/>
  <c r="A284" i="1"/>
  <c r="B285" i="1"/>
  <c r="H184" i="1"/>
  <c r="I175" i="2" l="1"/>
  <c r="L174" i="2"/>
  <c r="C175" i="2"/>
  <c r="G284" i="2"/>
  <c r="D285" i="2"/>
  <c r="E285" i="2"/>
  <c r="F285" i="2"/>
  <c r="B286" i="2"/>
  <c r="A285" i="2"/>
  <c r="I285" i="1"/>
  <c r="A285" i="1"/>
  <c r="B286" i="1"/>
  <c r="C185" i="1"/>
  <c r="J184" i="1"/>
  <c r="G185" i="1"/>
  <c r="J175" i="2" l="1"/>
  <c r="E286" i="2"/>
  <c r="G286" i="2" s="1"/>
  <c r="G285" i="2"/>
  <c r="D286" i="2"/>
  <c r="K286" i="2"/>
  <c r="K287" i="2" s="1"/>
  <c r="F286" i="2"/>
  <c r="B287" i="2"/>
  <c r="A286" i="2"/>
  <c r="A286" i="1"/>
  <c r="B287" i="1"/>
  <c r="I286" i="1"/>
  <c r="I287" i="1" s="1"/>
  <c r="F286" i="1"/>
  <c r="F285" i="1"/>
  <c r="H185" i="1"/>
  <c r="I176" i="2" l="1"/>
  <c r="L175" i="2"/>
  <c r="C176" i="2"/>
  <c r="D287" i="2"/>
  <c r="E287" i="2"/>
  <c r="F287" i="2"/>
  <c r="B288" i="2"/>
  <c r="A287" i="2"/>
  <c r="F287" i="1"/>
  <c r="B288" i="1"/>
  <c r="A287" i="1"/>
  <c r="J185" i="1"/>
  <c r="C186" i="1"/>
  <c r="G186" i="1"/>
  <c r="J176" i="2" l="1"/>
  <c r="G287" i="2"/>
  <c r="D288" i="2"/>
  <c r="K288" i="2"/>
  <c r="K289" i="2" s="1"/>
  <c r="F288" i="2"/>
  <c r="B289" i="2"/>
  <c r="D289" i="2" s="1"/>
  <c r="A288" i="2"/>
  <c r="I288" i="1"/>
  <c r="I289" i="1" s="1"/>
  <c r="B289" i="1"/>
  <c r="A288" i="1"/>
  <c r="F288" i="1"/>
  <c r="H186" i="1"/>
  <c r="I177" i="2" l="1"/>
  <c r="C177" i="2"/>
  <c r="L176" i="2"/>
  <c r="E288" i="2"/>
  <c r="F289" i="2"/>
  <c r="B290" i="2"/>
  <c r="A289" i="2"/>
  <c r="B290" i="1"/>
  <c r="A289" i="1"/>
  <c r="F289" i="1"/>
  <c r="J186" i="1"/>
  <c r="C187" i="1"/>
  <c r="G187" i="1"/>
  <c r="J177" i="2" l="1"/>
  <c r="G288" i="2"/>
  <c r="E289" i="2"/>
  <c r="D290" i="2"/>
  <c r="K290" i="2"/>
  <c r="K291" i="2" s="1"/>
  <c r="F290" i="2"/>
  <c r="B291" i="2"/>
  <c r="A290" i="2"/>
  <c r="I290" i="1"/>
  <c r="I291" i="1" s="1"/>
  <c r="F290" i="1"/>
  <c r="B291" i="1"/>
  <c r="A290" i="1"/>
  <c r="H187" i="1"/>
  <c r="I178" i="2" l="1"/>
  <c r="L177" i="2"/>
  <c r="C178" i="2"/>
  <c r="E290" i="2"/>
  <c r="E291" i="2" s="1"/>
  <c r="G289" i="2"/>
  <c r="D291" i="2"/>
  <c r="F291" i="2"/>
  <c r="B292" i="2"/>
  <c r="A291" i="2"/>
  <c r="B292" i="1"/>
  <c r="A291" i="1"/>
  <c r="J187" i="1"/>
  <c r="G188" i="1"/>
  <c r="C188" i="1"/>
  <c r="J178" i="2" l="1"/>
  <c r="L178" i="2" s="1"/>
  <c r="G290" i="2"/>
  <c r="G291" i="2"/>
  <c r="E292" i="2"/>
  <c r="D292" i="2"/>
  <c r="K292" i="2"/>
  <c r="K293" i="2" s="1"/>
  <c r="F292" i="2"/>
  <c r="B293" i="2"/>
  <c r="D293" i="2" s="1"/>
  <c r="A292" i="2"/>
  <c r="F292" i="1"/>
  <c r="F291" i="1"/>
  <c r="I292" i="1"/>
  <c r="I293" i="1" s="1"/>
  <c r="B293" i="1"/>
  <c r="A292" i="1"/>
  <c r="H188" i="1"/>
  <c r="J188" i="1" s="1"/>
  <c r="C179" i="2" l="1"/>
  <c r="I179" i="2"/>
  <c r="J179" i="2" s="1"/>
  <c r="L179" i="2" s="1"/>
  <c r="E293" i="2"/>
  <c r="G293" i="2" s="1"/>
  <c r="G292" i="2"/>
  <c r="F293" i="2"/>
  <c r="B294" i="2"/>
  <c r="A293" i="2"/>
  <c r="B294" i="1"/>
  <c r="A293" i="1"/>
  <c r="C189" i="1"/>
  <c r="G189" i="1"/>
  <c r="C180" i="2" l="1"/>
  <c r="I180" i="2"/>
  <c r="D294" i="2"/>
  <c r="E294" i="2"/>
  <c r="K294" i="2"/>
  <c r="K295" i="2" s="1"/>
  <c r="F294" i="2"/>
  <c r="B295" i="2"/>
  <c r="D295" i="2" s="1"/>
  <c r="A294" i="2"/>
  <c r="F294" i="1"/>
  <c r="F293" i="1"/>
  <c r="I294" i="1"/>
  <c r="I295" i="1" s="1"/>
  <c r="B295" i="1"/>
  <c r="A294" i="1"/>
  <c r="H189" i="1"/>
  <c r="G190" i="1"/>
  <c r="J180" i="2" l="1"/>
  <c r="L180" i="2"/>
  <c r="E295" i="2"/>
  <c r="G295" i="2" s="1"/>
  <c r="G294" i="2"/>
  <c r="F295" i="2"/>
  <c r="B296" i="2"/>
  <c r="A295" i="2"/>
  <c r="C190" i="1"/>
  <c r="H190" i="1" s="1"/>
  <c r="J189" i="1"/>
  <c r="B296" i="1"/>
  <c r="A295" i="1"/>
  <c r="C181" i="2" l="1"/>
  <c r="I181" i="2"/>
  <c r="J181" i="2"/>
  <c r="D296" i="2"/>
  <c r="K296" i="2"/>
  <c r="K297" i="2" s="1"/>
  <c r="E296" i="2"/>
  <c r="G296" i="2" s="1"/>
  <c r="F296" i="2"/>
  <c r="B297" i="2"/>
  <c r="D297" i="2" s="1"/>
  <c r="A296" i="2"/>
  <c r="F296" i="1"/>
  <c r="F295" i="1"/>
  <c r="I296" i="1"/>
  <c r="I297" i="1" s="1"/>
  <c r="B297" i="1"/>
  <c r="A296" i="1"/>
  <c r="C191" i="1"/>
  <c r="J190" i="1"/>
  <c r="G191" i="1"/>
  <c r="I182" i="2" l="1"/>
  <c r="L181" i="2"/>
  <c r="C182" i="2"/>
  <c r="E297" i="2"/>
  <c r="F297" i="2"/>
  <c r="B298" i="2"/>
  <c r="A297" i="2"/>
  <c r="B298" i="1"/>
  <c r="A297" i="1"/>
  <c r="H191" i="1"/>
  <c r="G192" i="1" s="1"/>
  <c r="J182" i="2" l="1"/>
  <c r="E298" i="2"/>
  <c r="G297" i="2"/>
  <c r="D298" i="2"/>
  <c r="K298" i="2"/>
  <c r="F298" i="2"/>
  <c r="B299" i="2"/>
  <c r="A298" i="2"/>
  <c r="J191" i="1"/>
  <c r="C192" i="1"/>
  <c r="H192" i="1" s="1"/>
  <c r="I298" i="1"/>
  <c r="I299" i="1" s="1"/>
  <c r="A298" i="1"/>
  <c r="B299" i="1"/>
  <c r="F298" i="1"/>
  <c r="F297" i="1"/>
  <c r="C183" i="2" l="1"/>
  <c r="L182" i="2"/>
  <c r="I183" i="2"/>
  <c r="G298" i="2"/>
  <c r="K299" i="2"/>
  <c r="K300" i="2" s="1"/>
  <c r="D299" i="2"/>
  <c r="E299" i="2"/>
  <c r="F299" i="2"/>
  <c r="B300" i="2"/>
  <c r="D300" i="2" s="1"/>
  <c r="A299" i="2"/>
  <c r="F299" i="1"/>
  <c r="B300" i="1"/>
  <c r="A299" i="1"/>
  <c r="C193" i="1"/>
  <c r="G193" i="1"/>
  <c r="J192" i="1"/>
  <c r="J183" i="2" l="1"/>
  <c r="G299" i="2"/>
  <c r="F300" i="2"/>
  <c r="B301" i="2"/>
  <c r="A300" i="2"/>
  <c r="E300" i="2" s="1"/>
  <c r="I300" i="1"/>
  <c r="B301" i="1"/>
  <c r="A300" i="1"/>
  <c r="H193" i="1"/>
  <c r="I184" i="2" l="1"/>
  <c r="L183" i="2"/>
  <c r="C184" i="2"/>
  <c r="D301" i="2"/>
  <c r="K301" i="2"/>
  <c r="K302" i="2" s="1"/>
  <c r="G300" i="2"/>
  <c r="E301" i="2"/>
  <c r="F301" i="2"/>
  <c r="B302" i="2"/>
  <c r="D302" i="2" s="1"/>
  <c r="A301" i="2"/>
  <c r="B302" i="1"/>
  <c r="A301" i="1"/>
  <c r="I301" i="1"/>
  <c r="I302" i="1" s="1"/>
  <c r="F301" i="1"/>
  <c r="F300" i="1"/>
  <c r="C194" i="1"/>
  <c r="J193" i="1"/>
  <c r="G194" i="1"/>
  <c r="J184" i="2" l="1"/>
  <c r="E302" i="2"/>
  <c r="G302" i="2" s="1"/>
  <c r="G301" i="2"/>
  <c r="F302" i="2"/>
  <c r="B303" i="2"/>
  <c r="A302" i="2"/>
  <c r="B303" i="1"/>
  <c r="A302" i="1"/>
  <c r="H194" i="1"/>
  <c r="L184" i="2" l="1"/>
  <c r="I185" i="2"/>
  <c r="C185" i="2"/>
  <c r="J185" i="2" s="1"/>
  <c r="D303" i="2"/>
  <c r="K303" i="2"/>
  <c r="K304" i="2" s="1"/>
  <c r="E303" i="2"/>
  <c r="F303" i="2"/>
  <c r="B304" i="2"/>
  <c r="D304" i="2" s="1"/>
  <c r="A303" i="2"/>
  <c r="I303" i="1"/>
  <c r="A303" i="1"/>
  <c r="B304" i="1"/>
  <c r="F303" i="1"/>
  <c r="F302" i="1"/>
  <c r="J194" i="1"/>
  <c r="G195" i="1"/>
  <c r="C195" i="1"/>
  <c r="I186" i="2" l="1"/>
  <c r="L185" i="2"/>
  <c r="C186" i="2"/>
  <c r="E304" i="2"/>
  <c r="G303" i="2"/>
  <c r="F304" i="2"/>
  <c r="B305" i="2"/>
  <c r="A304" i="2"/>
  <c r="F304" i="1"/>
  <c r="B305" i="1"/>
  <c r="A304" i="1"/>
  <c r="I304" i="1"/>
  <c r="I305" i="1" s="1"/>
  <c r="H195" i="1"/>
  <c r="J186" i="2" l="1"/>
  <c r="C187" i="2" s="1"/>
  <c r="G304" i="2"/>
  <c r="D305" i="2"/>
  <c r="K305" i="2"/>
  <c r="K306" i="2" s="1"/>
  <c r="E305" i="2"/>
  <c r="G305" i="2" s="1"/>
  <c r="F305" i="2"/>
  <c r="B306" i="2"/>
  <c r="D306" i="2" s="1"/>
  <c r="A305" i="2"/>
  <c r="B306" i="1"/>
  <c r="A305" i="1"/>
  <c r="J195" i="1"/>
  <c r="G196" i="1"/>
  <c r="H196" i="1" s="1"/>
  <c r="C196" i="1"/>
  <c r="I187" i="2" l="1"/>
  <c r="J187" i="2" s="1"/>
  <c r="I188" i="2" s="1"/>
  <c r="L186" i="2"/>
  <c r="E306" i="2"/>
  <c r="G306" i="2" s="1"/>
  <c r="F306" i="2"/>
  <c r="B307" i="2"/>
  <c r="A306" i="2"/>
  <c r="I306" i="1"/>
  <c r="B307" i="1"/>
  <c r="A306" i="1"/>
  <c r="F306" i="1"/>
  <c r="F305" i="1"/>
  <c r="J196" i="1"/>
  <c r="G197" i="1"/>
  <c r="C197" i="1"/>
  <c r="D307" i="2" l="1"/>
  <c r="E307" i="2"/>
  <c r="K307" i="2"/>
  <c r="F307" i="2"/>
  <c r="B308" i="2"/>
  <c r="D308" i="2" s="1"/>
  <c r="A307" i="2"/>
  <c r="L187" i="2"/>
  <c r="C188" i="2"/>
  <c r="B308" i="1"/>
  <c r="A307" i="1"/>
  <c r="I307" i="1"/>
  <c r="I308" i="1" s="1"/>
  <c r="H197" i="1"/>
  <c r="K308" i="2" l="1"/>
  <c r="K309" i="2" s="1"/>
  <c r="E308" i="2"/>
  <c r="G308" i="2" s="1"/>
  <c r="G307" i="2"/>
  <c r="F308" i="2"/>
  <c r="B309" i="2"/>
  <c r="A308" i="2"/>
  <c r="J188" i="2"/>
  <c r="I189" i="2" s="1"/>
  <c r="A308" i="1"/>
  <c r="B309" i="1"/>
  <c r="F308" i="1"/>
  <c r="F307" i="1"/>
  <c r="C198" i="1"/>
  <c r="G198" i="1"/>
  <c r="J197" i="1"/>
  <c r="D309" i="2" l="1"/>
  <c r="E309" i="2"/>
  <c r="F309" i="2"/>
  <c r="B310" i="2"/>
  <c r="A309" i="2"/>
  <c r="L188" i="2"/>
  <c r="C189" i="2"/>
  <c r="I309" i="1"/>
  <c r="A309" i="1"/>
  <c r="B310" i="1"/>
  <c r="H198" i="1"/>
  <c r="G199" i="1" s="1"/>
  <c r="E310" i="2" l="1"/>
  <c r="G309" i="2"/>
  <c r="D310" i="2"/>
  <c r="K310" i="2"/>
  <c r="F310" i="2"/>
  <c r="B311" i="2"/>
  <c r="A310" i="2"/>
  <c r="J189" i="2"/>
  <c r="I190" i="2" s="1"/>
  <c r="B311" i="1"/>
  <c r="A310" i="1"/>
  <c r="I310" i="1"/>
  <c r="I311" i="1" s="1"/>
  <c r="F310" i="1"/>
  <c r="F309" i="1"/>
  <c r="J198" i="1"/>
  <c r="C199" i="1"/>
  <c r="H199" i="1" s="1"/>
  <c r="J199" i="1" s="1"/>
  <c r="G310" i="2" l="1"/>
  <c r="K311" i="2"/>
  <c r="K312" i="2" s="1"/>
  <c r="D311" i="2"/>
  <c r="E311" i="2"/>
  <c r="F311" i="2"/>
  <c r="B312" i="2"/>
  <c r="D312" i="2" s="1"/>
  <c r="A311" i="2"/>
  <c r="L189" i="2"/>
  <c r="C190" i="2"/>
  <c r="F311" i="1"/>
  <c r="B312" i="1"/>
  <c r="A311" i="1"/>
  <c r="G200" i="1"/>
  <c r="C200" i="1"/>
  <c r="G311" i="2" l="1"/>
  <c r="F312" i="2"/>
  <c r="B313" i="2"/>
  <c r="A312" i="2"/>
  <c r="E312" i="2" s="1"/>
  <c r="J190" i="2"/>
  <c r="I191" i="2" s="1"/>
  <c r="I312" i="1"/>
  <c r="B313" i="1"/>
  <c r="A312" i="1"/>
  <c r="H200" i="1"/>
  <c r="D313" i="2" l="1"/>
  <c r="K313" i="2"/>
  <c r="K314" i="2" s="1"/>
  <c r="G312" i="2"/>
  <c r="E313" i="2"/>
  <c r="F313" i="2"/>
  <c r="B314" i="2"/>
  <c r="D314" i="2" s="1"/>
  <c r="A313" i="2"/>
  <c r="L190" i="2"/>
  <c r="C191" i="2"/>
  <c r="F312" i="1"/>
  <c r="B314" i="1"/>
  <c r="A313" i="1"/>
  <c r="F313" i="1"/>
  <c r="I313" i="1"/>
  <c r="I314" i="1" s="1"/>
  <c r="C201" i="1"/>
  <c r="G201" i="1"/>
  <c r="J200" i="1"/>
  <c r="E314" i="2" l="1"/>
  <c r="G314" i="2" s="1"/>
  <c r="G313" i="2"/>
  <c r="B315" i="2"/>
  <c r="A314" i="2"/>
  <c r="F314" i="2"/>
  <c r="J191" i="2"/>
  <c r="I192" i="2" s="1"/>
  <c r="B315" i="1"/>
  <c r="A314" i="1"/>
  <c r="H201" i="1"/>
  <c r="D315" i="2" l="1"/>
  <c r="K315" i="2"/>
  <c r="K316" i="2" s="1"/>
  <c r="E315" i="2"/>
  <c r="B316" i="2"/>
  <c r="D316" i="2" s="1"/>
  <c r="A315" i="2"/>
  <c r="F315" i="2"/>
  <c r="L191" i="2"/>
  <c r="C192" i="2"/>
  <c r="I315" i="1"/>
  <c r="I316" i="1" s="1"/>
  <c r="B316" i="1"/>
  <c r="A315" i="1"/>
  <c r="F315" i="1"/>
  <c r="F314" i="1"/>
  <c r="C202" i="1"/>
  <c r="J201" i="1"/>
  <c r="G202" i="1"/>
  <c r="E316" i="2" l="1"/>
  <c r="G315" i="2"/>
  <c r="A316" i="2"/>
  <c r="F316" i="2"/>
  <c r="B317" i="2"/>
  <c r="J192" i="2"/>
  <c r="I193" i="2" s="1"/>
  <c r="B317" i="1"/>
  <c r="A316" i="1"/>
  <c r="H202" i="1"/>
  <c r="G316" i="2" l="1"/>
  <c r="D317" i="2"/>
  <c r="E317" i="2"/>
  <c r="K317" i="2"/>
  <c r="K318" i="2" s="1"/>
  <c r="A317" i="2"/>
  <c r="F317" i="2"/>
  <c r="B318" i="2"/>
  <c r="D318" i="2" s="1"/>
  <c r="L192" i="2"/>
  <c r="C193" i="2"/>
  <c r="I317" i="1"/>
  <c r="B318" i="1"/>
  <c r="A317" i="1"/>
  <c r="F317" i="1"/>
  <c r="F316" i="1"/>
  <c r="J202" i="1"/>
  <c r="G203" i="1"/>
  <c r="C203" i="1"/>
  <c r="E318" i="2" l="1"/>
  <c r="G318" i="2" s="1"/>
  <c r="G317" i="2"/>
  <c r="J193" i="2"/>
  <c r="B319" i="2"/>
  <c r="A318" i="2"/>
  <c r="F318" i="2"/>
  <c r="B319" i="1"/>
  <c r="A318" i="1"/>
  <c r="I318" i="1"/>
  <c r="I319" i="1" s="1"/>
  <c r="H203" i="1"/>
  <c r="C194" i="2" l="1"/>
  <c r="I194" i="2"/>
  <c r="D319" i="2"/>
  <c r="K319" i="2"/>
  <c r="K320" i="2" s="1"/>
  <c r="E319" i="2"/>
  <c r="L193" i="2"/>
  <c r="B320" i="2"/>
  <c r="D320" i="2" s="1"/>
  <c r="A319" i="2"/>
  <c r="F319" i="2"/>
  <c r="B320" i="1"/>
  <c r="A319" i="1"/>
  <c r="F319" i="1"/>
  <c r="F318" i="1"/>
  <c r="C204" i="1"/>
  <c r="J203" i="1"/>
  <c r="G204" i="1"/>
  <c r="J194" i="2" l="1"/>
  <c r="L194" i="2" s="1"/>
  <c r="G319" i="2"/>
  <c r="E320" i="2"/>
  <c r="F320" i="2"/>
  <c r="A320" i="2"/>
  <c r="B321" i="2"/>
  <c r="I320" i="1"/>
  <c r="B321" i="1"/>
  <c r="A320" i="1"/>
  <c r="H204" i="1"/>
  <c r="I195" i="2" l="1"/>
  <c r="C195" i="2"/>
  <c r="E321" i="2"/>
  <c r="G320" i="2"/>
  <c r="D321" i="2"/>
  <c r="K321" i="2"/>
  <c r="K322" i="2" s="1"/>
  <c r="B322" i="2"/>
  <c r="F321" i="2"/>
  <c r="A321" i="2"/>
  <c r="B322" i="1"/>
  <c r="A321" i="1"/>
  <c r="I321" i="1"/>
  <c r="I322" i="1" s="1"/>
  <c r="F321" i="1"/>
  <c r="F320" i="1"/>
  <c r="C205" i="1"/>
  <c r="G205" i="1"/>
  <c r="J204" i="1"/>
  <c r="J195" i="2" l="1"/>
  <c r="G321" i="2"/>
  <c r="D322" i="2"/>
  <c r="E322" i="2"/>
  <c r="F322" i="2"/>
  <c r="B323" i="2"/>
  <c r="A322" i="2"/>
  <c r="B323" i="1"/>
  <c r="A322" i="1"/>
  <c r="H205" i="1"/>
  <c r="I196" i="2" l="1"/>
  <c r="L195" i="2"/>
  <c r="C196" i="2"/>
  <c r="E323" i="2"/>
  <c r="G322" i="2"/>
  <c r="D323" i="2"/>
  <c r="K323" i="2"/>
  <c r="F323" i="2"/>
  <c r="A323" i="2"/>
  <c r="B324" i="2"/>
  <c r="I323" i="1"/>
  <c r="I324" i="1" s="1"/>
  <c r="B324" i="1"/>
  <c r="A323" i="1"/>
  <c r="F323" i="1"/>
  <c r="F322" i="1"/>
  <c r="J205" i="1"/>
  <c r="C206" i="1"/>
  <c r="G206" i="1"/>
  <c r="J196" i="2" l="1"/>
  <c r="C197" i="2" s="1"/>
  <c r="G323" i="2"/>
  <c r="K324" i="2"/>
  <c r="K325" i="2" s="1"/>
  <c r="D324" i="2"/>
  <c r="E324" i="2" s="1"/>
  <c r="B325" i="2"/>
  <c r="D325" i="2" s="1"/>
  <c r="A324" i="2"/>
  <c r="F324" i="2"/>
  <c r="B325" i="1"/>
  <c r="A324" i="1"/>
  <c r="H206" i="1"/>
  <c r="I197" i="2" l="1"/>
  <c r="J197" i="2" s="1"/>
  <c r="I198" i="2" s="1"/>
  <c r="L196" i="2"/>
  <c r="E325" i="2"/>
  <c r="G325" i="2" s="1"/>
  <c r="G324" i="2"/>
  <c r="F325" i="2"/>
  <c r="B326" i="2"/>
  <c r="A325" i="2"/>
  <c r="J206" i="1"/>
  <c r="G207" i="1"/>
  <c r="C207" i="1"/>
  <c r="I325" i="1"/>
  <c r="I326" i="1" s="1"/>
  <c r="B326" i="1"/>
  <c r="A325" i="1"/>
  <c r="F325" i="1"/>
  <c r="F324" i="1"/>
  <c r="C198" i="2" l="1"/>
  <c r="L197" i="2"/>
  <c r="D326" i="2"/>
  <c r="K326" i="2"/>
  <c r="E326" i="2"/>
  <c r="A326" i="2"/>
  <c r="F326" i="2"/>
  <c r="B327" i="2"/>
  <c r="D327" i="2" s="1"/>
  <c r="H207" i="1"/>
  <c r="B327" i="1"/>
  <c r="A326" i="1"/>
  <c r="J198" i="2" l="1"/>
  <c r="G326" i="2"/>
  <c r="K327" i="2"/>
  <c r="K328" i="2" s="1"/>
  <c r="E327" i="2"/>
  <c r="F327" i="2"/>
  <c r="B328" i="2"/>
  <c r="D328" i="2" s="1"/>
  <c r="A327" i="2"/>
  <c r="G208" i="1"/>
  <c r="C208" i="1"/>
  <c r="J207" i="1"/>
  <c r="I327" i="1"/>
  <c r="I328" i="1" s="1"/>
  <c r="B328" i="1"/>
  <c r="A327" i="1"/>
  <c r="F327" i="1"/>
  <c r="F326" i="1"/>
  <c r="I199" i="2" l="1"/>
  <c r="C199" i="2"/>
  <c r="L198" i="2"/>
  <c r="G327" i="2"/>
  <c r="E328" i="2"/>
  <c r="B329" i="2"/>
  <c r="A328" i="2"/>
  <c r="F328" i="2"/>
  <c r="H208" i="1"/>
  <c r="B329" i="1"/>
  <c r="A328" i="1"/>
  <c r="J199" i="2" l="1"/>
  <c r="L199" i="2" s="1"/>
  <c r="E329" i="2"/>
  <c r="G328" i="2"/>
  <c r="D329" i="2"/>
  <c r="K329" i="2"/>
  <c r="K330" i="2" s="1"/>
  <c r="F329" i="2"/>
  <c r="B330" i="2"/>
  <c r="A329" i="2"/>
  <c r="G209" i="1"/>
  <c r="J208" i="1"/>
  <c r="C209" i="1"/>
  <c r="H209" i="1" s="1"/>
  <c r="I329" i="1"/>
  <c r="I330" i="1" s="1"/>
  <c r="B330" i="1"/>
  <c r="A329" i="1"/>
  <c r="F329" i="1"/>
  <c r="F328" i="1"/>
  <c r="I200" i="2" l="1"/>
  <c r="C200" i="2"/>
  <c r="G329" i="2"/>
  <c r="D330" i="2"/>
  <c r="E330" i="2"/>
  <c r="F330" i="2"/>
  <c r="B331" i="2"/>
  <c r="A330" i="2"/>
  <c r="J209" i="1"/>
  <c r="C210" i="1"/>
  <c r="G210" i="1"/>
  <c r="H210" i="1" s="1"/>
  <c r="B331" i="1"/>
  <c r="A330" i="1"/>
  <c r="J200" i="2" l="1"/>
  <c r="C201" i="2" s="1"/>
  <c r="E331" i="2"/>
  <c r="G330" i="2"/>
  <c r="D331" i="2"/>
  <c r="K331" i="2"/>
  <c r="K332" i="2" s="1"/>
  <c r="F331" i="2"/>
  <c r="B332" i="2"/>
  <c r="A331" i="2"/>
  <c r="G211" i="1"/>
  <c r="C211" i="1"/>
  <c r="H211" i="1" s="1"/>
  <c r="J210" i="1"/>
  <c r="I331" i="1"/>
  <c r="I332" i="1" s="1"/>
  <c r="B332" i="1"/>
  <c r="A331" i="1"/>
  <c r="F331" i="1"/>
  <c r="F330" i="1"/>
  <c r="I201" i="2" l="1"/>
  <c r="J201" i="2" s="1"/>
  <c r="L200" i="2"/>
  <c r="G331" i="2"/>
  <c r="D332" i="2"/>
  <c r="E332" i="2"/>
  <c r="F332" i="2"/>
  <c r="B333" i="2"/>
  <c r="A332" i="2"/>
  <c r="J211" i="1"/>
  <c r="G212" i="1"/>
  <c r="H212" i="1" s="1"/>
  <c r="J212" i="1" s="1"/>
  <c r="C212" i="1"/>
  <c r="B333" i="1"/>
  <c r="A332" i="1"/>
  <c r="F332" i="1"/>
  <c r="C202" i="2" l="1"/>
  <c r="I202" i="2"/>
  <c r="E333" i="2"/>
  <c r="G332" i="2"/>
  <c r="D333" i="2"/>
  <c r="K333" i="2"/>
  <c r="K334" i="2" s="1"/>
  <c r="L201" i="2"/>
  <c r="F333" i="2"/>
  <c r="B334" i="2"/>
  <c r="A333" i="2"/>
  <c r="G213" i="1"/>
  <c r="C213" i="1"/>
  <c r="H213" i="1" s="1"/>
  <c r="I333" i="1"/>
  <c r="I334" i="1" s="1"/>
  <c r="B334" i="1"/>
  <c r="A333" i="1"/>
  <c r="J202" i="2" l="1"/>
  <c r="C203" i="2" s="1"/>
  <c r="G333" i="2"/>
  <c r="D334" i="2"/>
  <c r="E334" i="2"/>
  <c r="F334" i="2"/>
  <c r="B335" i="2"/>
  <c r="A334" i="2"/>
  <c r="J213" i="1"/>
  <c r="G214" i="1"/>
  <c r="C214" i="1"/>
  <c r="H214" i="1" s="1"/>
  <c r="A334" i="1"/>
  <c r="B335" i="1"/>
  <c r="F334" i="1"/>
  <c r="F333" i="1"/>
  <c r="I203" i="2" l="1"/>
  <c r="J203" i="2" s="1"/>
  <c r="L202" i="2"/>
  <c r="E335" i="2"/>
  <c r="G334" i="2"/>
  <c r="D335" i="2"/>
  <c r="K335" i="2"/>
  <c r="K336" i="2" s="1"/>
  <c r="F335" i="2"/>
  <c r="B336" i="2"/>
  <c r="A335" i="2"/>
  <c r="I335" i="1"/>
  <c r="I336" i="1" s="1"/>
  <c r="F335" i="1"/>
  <c r="B336" i="1"/>
  <c r="A335" i="1"/>
  <c r="C215" i="1"/>
  <c r="J214" i="1"/>
  <c r="G215" i="1"/>
  <c r="L203" i="2" l="1"/>
  <c r="Q3" i="2" s="1"/>
  <c r="C204" i="2"/>
  <c r="I204" i="2"/>
  <c r="G335" i="2"/>
  <c r="D336" i="2"/>
  <c r="E336" i="2" s="1"/>
  <c r="F336" i="2"/>
  <c r="B337" i="2"/>
  <c r="A336" i="2"/>
  <c r="B337" i="1"/>
  <c r="A336" i="1"/>
  <c r="H215" i="1"/>
  <c r="T5" i="2" l="1"/>
  <c r="T6" i="2"/>
  <c r="T3" i="2"/>
  <c r="T4" i="2"/>
  <c r="J204" i="2"/>
  <c r="E337" i="2"/>
  <c r="G337" i="2" s="1"/>
  <c r="G336" i="2"/>
  <c r="D337" i="2"/>
  <c r="K337" i="2"/>
  <c r="K338" i="2" s="1"/>
  <c r="F337" i="2"/>
  <c r="B338" i="2"/>
  <c r="A337" i="2"/>
  <c r="I337" i="1"/>
  <c r="I338" i="1" s="1"/>
  <c r="B338" i="1"/>
  <c r="A337" i="1"/>
  <c r="F337" i="1"/>
  <c r="F336" i="1"/>
  <c r="J215" i="1"/>
  <c r="G216" i="1"/>
  <c r="C216" i="1"/>
  <c r="I205" i="2" l="1"/>
  <c r="C205" i="2"/>
  <c r="L204" i="2"/>
  <c r="D338" i="2"/>
  <c r="E338" i="2"/>
  <c r="F338" i="2"/>
  <c r="B339" i="2"/>
  <c r="A338" i="2"/>
  <c r="B339" i="1"/>
  <c r="A338" i="1"/>
  <c r="H216" i="1"/>
  <c r="J205" i="2" l="1"/>
  <c r="L205" i="2" s="1"/>
  <c r="E339" i="2"/>
  <c r="G339" i="2" s="1"/>
  <c r="G338" i="2"/>
  <c r="D339" i="2"/>
  <c r="K339" i="2"/>
  <c r="K340" i="2" s="1"/>
  <c r="F339" i="2"/>
  <c r="B340" i="2"/>
  <c r="A339" i="2"/>
  <c r="J216" i="1"/>
  <c r="G217" i="1"/>
  <c r="C217" i="1"/>
  <c r="H217" i="1" s="1"/>
  <c r="F338" i="1"/>
  <c r="I339" i="1"/>
  <c r="I340" i="1" s="1"/>
  <c r="B340" i="1"/>
  <c r="A339" i="1"/>
  <c r="F339" i="1"/>
  <c r="C206" i="2" l="1"/>
  <c r="I206" i="2"/>
  <c r="D340" i="2"/>
  <c r="E340" i="2"/>
  <c r="G340" i="2" s="1"/>
  <c r="F340" i="2"/>
  <c r="B341" i="2"/>
  <c r="A340" i="2"/>
  <c r="B341" i="1"/>
  <c r="A340" i="1"/>
  <c r="J217" i="1"/>
  <c r="C218" i="1"/>
  <c r="G218" i="1"/>
  <c r="J206" i="2" l="1"/>
  <c r="E341" i="2"/>
  <c r="D341" i="2"/>
  <c r="K341" i="2"/>
  <c r="K342" i="2" s="1"/>
  <c r="F341" i="2"/>
  <c r="B342" i="2"/>
  <c r="A341" i="2"/>
  <c r="I341" i="1"/>
  <c r="B342" i="1"/>
  <c r="A341" i="1"/>
  <c r="F341" i="1"/>
  <c r="F340" i="1"/>
  <c r="H218" i="1"/>
  <c r="I207" i="2" l="1"/>
  <c r="C207" i="2"/>
  <c r="L206" i="2"/>
  <c r="G341" i="2"/>
  <c r="D342" i="2"/>
  <c r="E342" i="2"/>
  <c r="F342" i="2"/>
  <c r="B343" i="2"/>
  <c r="A342" i="2"/>
  <c r="F342" i="1"/>
  <c r="B343" i="1"/>
  <c r="A342" i="1"/>
  <c r="I342" i="1"/>
  <c r="I343" i="1" s="1"/>
  <c r="C219" i="1"/>
  <c r="G219" i="1"/>
  <c r="J218" i="1"/>
  <c r="J207" i="2" l="1"/>
  <c r="E343" i="2"/>
  <c r="G342" i="2"/>
  <c r="D343" i="2"/>
  <c r="K343" i="2"/>
  <c r="K344" i="2" s="1"/>
  <c r="F343" i="2"/>
  <c r="B344" i="2"/>
  <c r="A343" i="2"/>
  <c r="B344" i="1"/>
  <c r="A343" i="1"/>
  <c r="H219" i="1"/>
  <c r="C220" i="1" s="1"/>
  <c r="I208" i="2" l="1"/>
  <c r="L207" i="2"/>
  <c r="C208" i="2"/>
  <c r="G343" i="2"/>
  <c r="D344" i="2"/>
  <c r="E344" i="2"/>
  <c r="G344" i="2" s="1"/>
  <c r="F344" i="2"/>
  <c r="B345" i="2"/>
  <c r="A344" i="2"/>
  <c r="J219" i="1"/>
  <c r="G220" i="1"/>
  <c r="H220" i="1" s="1"/>
  <c r="I344" i="1"/>
  <c r="I345" i="1" s="1"/>
  <c r="B345" i="1"/>
  <c r="A344" i="1"/>
  <c r="F344" i="1"/>
  <c r="F343" i="1"/>
  <c r="J208" i="2" l="1"/>
  <c r="C209" i="2" s="1"/>
  <c r="E345" i="2"/>
  <c r="G345" i="2" s="1"/>
  <c r="D345" i="2"/>
  <c r="K345" i="2"/>
  <c r="K346" i="2" s="1"/>
  <c r="F345" i="2"/>
  <c r="B346" i="2"/>
  <c r="A345" i="2"/>
  <c r="B346" i="1"/>
  <c r="A345" i="1"/>
  <c r="J220" i="1"/>
  <c r="C221" i="1"/>
  <c r="G221" i="1"/>
  <c r="L208" i="2" l="1"/>
  <c r="I209" i="2"/>
  <c r="J209" i="2" s="1"/>
  <c r="D346" i="2"/>
  <c r="E346" i="2"/>
  <c r="F346" i="2"/>
  <c r="A346" i="2"/>
  <c r="B347" i="2"/>
  <c r="I346" i="1"/>
  <c r="I347" i="1" s="1"/>
  <c r="B347" i="1"/>
  <c r="A346" i="1"/>
  <c r="F346" i="1"/>
  <c r="F345" i="1"/>
  <c r="H221" i="1"/>
  <c r="C210" i="2" l="1"/>
  <c r="I210" i="2"/>
  <c r="L209" i="2"/>
  <c r="E347" i="2"/>
  <c r="G346" i="2"/>
  <c r="D347" i="2"/>
  <c r="K347" i="2"/>
  <c r="F347" i="2"/>
  <c r="A347" i="2"/>
  <c r="B348" i="2"/>
  <c r="F347" i="1"/>
  <c r="B348" i="1"/>
  <c r="A347" i="1"/>
  <c r="J221" i="1"/>
  <c r="C222" i="1"/>
  <c r="G222" i="1"/>
  <c r="J210" i="2" l="1"/>
  <c r="L210" i="2" s="1"/>
  <c r="G347" i="2"/>
  <c r="K348" i="2"/>
  <c r="K349" i="2" s="1"/>
  <c r="D348" i="2"/>
  <c r="E348" i="2" s="1"/>
  <c r="B349" i="2"/>
  <c r="D349" i="2" s="1"/>
  <c r="A348" i="2"/>
  <c r="F348" i="2"/>
  <c r="I348" i="1"/>
  <c r="B349" i="1"/>
  <c r="A348" i="1"/>
  <c r="H222" i="1"/>
  <c r="C211" i="2" l="1"/>
  <c r="I211" i="2"/>
  <c r="E349" i="2"/>
  <c r="G349" i="2" s="1"/>
  <c r="G348" i="2"/>
  <c r="A349" i="2"/>
  <c r="F349" i="2"/>
  <c r="B350" i="2"/>
  <c r="B350" i="1"/>
  <c r="A349" i="1"/>
  <c r="I349" i="1"/>
  <c r="I350" i="1" s="1"/>
  <c r="F349" i="1"/>
  <c r="F348" i="1"/>
  <c r="J222" i="1"/>
  <c r="G223" i="1"/>
  <c r="C223" i="1"/>
  <c r="J211" i="2" l="1"/>
  <c r="C212" i="2" s="1"/>
  <c r="D350" i="2"/>
  <c r="E350" i="2"/>
  <c r="K350" i="2"/>
  <c r="F350" i="2"/>
  <c r="A350" i="2"/>
  <c r="B351" i="2"/>
  <c r="D351" i="2" s="1"/>
  <c r="B351" i="1"/>
  <c r="A350" i="1"/>
  <c r="H223" i="1"/>
  <c r="L211" i="2" l="1"/>
  <c r="I212" i="2"/>
  <c r="J212" i="2" s="1"/>
  <c r="I213" i="2" s="1"/>
  <c r="K351" i="2"/>
  <c r="K352" i="2" s="1"/>
  <c r="E351" i="2"/>
  <c r="G350" i="2"/>
  <c r="F351" i="2"/>
  <c r="A351" i="2"/>
  <c r="B352" i="2"/>
  <c r="C224" i="1"/>
  <c r="J223" i="1"/>
  <c r="G224" i="1"/>
  <c r="I351" i="1"/>
  <c r="A351" i="1"/>
  <c r="B352" i="1"/>
  <c r="F351" i="1"/>
  <c r="F350" i="1"/>
  <c r="C213" i="2" l="1"/>
  <c r="J213" i="2" s="1"/>
  <c r="L212" i="2"/>
  <c r="G351" i="2"/>
  <c r="D352" i="2"/>
  <c r="E352" i="2"/>
  <c r="F352" i="2"/>
  <c r="B353" i="2"/>
  <c r="A352" i="2"/>
  <c r="H224" i="1"/>
  <c r="B353" i="1"/>
  <c r="A352" i="1"/>
  <c r="I352" i="1"/>
  <c r="I353" i="1" s="1"/>
  <c r="I214" i="2" l="1"/>
  <c r="L213" i="2"/>
  <c r="C214" i="2"/>
  <c r="J214" i="2"/>
  <c r="L214" i="2" s="1"/>
  <c r="E353" i="2"/>
  <c r="G352" i="2"/>
  <c r="D353" i="2"/>
  <c r="K353" i="2"/>
  <c r="K354" i="2" s="1"/>
  <c r="F353" i="2"/>
  <c r="A353" i="2"/>
  <c r="B354" i="2"/>
  <c r="J224" i="1"/>
  <c r="C225" i="1"/>
  <c r="G225" i="1"/>
  <c r="B354" i="1"/>
  <c r="A353" i="1"/>
  <c r="F353" i="1"/>
  <c r="F352" i="1"/>
  <c r="I215" i="2" l="1"/>
  <c r="C215" i="2"/>
  <c r="G353" i="2"/>
  <c r="D354" i="2"/>
  <c r="E354" i="2"/>
  <c r="B355" i="2"/>
  <c r="A354" i="2"/>
  <c r="F354" i="2"/>
  <c r="H225" i="1"/>
  <c r="I354" i="1"/>
  <c r="I355" i="1" s="1"/>
  <c r="B355" i="1"/>
  <c r="A354" i="1"/>
  <c r="J215" i="2" l="1"/>
  <c r="L215" i="2" s="1"/>
  <c r="E355" i="2"/>
  <c r="G355" i="2" s="1"/>
  <c r="G354" i="2"/>
  <c r="D355" i="2"/>
  <c r="K355" i="2"/>
  <c r="K356" i="2" s="1"/>
  <c r="B356" i="2"/>
  <c r="A355" i="2"/>
  <c r="F355" i="2"/>
  <c r="J225" i="1"/>
  <c r="G226" i="1"/>
  <c r="C226" i="1"/>
  <c r="H226" i="1" s="1"/>
  <c r="B356" i="1"/>
  <c r="A355" i="1"/>
  <c r="F355" i="1"/>
  <c r="F354" i="1"/>
  <c r="I216" i="2" l="1"/>
  <c r="C216" i="2"/>
  <c r="J216" i="2" s="1"/>
  <c r="D356" i="2"/>
  <c r="E356" i="2"/>
  <c r="B357" i="2"/>
  <c r="A356" i="2"/>
  <c r="F356" i="2"/>
  <c r="I356" i="1"/>
  <c r="B357" i="1"/>
  <c r="A356" i="1"/>
  <c r="G227" i="1"/>
  <c r="J226" i="1"/>
  <c r="C227" i="1"/>
  <c r="L216" i="2" l="1"/>
  <c r="I217" i="2"/>
  <c r="C217" i="2"/>
  <c r="J217" i="2" s="1"/>
  <c r="E357" i="2"/>
  <c r="G357" i="2" s="1"/>
  <c r="G356" i="2"/>
  <c r="D357" i="2"/>
  <c r="K357" i="2"/>
  <c r="K358" i="2" s="1"/>
  <c r="F357" i="2"/>
  <c r="B358" i="2"/>
  <c r="A357" i="2"/>
  <c r="B358" i="1"/>
  <c r="A357" i="1"/>
  <c r="I357" i="1"/>
  <c r="I358" i="1" s="1"/>
  <c r="F357" i="1"/>
  <c r="F356" i="1"/>
  <c r="H227" i="1"/>
  <c r="I218" i="2" l="1"/>
  <c r="L217" i="2"/>
  <c r="C218" i="2"/>
  <c r="J218" i="2" s="1"/>
  <c r="I219" i="2" s="1"/>
  <c r="D358" i="2"/>
  <c r="E358" i="2"/>
  <c r="F358" i="2"/>
  <c r="B359" i="2"/>
  <c r="A358" i="2"/>
  <c r="B359" i="1"/>
  <c r="A358" i="1"/>
  <c r="J227" i="1"/>
  <c r="G228" i="1"/>
  <c r="C228" i="1"/>
  <c r="E359" i="2" l="1"/>
  <c r="G358" i="2"/>
  <c r="D359" i="2"/>
  <c r="K359" i="2"/>
  <c r="K360" i="2" s="1"/>
  <c r="C219" i="2"/>
  <c r="J219" i="2" s="1"/>
  <c r="I220" i="2" s="1"/>
  <c r="L218" i="2"/>
  <c r="F359" i="2"/>
  <c r="B360" i="2"/>
  <c r="A359" i="2"/>
  <c r="I359" i="1"/>
  <c r="I360" i="1" s="1"/>
  <c r="A359" i="1"/>
  <c r="B360" i="1"/>
  <c r="F359" i="1"/>
  <c r="F358" i="1"/>
  <c r="H228" i="1"/>
  <c r="G359" i="2" l="1"/>
  <c r="D360" i="2"/>
  <c r="E360" i="2" s="1"/>
  <c r="C220" i="2"/>
  <c r="L219" i="2"/>
  <c r="A360" i="2"/>
  <c r="B361" i="2"/>
  <c r="F360" i="2"/>
  <c r="B361" i="1"/>
  <c r="A360" i="1"/>
  <c r="G229" i="1"/>
  <c r="J228" i="1"/>
  <c r="C229" i="1"/>
  <c r="E361" i="2" l="1"/>
  <c r="G361" i="2" s="1"/>
  <c r="G360" i="2"/>
  <c r="D361" i="2"/>
  <c r="K361" i="2"/>
  <c r="J220" i="2"/>
  <c r="I221" i="2" s="1"/>
  <c r="A361" i="2"/>
  <c r="B362" i="2"/>
  <c r="F361" i="2"/>
  <c r="I361" i="1"/>
  <c r="I362" i="1" s="1"/>
  <c r="B362" i="1"/>
  <c r="A361" i="1"/>
  <c r="H229" i="1"/>
  <c r="G230" i="1" s="1"/>
  <c r="F361" i="1"/>
  <c r="F360" i="1"/>
  <c r="K362" i="2" l="1"/>
  <c r="K363" i="2" s="1"/>
  <c r="D362" i="2"/>
  <c r="E362" i="2"/>
  <c r="L220" i="2"/>
  <c r="C221" i="2"/>
  <c r="J221" i="2" s="1"/>
  <c r="I222" i="2" s="1"/>
  <c r="B363" i="2"/>
  <c r="D363" i="2" s="1"/>
  <c r="F362" i="2"/>
  <c r="A362" i="2"/>
  <c r="J229" i="1"/>
  <c r="C230" i="1"/>
  <c r="H230" i="1" s="1"/>
  <c r="A362" i="1"/>
  <c r="B363" i="1"/>
  <c r="E363" i="2" l="1"/>
  <c r="G362" i="2"/>
  <c r="A363" i="2"/>
  <c r="F363" i="2"/>
  <c r="B364" i="2"/>
  <c r="L221" i="2"/>
  <c r="C222" i="2"/>
  <c r="I363" i="1"/>
  <c r="I364" i="1" s="1"/>
  <c r="B364" i="1"/>
  <c r="A363" i="1"/>
  <c r="F363" i="1"/>
  <c r="F362" i="1"/>
  <c r="G231" i="1"/>
  <c r="J230" i="1"/>
  <c r="C231" i="1"/>
  <c r="G363" i="2" l="1"/>
  <c r="D364" i="2"/>
  <c r="K364" i="2"/>
  <c r="K365" i="2" s="1"/>
  <c r="E364" i="2"/>
  <c r="G364" i="2" s="1"/>
  <c r="F364" i="2"/>
  <c r="B365" i="2"/>
  <c r="D365" i="2" s="1"/>
  <c r="A364" i="2"/>
  <c r="J222" i="2"/>
  <c r="I223" i="2" s="1"/>
  <c r="B365" i="1"/>
  <c r="A364" i="1"/>
  <c r="H231" i="1"/>
  <c r="E365" i="2" l="1"/>
  <c r="G365" i="2" s="1"/>
  <c r="F365" i="2"/>
  <c r="B366" i="2"/>
  <c r="A365" i="2"/>
  <c r="L222" i="2"/>
  <c r="C223" i="2"/>
  <c r="I365" i="1"/>
  <c r="I366" i="1" s="1"/>
  <c r="B366" i="1"/>
  <c r="A365" i="1"/>
  <c r="F365" i="1"/>
  <c r="F364" i="1"/>
  <c r="C232" i="1"/>
  <c r="G232" i="1"/>
  <c r="J231" i="1"/>
  <c r="D366" i="2" l="1"/>
  <c r="E366" i="2"/>
  <c r="K366" i="2"/>
  <c r="K367" i="2" s="1"/>
  <c r="F366" i="2"/>
  <c r="B367" i="2"/>
  <c r="D367" i="2" s="1"/>
  <c r="A366" i="2"/>
  <c r="J223" i="2"/>
  <c r="I224" i="2" s="1"/>
  <c r="B367" i="1"/>
  <c r="A366" i="1"/>
  <c r="H232" i="1"/>
  <c r="E367" i="2" l="1"/>
  <c r="G366" i="2"/>
  <c r="B368" i="2"/>
  <c r="A367" i="2"/>
  <c r="F367" i="2"/>
  <c r="L223" i="2"/>
  <c r="C224" i="2"/>
  <c r="I367" i="1"/>
  <c r="I368" i="1" s="1"/>
  <c r="B368" i="1"/>
  <c r="A367" i="1"/>
  <c r="F367" i="1"/>
  <c r="F366" i="1"/>
  <c r="C233" i="1"/>
  <c r="G233" i="1"/>
  <c r="J232" i="1"/>
  <c r="G367" i="2" l="1"/>
  <c r="D368" i="2"/>
  <c r="E368" i="2"/>
  <c r="K368" i="2"/>
  <c r="A368" i="2"/>
  <c r="F368" i="2"/>
  <c r="B369" i="2"/>
  <c r="D369" i="2" s="1"/>
  <c r="J224" i="2"/>
  <c r="I225" i="2" s="1"/>
  <c r="B369" i="1"/>
  <c r="A368" i="1"/>
  <c r="H233" i="1"/>
  <c r="K369" i="2" l="1"/>
  <c r="K370" i="2" s="1"/>
  <c r="E369" i="2"/>
  <c r="G368" i="2"/>
  <c r="A369" i="2"/>
  <c r="F369" i="2"/>
  <c r="B370" i="2"/>
  <c r="L224" i="2"/>
  <c r="C225" i="2"/>
  <c r="I369" i="1"/>
  <c r="I370" i="1" s="1"/>
  <c r="A369" i="1"/>
  <c r="B370" i="1"/>
  <c r="F369" i="1"/>
  <c r="F368" i="1"/>
  <c r="G234" i="1"/>
  <c r="C234" i="1"/>
  <c r="J233" i="1"/>
  <c r="G369" i="2" l="1"/>
  <c r="D370" i="2"/>
  <c r="E370" i="2"/>
  <c r="F370" i="2"/>
  <c r="A370" i="2"/>
  <c r="B371" i="2"/>
  <c r="J225" i="2"/>
  <c r="I226" i="2" s="1"/>
  <c r="B371" i="1"/>
  <c r="A370" i="1"/>
  <c r="H234" i="1"/>
  <c r="E371" i="2" l="1"/>
  <c r="G370" i="2"/>
  <c r="D371" i="2"/>
  <c r="K371" i="2"/>
  <c r="A371" i="2"/>
  <c r="F371" i="2"/>
  <c r="B372" i="2"/>
  <c r="L225" i="2"/>
  <c r="C226" i="2"/>
  <c r="G235" i="1"/>
  <c r="J234" i="1"/>
  <c r="C235" i="1"/>
  <c r="H235" i="1" s="1"/>
  <c r="I371" i="1"/>
  <c r="I372" i="1" s="1"/>
  <c r="B372" i="1"/>
  <c r="A371" i="1"/>
  <c r="F371" i="1"/>
  <c r="F370" i="1"/>
  <c r="G371" i="2" l="1"/>
  <c r="K372" i="2"/>
  <c r="K373" i="2" s="1"/>
  <c r="D372" i="2"/>
  <c r="E372" i="2" s="1"/>
  <c r="J226" i="2"/>
  <c r="I227" i="2" s="1"/>
  <c r="A372" i="2"/>
  <c r="F372" i="2"/>
  <c r="B373" i="2"/>
  <c r="D373" i="2" s="1"/>
  <c r="B373" i="1"/>
  <c r="A372" i="1"/>
  <c r="C236" i="1"/>
  <c r="J235" i="1"/>
  <c r="G236" i="1"/>
  <c r="E373" i="2" l="1"/>
  <c r="G373" i="2" s="1"/>
  <c r="G372" i="2"/>
  <c r="C227" i="2"/>
  <c r="J227" i="2" s="1"/>
  <c r="I228" i="2" s="1"/>
  <c r="L226" i="2"/>
  <c r="B374" i="2"/>
  <c r="A373" i="2"/>
  <c r="F373" i="2"/>
  <c r="I373" i="1"/>
  <c r="I374" i="1" s="1"/>
  <c r="A373" i="1"/>
  <c r="B374" i="1"/>
  <c r="H236" i="1"/>
  <c r="F373" i="1"/>
  <c r="F372" i="1"/>
  <c r="D374" i="2" l="1"/>
  <c r="K374" i="2"/>
  <c r="E374" i="2"/>
  <c r="A374" i="2"/>
  <c r="F374" i="2"/>
  <c r="B375" i="2"/>
  <c r="D375" i="2" s="1"/>
  <c r="L227" i="2"/>
  <c r="C228" i="2"/>
  <c r="J236" i="1"/>
  <c r="C237" i="1"/>
  <c r="G237" i="1"/>
  <c r="H237" i="1" s="1"/>
  <c r="B375" i="1"/>
  <c r="A374" i="1"/>
  <c r="G374" i="2" l="1"/>
  <c r="K375" i="2"/>
  <c r="K376" i="2" s="1"/>
  <c r="E375" i="2"/>
  <c r="J228" i="2"/>
  <c r="I229" i="2" s="1"/>
  <c r="B376" i="2"/>
  <c r="D376" i="2" s="1"/>
  <c r="A375" i="2"/>
  <c r="F375" i="2"/>
  <c r="I375" i="1"/>
  <c r="I376" i="1" s="1"/>
  <c r="B376" i="1"/>
  <c r="A375" i="1"/>
  <c r="F375" i="1"/>
  <c r="F374" i="1"/>
  <c r="J237" i="1"/>
  <c r="C238" i="1"/>
  <c r="G238" i="1"/>
  <c r="E376" i="2" l="1"/>
  <c r="G375" i="2"/>
  <c r="L228" i="2"/>
  <c r="C229" i="2"/>
  <c r="B377" i="2"/>
  <c r="A376" i="2"/>
  <c r="F376" i="2"/>
  <c r="B377" i="1"/>
  <c r="A376" i="1"/>
  <c r="H238" i="1"/>
  <c r="G376" i="2" l="1"/>
  <c r="J229" i="2"/>
  <c r="I230" i="2" s="1"/>
  <c r="D377" i="2"/>
  <c r="K377" i="2"/>
  <c r="K378" i="2" s="1"/>
  <c r="E377" i="2"/>
  <c r="F377" i="2"/>
  <c r="B378" i="2"/>
  <c r="D378" i="2" s="1"/>
  <c r="A377" i="2"/>
  <c r="I377" i="1"/>
  <c r="I378" i="1" s="1"/>
  <c r="B378" i="1"/>
  <c r="A377" i="1"/>
  <c r="F377" i="1"/>
  <c r="F376" i="1"/>
  <c r="J238" i="1"/>
  <c r="C239" i="1"/>
  <c r="G239" i="1"/>
  <c r="L229" i="2" l="1"/>
  <c r="C230" i="2"/>
  <c r="J230" i="2" s="1"/>
  <c r="I231" i="2" s="1"/>
  <c r="E378" i="2"/>
  <c r="G377" i="2"/>
  <c r="F378" i="2"/>
  <c r="B379" i="2"/>
  <c r="A378" i="2"/>
  <c r="B379" i="1"/>
  <c r="A378" i="1"/>
  <c r="H239" i="1"/>
  <c r="G378" i="2" l="1"/>
  <c r="D379" i="2"/>
  <c r="K379" i="2"/>
  <c r="K380" i="2" s="1"/>
  <c r="E379" i="2"/>
  <c r="F379" i="2"/>
  <c r="B380" i="2"/>
  <c r="D380" i="2" s="1"/>
  <c r="A379" i="2"/>
  <c r="L230" i="2"/>
  <c r="C231" i="2"/>
  <c r="F378" i="1"/>
  <c r="I379" i="1"/>
  <c r="I380" i="1" s="1"/>
  <c r="B380" i="1"/>
  <c r="A379" i="1"/>
  <c r="F379" i="1"/>
  <c r="C240" i="1"/>
  <c r="J239" i="1"/>
  <c r="G240" i="1"/>
  <c r="E380" i="2" l="1"/>
  <c r="G379" i="2"/>
  <c r="F380" i="2"/>
  <c r="B381" i="2"/>
  <c r="A380" i="2"/>
  <c r="J231" i="2"/>
  <c r="I232" i="2" s="1"/>
  <c r="H240" i="1"/>
  <c r="B381" i="1"/>
  <c r="A380" i="1"/>
  <c r="G380" i="2" l="1"/>
  <c r="D381" i="2"/>
  <c r="K381" i="2"/>
  <c r="E381" i="2"/>
  <c r="G381" i="2" s="1"/>
  <c r="F381" i="2"/>
  <c r="B382" i="2"/>
  <c r="D382" i="2" s="1"/>
  <c r="A381" i="2"/>
  <c r="L231" i="2"/>
  <c r="C232" i="2"/>
  <c r="C241" i="1"/>
  <c r="J240" i="1"/>
  <c r="G241" i="1"/>
  <c r="I381" i="1"/>
  <c r="B382" i="1"/>
  <c r="A381" i="1"/>
  <c r="F381" i="1"/>
  <c r="F380" i="1"/>
  <c r="K382" i="2" l="1"/>
  <c r="E382" i="2"/>
  <c r="G382" i="2" s="1"/>
  <c r="F382" i="2"/>
  <c r="B383" i="2"/>
  <c r="D383" i="2" s="1"/>
  <c r="A382" i="2"/>
  <c r="J232" i="2"/>
  <c r="I233" i="2" s="1"/>
  <c r="H241" i="1"/>
  <c r="B383" i="1"/>
  <c r="A382" i="1"/>
  <c r="I382" i="1"/>
  <c r="I383" i="1" s="1"/>
  <c r="E383" i="2" l="1"/>
  <c r="G383" i="2" s="1"/>
  <c r="K383" i="2"/>
  <c r="F383" i="2"/>
  <c r="B384" i="2"/>
  <c r="D384" i="2" s="1"/>
  <c r="A383" i="2"/>
  <c r="L232" i="2"/>
  <c r="C233" i="2"/>
  <c r="J241" i="1"/>
  <c r="C242" i="1"/>
  <c r="G242" i="1"/>
  <c r="B384" i="1"/>
  <c r="A383" i="1"/>
  <c r="F383" i="1"/>
  <c r="F382" i="1"/>
  <c r="E384" i="2" l="1"/>
  <c r="K384" i="2"/>
  <c r="J233" i="2"/>
  <c r="F384" i="2"/>
  <c r="B385" i="2"/>
  <c r="D385" i="2" s="1"/>
  <c r="A384" i="2"/>
  <c r="H242" i="1"/>
  <c r="I384" i="1"/>
  <c r="I385" i="1" s="1"/>
  <c r="B385" i="1"/>
  <c r="A384" i="1"/>
  <c r="L233" i="2" l="1"/>
  <c r="I234" i="2"/>
  <c r="E385" i="2"/>
  <c r="K385" i="2"/>
  <c r="G384" i="2"/>
  <c r="C234" i="2"/>
  <c r="B386" i="2"/>
  <c r="A385" i="2"/>
  <c r="F385" i="2"/>
  <c r="C243" i="1"/>
  <c r="G243" i="1"/>
  <c r="J242" i="1"/>
  <c r="B386" i="1"/>
  <c r="A385" i="1"/>
  <c r="F385" i="1"/>
  <c r="F384" i="1"/>
  <c r="G385" i="2" l="1"/>
  <c r="K386" i="2"/>
  <c r="D386" i="2"/>
  <c r="E386" i="2"/>
  <c r="J234" i="2"/>
  <c r="I235" i="2" s="1"/>
  <c r="B387" i="2"/>
  <c r="D387" i="2" s="1"/>
  <c r="A386" i="2"/>
  <c r="F386" i="2"/>
  <c r="H243" i="1"/>
  <c r="I386" i="1"/>
  <c r="I387" i="1" s="1"/>
  <c r="F386" i="1"/>
  <c r="B387" i="1"/>
  <c r="A386" i="1"/>
  <c r="G386" i="2" l="1"/>
  <c r="E387" i="2"/>
  <c r="K387" i="2"/>
  <c r="L234" i="2"/>
  <c r="C235" i="2"/>
  <c r="A387" i="2"/>
  <c r="F387" i="2"/>
  <c r="B388" i="2"/>
  <c r="D388" i="2" s="1"/>
  <c r="C244" i="1"/>
  <c r="J243" i="1"/>
  <c r="G244" i="1"/>
  <c r="B388" i="1"/>
  <c r="A387" i="1"/>
  <c r="K388" i="2" l="1"/>
  <c r="E388" i="2"/>
  <c r="G388" i="2" s="1"/>
  <c r="G387" i="2"/>
  <c r="J235" i="2"/>
  <c r="I236" i="2" s="1"/>
  <c r="B389" i="2"/>
  <c r="A388" i="2"/>
  <c r="F388" i="2"/>
  <c r="H244" i="1"/>
  <c r="I388" i="1"/>
  <c r="I389" i="1" s="1"/>
  <c r="A388" i="1"/>
  <c r="B389" i="1"/>
  <c r="F388" i="1"/>
  <c r="F387" i="1"/>
  <c r="K389" i="2" l="1"/>
  <c r="D389" i="2"/>
  <c r="E389" i="2"/>
  <c r="G389" i="2" s="1"/>
  <c r="L235" i="2"/>
  <c r="C236" i="2"/>
  <c r="F389" i="2"/>
  <c r="A389" i="2"/>
  <c r="B390" i="2"/>
  <c r="D390" i="2" s="1"/>
  <c r="J244" i="1"/>
  <c r="C245" i="1"/>
  <c r="G245" i="1"/>
  <c r="F389" i="1"/>
  <c r="B390" i="1"/>
  <c r="A389" i="1"/>
  <c r="J236" i="2" l="1"/>
  <c r="I237" i="2" s="1"/>
  <c r="E390" i="2"/>
  <c r="G390" i="2" s="1"/>
  <c r="K390" i="2"/>
  <c r="F390" i="2"/>
  <c r="A390" i="2"/>
  <c r="B391" i="2"/>
  <c r="D391" i="2" s="1"/>
  <c r="H245" i="1"/>
  <c r="I390" i="1"/>
  <c r="I391" i="1" s="1"/>
  <c r="B391" i="1"/>
  <c r="A390" i="1"/>
  <c r="F390" i="1"/>
  <c r="C237" i="2" l="1"/>
  <c r="J237" i="2" s="1"/>
  <c r="L236" i="2"/>
  <c r="E391" i="2"/>
  <c r="G391" i="2" s="1"/>
  <c r="K391" i="2"/>
  <c r="F391" i="2"/>
  <c r="B392" i="2"/>
  <c r="D392" i="2" s="1"/>
  <c r="A391" i="2"/>
  <c r="J245" i="1"/>
  <c r="G246" i="1"/>
  <c r="C246" i="1"/>
  <c r="H246" i="1" s="1"/>
  <c r="B392" i="1"/>
  <c r="A391" i="1"/>
  <c r="F391" i="1"/>
  <c r="L237" i="2" l="1"/>
  <c r="I238" i="2"/>
  <c r="E392" i="2"/>
  <c r="G392" i="2" s="1"/>
  <c r="K392" i="2"/>
  <c r="C238" i="2"/>
  <c r="F392" i="2"/>
  <c r="B393" i="2"/>
  <c r="D393" i="2" s="1"/>
  <c r="A392" i="2"/>
  <c r="J246" i="1"/>
  <c r="G247" i="1"/>
  <c r="C247" i="1"/>
  <c r="I392" i="1"/>
  <c r="I393" i="1" s="1"/>
  <c r="B393" i="1"/>
  <c r="A392" i="1"/>
  <c r="F392" i="1"/>
  <c r="E393" i="2" l="1"/>
  <c r="K393" i="2"/>
  <c r="K394" i="2" s="1"/>
  <c r="J238" i="2"/>
  <c r="I239" i="2" s="1"/>
  <c r="F393" i="2"/>
  <c r="B394" i="2"/>
  <c r="D394" i="2" s="1"/>
  <c r="A393" i="2"/>
  <c r="H247" i="1"/>
  <c r="B394" i="1"/>
  <c r="A393" i="1"/>
  <c r="E394" i="2" l="1"/>
  <c r="G394" i="2" s="1"/>
  <c r="G393" i="2"/>
  <c r="C239" i="2"/>
  <c r="J239" i="2" s="1"/>
  <c r="I240" i="2" s="1"/>
  <c r="L238" i="2"/>
  <c r="F394" i="2"/>
  <c r="B395" i="2"/>
  <c r="A394" i="2"/>
  <c r="G248" i="1"/>
  <c r="C248" i="1"/>
  <c r="H248" i="1" s="1"/>
  <c r="J247" i="1"/>
  <c r="I394" i="1"/>
  <c r="B395" i="1"/>
  <c r="A394" i="1"/>
  <c r="F394" i="1"/>
  <c r="F393" i="1"/>
  <c r="D395" i="2" l="1"/>
  <c r="E395" i="2"/>
  <c r="K395" i="2"/>
  <c r="L239" i="2"/>
  <c r="C240" i="2"/>
  <c r="F395" i="2"/>
  <c r="A395" i="2"/>
  <c r="J248" i="1"/>
  <c r="C249" i="1"/>
  <c r="G249" i="1"/>
  <c r="A395" i="1"/>
  <c r="F395" i="1"/>
  <c r="I395" i="1"/>
  <c r="G395" i="2" l="1"/>
  <c r="P3" i="2"/>
  <c r="J240" i="2"/>
  <c r="I241" i="2" s="1"/>
  <c r="H249" i="1"/>
  <c r="L240" i="2" l="1"/>
  <c r="C241" i="2"/>
  <c r="J249" i="1"/>
  <c r="G250" i="1"/>
  <c r="C250" i="1"/>
  <c r="J241" i="2" l="1"/>
  <c r="I242" i="2" s="1"/>
  <c r="H250" i="1"/>
  <c r="C242" i="2" l="1"/>
  <c r="L241" i="2"/>
  <c r="C251" i="1"/>
  <c r="J250" i="1"/>
  <c r="G251" i="1"/>
  <c r="J242" i="2" l="1"/>
  <c r="I243" i="2" s="1"/>
  <c r="H251" i="1"/>
  <c r="C243" i="2" l="1"/>
  <c r="L242" i="2"/>
  <c r="C252" i="1"/>
  <c r="G252" i="1"/>
  <c r="H252" i="1" s="1"/>
  <c r="J251" i="1"/>
  <c r="J243" i="2" l="1"/>
  <c r="I244" i="2" s="1"/>
  <c r="C253" i="1"/>
  <c r="J252" i="1"/>
  <c r="G253" i="1"/>
  <c r="L243" i="2" l="1"/>
  <c r="C244" i="2"/>
  <c r="H253" i="1"/>
  <c r="J244" i="2" l="1"/>
  <c r="C254" i="1"/>
  <c r="G254" i="1"/>
  <c r="J253" i="1"/>
  <c r="L244" i="2" l="1"/>
  <c r="I245" i="2"/>
  <c r="C245" i="2"/>
  <c r="H254" i="1"/>
  <c r="J245" i="2" l="1"/>
  <c r="I246" i="2" s="1"/>
  <c r="G255" i="1"/>
  <c r="C255" i="1"/>
  <c r="H255" i="1" s="1"/>
  <c r="J254" i="1"/>
  <c r="L245" i="2" l="1"/>
  <c r="C246" i="2"/>
  <c r="C256" i="1"/>
  <c r="J255" i="1"/>
  <c r="G256" i="1"/>
  <c r="J246" i="2" l="1"/>
  <c r="H256" i="1"/>
  <c r="I247" i="2" l="1"/>
  <c r="C247" i="2"/>
  <c r="L246" i="2"/>
  <c r="C257" i="1"/>
  <c r="G257" i="1"/>
  <c r="J256" i="1"/>
  <c r="J247" i="2" l="1"/>
  <c r="H257" i="1"/>
  <c r="I248" i="2" l="1"/>
  <c r="C248" i="2"/>
  <c r="L247" i="2"/>
  <c r="J257" i="1"/>
  <c r="C258" i="1"/>
  <c r="G258" i="1"/>
  <c r="J248" i="2" l="1"/>
  <c r="H258" i="1"/>
  <c r="L248" i="2" l="1"/>
  <c r="I249" i="2"/>
  <c r="C249" i="2"/>
  <c r="J258" i="1"/>
  <c r="G259" i="1"/>
  <c r="C259" i="1"/>
  <c r="H259" i="1" s="1"/>
  <c r="J249" i="2" l="1"/>
  <c r="L249" i="2" s="1"/>
  <c r="C260" i="1"/>
  <c r="H260" i="1" s="1"/>
  <c r="J259" i="1"/>
  <c r="G260" i="1"/>
  <c r="I250" i="2" l="1"/>
  <c r="C250" i="2"/>
  <c r="C261" i="1"/>
  <c r="G261" i="1"/>
  <c r="J260" i="1"/>
  <c r="J250" i="2" l="1"/>
  <c r="C251" i="2" s="1"/>
  <c r="H261" i="1"/>
  <c r="I251" i="2" l="1"/>
  <c r="J251" i="2" s="1"/>
  <c r="L250" i="2"/>
  <c r="J261" i="1"/>
  <c r="G262" i="1"/>
  <c r="C262" i="1"/>
  <c r="H262" i="1" s="1"/>
  <c r="L251" i="2" l="1"/>
  <c r="C252" i="2"/>
  <c r="I252" i="2"/>
  <c r="J262" i="1"/>
  <c r="C263" i="1"/>
  <c r="H263" i="1" s="1"/>
  <c r="G263" i="1"/>
  <c r="J252" i="2" l="1"/>
  <c r="C253" i="2" s="1"/>
  <c r="G264" i="1"/>
  <c r="J263" i="1"/>
  <c r="C264" i="1"/>
  <c r="I253" i="2" l="1"/>
  <c r="J253" i="2" s="1"/>
  <c r="I254" i="2" s="1"/>
  <c r="L252" i="2"/>
  <c r="H264" i="1"/>
  <c r="C254" i="2" l="1"/>
  <c r="L253" i="2"/>
  <c r="G265" i="1"/>
  <c r="H265" i="1" s="1"/>
  <c r="J264" i="1"/>
  <c r="C265" i="1"/>
  <c r="J254" i="2" l="1"/>
  <c r="I255" i="2" s="1"/>
  <c r="G266" i="1"/>
  <c r="J265" i="1"/>
  <c r="C266" i="1"/>
  <c r="H266" i="1" s="1"/>
  <c r="C255" i="2" l="1"/>
  <c r="L254" i="2"/>
  <c r="G267" i="1"/>
  <c r="C267" i="1"/>
  <c r="H267" i="1" s="1"/>
  <c r="J266" i="1"/>
  <c r="J255" i="2" l="1"/>
  <c r="I256" i="2" s="1"/>
  <c r="G268" i="1"/>
  <c r="J267" i="1"/>
  <c r="C268" i="1"/>
  <c r="C256" i="2" l="1"/>
  <c r="J256" i="2" s="1"/>
  <c r="I257" i="2" s="1"/>
  <c r="L255" i="2"/>
  <c r="H268" i="1"/>
  <c r="L256" i="2" l="1"/>
  <c r="C257" i="2"/>
  <c r="C269" i="1"/>
  <c r="H269" i="1" s="1"/>
  <c r="G269" i="1"/>
  <c r="J268" i="1"/>
  <c r="J257" i="2" l="1"/>
  <c r="J269" i="1"/>
  <c r="C270" i="1"/>
  <c r="G270" i="1"/>
  <c r="L257" i="2" l="1"/>
  <c r="I258" i="2"/>
  <c r="C258" i="2"/>
  <c r="H270" i="1"/>
  <c r="J258" i="2" l="1"/>
  <c r="C271" i="1"/>
  <c r="G271" i="1"/>
  <c r="J270" i="1"/>
  <c r="I259" i="2" l="1"/>
  <c r="C259" i="2"/>
  <c r="L258" i="2"/>
  <c r="H271" i="1"/>
  <c r="J259" i="2" l="1"/>
  <c r="C272" i="1"/>
  <c r="J271" i="1"/>
  <c r="G272" i="1"/>
  <c r="I260" i="2" l="1"/>
  <c r="L259" i="2"/>
  <c r="C260" i="2"/>
  <c r="H272" i="1"/>
  <c r="J260" i="2" l="1"/>
  <c r="G273" i="1"/>
  <c r="C273" i="1"/>
  <c r="H273" i="1" s="1"/>
  <c r="J272" i="1"/>
  <c r="I261" i="2" l="1"/>
  <c r="L260" i="2"/>
  <c r="C261" i="2"/>
  <c r="G274" i="1"/>
  <c r="C274" i="1"/>
  <c r="J273" i="1"/>
  <c r="J261" i="2" l="1"/>
  <c r="I262" i="2" s="1"/>
  <c r="H274" i="1"/>
  <c r="C262" i="2" l="1"/>
  <c r="J262" i="2" s="1"/>
  <c r="L261" i="2"/>
  <c r="C275" i="1"/>
  <c r="G275" i="1"/>
  <c r="J274" i="1"/>
  <c r="I263" i="2" l="1"/>
  <c r="C263" i="2"/>
  <c r="L262" i="2"/>
  <c r="H275" i="1"/>
  <c r="J263" i="2" l="1"/>
  <c r="I264" i="2" s="1"/>
  <c r="C276" i="1"/>
  <c r="J275" i="1"/>
  <c r="G276" i="1"/>
  <c r="H276" i="1" s="1"/>
  <c r="L263" i="2" l="1"/>
  <c r="C264" i="2"/>
  <c r="J264" i="2" s="1"/>
  <c r="C277" i="1"/>
  <c r="J276" i="1"/>
  <c r="G277" i="1"/>
  <c r="C265" i="2" l="1"/>
  <c r="L264" i="2"/>
  <c r="I265" i="2"/>
  <c r="H277" i="1"/>
  <c r="J265" i="2" l="1"/>
  <c r="C266" i="2" s="1"/>
  <c r="J277" i="1"/>
  <c r="G278" i="1"/>
  <c r="C278" i="1"/>
  <c r="H278" i="1" s="1"/>
  <c r="I266" i="2" l="1"/>
  <c r="J266" i="2" s="1"/>
  <c r="C267" i="2" s="1"/>
  <c r="L265" i="2"/>
  <c r="J278" i="1"/>
  <c r="G279" i="1"/>
  <c r="H279" i="1" s="1"/>
  <c r="C279" i="1"/>
  <c r="L266" i="2" l="1"/>
  <c r="I267" i="2"/>
  <c r="J267" i="2" s="1"/>
  <c r="J279" i="1"/>
  <c r="C280" i="1"/>
  <c r="G280" i="1"/>
  <c r="I268" i="2" l="1"/>
  <c r="C268" i="2"/>
  <c r="L267" i="2"/>
  <c r="H280" i="1"/>
  <c r="J268" i="2" l="1"/>
  <c r="C281" i="1"/>
  <c r="G281" i="1"/>
  <c r="J280" i="1"/>
  <c r="C269" i="2" l="1"/>
  <c r="I269" i="2"/>
  <c r="L268" i="2"/>
  <c r="H281" i="1"/>
  <c r="J269" i="2" l="1"/>
  <c r="G282" i="1"/>
  <c r="J281" i="1"/>
  <c r="C282" i="1"/>
  <c r="L269" i="2" l="1"/>
  <c r="C270" i="2"/>
  <c r="I270" i="2"/>
  <c r="H282" i="1"/>
  <c r="J270" i="2" l="1"/>
  <c r="J282" i="1"/>
  <c r="C283" i="1"/>
  <c r="G283" i="1"/>
  <c r="H283" i="1" s="1"/>
  <c r="I271" i="2" l="1"/>
  <c r="C271" i="2"/>
  <c r="L270" i="2"/>
  <c r="J283" i="1"/>
  <c r="C284" i="1"/>
  <c r="G284" i="1"/>
  <c r="J271" i="2" l="1"/>
  <c r="H284" i="1"/>
  <c r="I272" i="2" l="1"/>
  <c r="L271" i="2"/>
  <c r="C272" i="2"/>
  <c r="J284" i="1"/>
  <c r="G285" i="1"/>
  <c r="C285" i="1"/>
  <c r="J272" i="2" l="1"/>
  <c r="H285" i="1"/>
  <c r="L272" i="2" l="1"/>
  <c r="C273" i="2"/>
  <c r="I273" i="2"/>
  <c r="J285" i="1"/>
  <c r="C286" i="1"/>
  <c r="G286" i="1"/>
  <c r="J273" i="2" l="1"/>
  <c r="H286" i="1"/>
  <c r="I274" i="2" l="1"/>
  <c r="C274" i="2"/>
  <c r="L273" i="2"/>
  <c r="G287" i="1"/>
  <c r="J286" i="1"/>
  <c r="C287" i="1"/>
  <c r="J274" i="2" l="1"/>
  <c r="H287" i="1"/>
  <c r="L274" i="2" l="1"/>
  <c r="I275" i="2"/>
  <c r="C275" i="2"/>
  <c r="G288" i="1"/>
  <c r="C288" i="1"/>
  <c r="H288" i="1" s="1"/>
  <c r="J287" i="1"/>
  <c r="J275" i="2" l="1"/>
  <c r="C276" i="2" s="1"/>
  <c r="G289" i="1"/>
  <c r="J288" i="1"/>
  <c r="C289" i="1"/>
  <c r="H289" i="1" s="1"/>
  <c r="I276" i="2" l="1"/>
  <c r="J276" i="2" s="1"/>
  <c r="L276" i="2" s="1"/>
  <c r="L275" i="2"/>
  <c r="C290" i="1"/>
  <c r="J289" i="1"/>
  <c r="G290" i="1"/>
  <c r="C277" i="2" l="1"/>
  <c r="I277" i="2"/>
  <c r="H290" i="1"/>
  <c r="J277" i="2" l="1"/>
  <c r="J290" i="1"/>
  <c r="G291" i="1"/>
  <c r="C291" i="1"/>
  <c r="I278" i="2" l="1"/>
  <c r="C278" i="2"/>
  <c r="L277" i="2"/>
  <c r="H291" i="1"/>
  <c r="J278" i="2" l="1"/>
  <c r="G292" i="1"/>
  <c r="J291" i="1"/>
  <c r="C292" i="1"/>
  <c r="I279" i="2" l="1"/>
  <c r="C279" i="2"/>
  <c r="L278" i="2"/>
  <c r="H292" i="1"/>
  <c r="J279" i="2" l="1"/>
  <c r="J292" i="1"/>
  <c r="C293" i="1"/>
  <c r="G293" i="1"/>
  <c r="I280" i="2" l="1"/>
  <c r="L279" i="2"/>
  <c r="C280" i="2"/>
  <c r="H293" i="1"/>
  <c r="J280" i="2" l="1"/>
  <c r="C294" i="1"/>
  <c r="G294" i="1"/>
  <c r="J293" i="1"/>
  <c r="I281" i="2" l="1"/>
  <c r="L280" i="2"/>
  <c r="C281" i="2"/>
  <c r="H294" i="1"/>
  <c r="J281" i="2" l="1"/>
  <c r="J294" i="1"/>
  <c r="C295" i="1"/>
  <c r="G295" i="1"/>
  <c r="L281" i="2" l="1"/>
  <c r="I282" i="2"/>
  <c r="C282" i="2"/>
  <c r="H295" i="1"/>
  <c r="J282" i="2" l="1"/>
  <c r="G296" i="1"/>
  <c r="C296" i="1"/>
  <c r="H296" i="1" s="1"/>
  <c r="J295" i="1"/>
  <c r="C283" i="2" l="1"/>
  <c r="L282" i="2"/>
  <c r="I283" i="2"/>
  <c r="G297" i="1"/>
  <c r="J296" i="1"/>
  <c r="C297" i="1"/>
  <c r="H297" i="1" s="1"/>
  <c r="J283" i="2" l="1"/>
  <c r="G298" i="1"/>
  <c r="C298" i="1"/>
  <c r="J297" i="1"/>
  <c r="I284" i="2" l="1"/>
  <c r="L283" i="2"/>
  <c r="C284" i="2"/>
  <c r="H298" i="1"/>
  <c r="J284" i="2" l="1"/>
  <c r="J298" i="1"/>
  <c r="C299" i="1"/>
  <c r="G299" i="1"/>
  <c r="L284" i="2" l="1"/>
  <c r="C285" i="2"/>
  <c r="I285" i="2"/>
  <c r="H299" i="1"/>
  <c r="J285" i="2" l="1"/>
  <c r="G300" i="1"/>
  <c r="C300" i="1"/>
  <c r="H300" i="1" s="1"/>
  <c r="J299" i="1"/>
  <c r="I286" i="2" l="1"/>
  <c r="C286" i="2"/>
  <c r="L285" i="2"/>
  <c r="G301" i="1"/>
  <c r="C301" i="1"/>
  <c r="H301" i="1" s="1"/>
  <c r="J300" i="1"/>
  <c r="J286" i="2" l="1"/>
  <c r="L286" i="2" s="1"/>
  <c r="G302" i="1"/>
  <c r="J301" i="1"/>
  <c r="C302" i="1"/>
  <c r="H302" i="1" s="1"/>
  <c r="I287" i="2" l="1"/>
  <c r="C287" i="2"/>
  <c r="J287" i="2" s="1"/>
  <c r="I288" i="2" s="1"/>
  <c r="J302" i="1"/>
  <c r="C303" i="1"/>
  <c r="G303" i="1"/>
  <c r="L287" i="2" l="1"/>
  <c r="C288" i="2"/>
  <c r="J288" i="2" s="1"/>
  <c r="H303" i="1"/>
  <c r="C289" i="2" l="1"/>
  <c r="L288" i="2"/>
  <c r="I289" i="2"/>
  <c r="J303" i="1"/>
  <c r="G304" i="1"/>
  <c r="C304" i="1"/>
  <c r="H304" i="1" s="1"/>
  <c r="J289" i="2" l="1"/>
  <c r="J304" i="1"/>
  <c r="C305" i="1"/>
  <c r="G305" i="1"/>
  <c r="H305" i="1" s="1"/>
  <c r="L289" i="2" l="1"/>
  <c r="C290" i="2"/>
  <c r="I290" i="2"/>
  <c r="J305" i="1"/>
  <c r="C306" i="1"/>
  <c r="H306" i="1" s="1"/>
  <c r="G306" i="1"/>
  <c r="J290" i="2" l="1"/>
  <c r="J306" i="1"/>
  <c r="C307" i="1"/>
  <c r="G307" i="1"/>
  <c r="C291" i="2" l="1"/>
  <c r="I291" i="2"/>
  <c r="J291" i="2" s="1"/>
  <c r="C292" i="2" s="1"/>
  <c r="L290" i="2"/>
  <c r="H307" i="1"/>
  <c r="I292" i="2" l="1"/>
  <c r="J292" i="2" s="1"/>
  <c r="I293" i="2" s="1"/>
  <c r="L291" i="2"/>
  <c r="J307" i="1"/>
  <c r="C308" i="1"/>
  <c r="G308" i="1"/>
  <c r="H308" i="1" s="1"/>
  <c r="L292" i="2" l="1"/>
  <c r="C293" i="2"/>
  <c r="J293" i="2" s="1"/>
  <c r="G309" i="1"/>
  <c r="J308" i="1"/>
  <c r="C309" i="1"/>
  <c r="H309" i="1" s="1"/>
  <c r="I294" i="2" l="1"/>
  <c r="C294" i="2"/>
  <c r="L293" i="2"/>
  <c r="J309" i="1"/>
  <c r="C310" i="1"/>
  <c r="G310" i="1"/>
  <c r="J294" i="2" l="1"/>
  <c r="L294" i="2"/>
  <c r="H310" i="1"/>
  <c r="C295" i="2" l="1"/>
  <c r="I295" i="2"/>
  <c r="J295" i="2"/>
  <c r="I296" i="2"/>
  <c r="L295" i="2"/>
  <c r="C296" i="2"/>
  <c r="G311" i="1"/>
  <c r="C311" i="1"/>
  <c r="H311" i="1" s="1"/>
  <c r="J310" i="1"/>
  <c r="J296" i="2" l="1"/>
  <c r="G312" i="1"/>
  <c r="J311" i="1"/>
  <c r="C312" i="1"/>
  <c r="I297" i="2" l="1"/>
  <c r="L296" i="2"/>
  <c r="C297" i="2"/>
  <c r="H312" i="1"/>
  <c r="J297" i="2" l="1"/>
  <c r="J312" i="1"/>
  <c r="G313" i="1"/>
  <c r="C313" i="1"/>
  <c r="I298" i="2" l="1"/>
  <c r="L297" i="2"/>
  <c r="C298" i="2"/>
  <c r="H313" i="1"/>
  <c r="J298" i="2" l="1"/>
  <c r="I299" i="2" s="1"/>
  <c r="G314" i="1"/>
  <c r="J313" i="1"/>
  <c r="C314" i="1"/>
  <c r="H314" i="1" s="1"/>
  <c r="L298" i="2" l="1"/>
  <c r="C299" i="2"/>
  <c r="J299" i="2" s="1"/>
  <c r="C315" i="1"/>
  <c r="J314" i="1"/>
  <c r="G315" i="1"/>
  <c r="C300" i="2" l="1"/>
  <c r="L299" i="2"/>
  <c r="I300" i="2"/>
  <c r="H315" i="1"/>
  <c r="J300" i="2" l="1"/>
  <c r="C301" i="2" s="1"/>
  <c r="C316" i="1"/>
  <c r="J315" i="1"/>
  <c r="G316" i="1"/>
  <c r="I301" i="2" l="1"/>
  <c r="J301" i="2" s="1"/>
  <c r="L300" i="2"/>
  <c r="H316" i="1"/>
  <c r="I302" i="2" l="1"/>
  <c r="L301" i="2"/>
  <c r="C302" i="2"/>
  <c r="C317" i="1"/>
  <c r="J316" i="1"/>
  <c r="G317" i="1"/>
  <c r="J302" i="2" l="1"/>
  <c r="L302" i="2" s="1"/>
  <c r="H317" i="1"/>
  <c r="C303" i="2" l="1"/>
  <c r="I303" i="2"/>
  <c r="C318" i="1"/>
  <c r="J317" i="1"/>
  <c r="G318" i="1"/>
  <c r="H318" i="1" s="1"/>
  <c r="J303" i="2" l="1"/>
  <c r="I304" i="2" s="1"/>
  <c r="J318" i="1"/>
  <c r="G319" i="1"/>
  <c r="C319" i="1"/>
  <c r="C304" i="2" l="1"/>
  <c r="J304" i="2" s="1"/>
  <c r="L303" i="2"/>
  <c r="H319" i="1"/>
  <c r="I305" i="2" l="1"/>
  <c r="C305" i="2"/>
  <c r="L304" i="2"/>
  <c r="C320" i="1"/>
  <c r="G320" i="1"/>
  <c r="H320" i="1" s="1"/>
  <c r="J319" i="1"/>
  <c r="J305" i="2" l="1"/>
  <c r="G321" i="1"/>
  <c r="J320" i="1"/>
  <c r="C321" i="1"/>
  <c r="H321" i="1" s="1"/>
  <c r="C306" i="2" l="1"/>
  <c r="I306" i="2"/>
  <c r="L305" i="2"/>
  <c r="G322" i="1"/>
  <c r="J321" i="1"/>
  <c r="C322" i="1"/>
  <c r="H322" i="1" s="1"/>
  <c r="J306" i="2" l="1"/>
  <c r="C323" i="1"/>
  <c r="G323" i="1"/>
  <c r="J322" i="1"/>
  <c r="L306" i="2" l="1"/>
  <c r="C307" i="2"/>
  <c r="I307" i="2"/>
  <c r="H323" i="1"/>
  <c r="J307" i="2" l="1"/>
  <c r="J323" i="1"/>
  <c r="C324" i="1"/>
  <c r="G324" i="1"/>
  <c r="I308" i="2" l="1"/>
  <c r="L307" i="2"/>
  <c r="C308" i="2"/>
  <c r="H324" i="1"/>
  <c r="J308" i="2" l="1"/>
  <c r="I309" i="2" s="1"/>
  <c r="J324" i="1"/>
  <c r="G325" i="1"/>
  <c r="C325" i="1"/>
  <c r="C309" i="2" l="1"/>
  <c r="J309" i="2" s="1"/>
  <c r="L308" i="2"/>
  <c r="H325" i="1"/>
  <c r="L309" i="2" l="1"/>
  <c r="I310" i="2"/>
  <c r="C310" i="2"/>
  <c r="C326" i="1"/>
  <c r="J325" i="1"/>
  <c r="G326" i="1"/>
  <c r="J310" i="2" l="1"/>
  <c r="H326" i="1"/>
  <c r="C311" i="2" l="1"/>
  <c r="I311" i="2"/>
  <c r="L310" i="2"/>
  <c r="G327" i="1"/>
  <c r="J326" i="1"/>
  <c r="C327" i="1"/>
  <c r="J311" i="2" l="1"/>
  <c r="C312" i="2" s="1"/>
  <c r="H327" i="1"/>
  <c r="I312" i="2" l="1"/>
  <c r="J312" i="2" s="1"/>
  <c r="L311" i="2"/>
  <c r="C328" i="1"/>
  <c r="J327" i="1"/>
  <c r="G328" i="1"/>
  <c r="I313" i="2" l="1"/>
  <c r="C313" i="2"/>
  <c r="L312" i="2"/>
  <c r="H328" i="1"/>
  <c r="J313" i="2" l="1"/>
  <c r="L313" i="2" s="1"/>
  <c r="J328" i="1"/>
  <c r="C329" i="1"/>
  <c r="H329" i="1" s="1"/>
  <c r="G329" i="1"/>
  <c r="C314" i="2" l="1"/>
  <c r="I314" i="2"/>
  <c r="C330" i="1"/>
  <c r="H330" i="1" s="1"/>
  <c r="J329" i="1"/>
  <c r="G330" i="1"/>
  <c r="J314" i="2" l="1"/>
  <c r="J330" i="1"/>
  <c r="G331" i="1"/>
  <c r="C331" i="1"/>
  <c r="H331" i="1" s="1"/>
  <c r="L314" i="2" l="1"/>
  <c r="C315" i="2"/>
  <c r="I315" i="2"/>
  <c r="G332" i="1"/>
  <c r="J331" i="1"/>
  <c r="C332" i="1"/>
  <c r="H332" i="1" s="1"/>
  <c r="J315" i="2" l="1"/>
  <c r="I316" i="2" s="1"/>
  <c r="C333" i="1"/>
  <c r="H333" i="1" s="1"/>
  <c r="G333" i="1"/>
  <c r="J332" i="1"/>
  <c r="L315" i="2" l="1"/>
  <c r="C316" i="2"/>
  <c r="J316" i="2" s="1"/>
  <c r="J333" i="1"/>
  <c r="C334" i="1"/>
  <c r="G334" i="1"/>
  <c r="H334" i="1" s="1"/>
  <c r="I317" i="2" l="1"/>
  <c r="C317" i="2"/>
  <c r="L316" i="2"/>
  <c r="C335" i="1"/>
  <c r="H335" i="1" s="1"/>
  <c r="J334" i="1"/>
  <c r="G335" i="1"/>
  <c r="J317" i="2" l="1"/>
  <c r="C336" i="1"/>
  <c r="G336" i="1"/>
  <c r="J335" i="1"/>
  <c r="C318" i="2" l="1"/>
  <c r="L317" i="2"/>
  <c r="I318" i="2"/>
  <c r="H336" i="1"/>
  <c r="J318" i="2" l="1"/>
  <c r="G337" i="1"/>
  <c r="J336" i="1"/>
  <c r="C337" i="1"/>
  <c r="H337" i="1" s="1"/>
  <c r="I319" i="2" l="1"/>
  <c r="L318" i="2"/>
  <c r="C319" i="2"/>
  <c r="J337" i="1"/>
  <c r="G338" i="1"/>
  <c r="C338" i="1"/>
  <c r="J319" i="2" l="1"/>
  <c r="H338" i="1"/>
  <c r="L319" i="2" l="1"/>
  <c r="C320" i="2"/>
  <c r="I320" i="2"/>
  <c r="C339" i="1"/>
  <c r="H339" i="1" s="1"/>
  <c r="J338" i="1"/>
  <c r="G339" i="1"/>
  <c r="J320" i="2" l="1"/>
  <c r="J339" i="1"/>
  <c r="C340" i="1"/>
  <c r="G340" i="1"/>
  <c r="C321" i="2" l="1"/>
  <c r="J321" i="2" s="1"/>
  <c r="L320" i="2"/>
  <c r="I321" i="2"/>
  <c r="H340" i="1"/>
  <c r="I322" i="2" l="1"/>
  <c r="L321" i="2"/>
  <c r="C322" i="2"/>
  <c r="G341" i="1"/>
  <c r="J340" i="1"/>
  <c r="C341" i="1"/>
  <c r="J322" i="2" l="1"/>
  <c r="C323" i="2" s="1"/>
  <c r="H341" i="1"/>
  <c r="I323" i="2" l="1"/>
  <c r="J323" i="2" s="1"/>
  <c r="L322" i="2"/>
  <c r="G342" i="1"/>
  <c r="C342" i="1"/>
  <c r="H342" i="1" s="1"/>
  <c r="J341" i="1"/>
  <c r="L323" i="2" l="1"/>
  <c r="I324" i="2"/>
  <c r="C324" i="2"/>
  <c r="G343" i="1"/>
  <c r="J342" i="1"/>
  <c r="C343" i="1"/>
  <c r="H343" i="1" s="1"/>
  <c r="J324" i="2" l="1"/>
  <c r="C344" i="1"/>
  <c r="H344" i="1" s="1"/>
  <c r="G344" i="1"/>
  <c r="J343" i="1"/>
  <c r="C325" i="2" l="1"/>
  <c r="I325" i="2"/>
  <c r="J325" i="2" s="1"/>
  <c r="L324" i="2"/>
  <c r="G345" i="1"/>
  <c r="J344" i="1"/>
  <c r="C345" i="1"/>
  <c r="I326" i="2" l="1"/>
  <c r="L325" i="2"/>
  <c r="C326" i="2"/>
  <c r="H345" i="1"/>
  <c r="J326" i="2" l="1"/>
  <c r="L326" i="2"/>
  <c r="G346" i="1"/>
  <c r="C346" i="1"/>
  <c r="H346" i="1" s="1"/>
  <c r="J345" i="1"/>
  <c r="I327" i="2" l="1"/>
  <c r="C327" i="2"/>
  <c r="J327" i="2"/>
  <c r="J346" i="1"/>
  <c r="C347" i="1"/>
  <c r="G347" i="1"/>
  <c r="C328" i="2" l="1"/>
  <c r="I328" i="2"/>
  <c r="L327" i="2"/>
  <c r="H347" i="1"/>
  <c r="J328" i="2" l="1"/>
  <c r="C348" i="1"/>
  <c r="G348" i="1"/>
  <c r="J347" i="1"/>
  <c r="I329" i="2" l="1"/>
  <c r="L328" i="2"/>
  <c r="C329" i="2"/>
  <c r="H348" i="1"/>
  <c r="J329" i="2" l="1"/>
  <c r="C349" i="1"/>
  <c r="G349" i="1"/>
  <c r="J348" i="1"/>
  <c r="C330" i="2" l="1"/>
  <c r="I330" i="2"/>
  <c r="L329" i="2"/>
  <c r="H349" i="1"/>
  <c r="J330" i="2" l="1"/>
  <c r="C331" i="2" s="1"/>
  <c r="C350" i="1"/>
  <c r="G350" i="1"/>
  <c r="J349" i="1"/>
  <c r="L330" i="2" l="1"/>
  <c r="I331" i="2"/>
  <c r="J331" i="2" s="1"/>
  <c r="H350" i="1"/>
  <c r="I332" i="2" l="1"/>
  <c r="C332" i="2"/>
  <c r="L331" i="2"/>
  <c r="J350" i="1"/>
  <c r="G351" i="1"/>
  <c r="C351" i="1"/>
  <c r="J332" i="2" l="1"/>
  <c r="H351" i="1"/>
  <c r="C333" i="2" l="1"/>
  <c r="I333" i="2"/>
  <c r="L332" i="2"/>
  <c r="C352" i="1"/>
  <c r="G352" i="1"/>
  <c r="J351" i="1"/>
  <c r="J333" i="2" l="1"/>
  <c r="H352" i="1"/>
  <c r="C334" i="2" l="1"/>
  <c r="I334" i="2"/>
  <c r="L333" i="2"/>
  <c r="J352" i="1"/>
  <c r="G353" i="1"/>
  <c r="C353" i="1"/>
  <c r="H353" i="1" s="1"/>
  <c r="J334" i="2" l="1"/>
  <c r="C354" i="1"/>
  <c r="J353" i="1"/>
  <c r="G354" i="1"/>
  <c r="L334" i="2" l="1"/>
  <c r="C335" i="2"/>
  <c r="I335" i="2"/>
  <c r="H354" i="1"/>
  <c r="J335" i="2" l="1"/>
  <c r="J354" i="1"/>
  <c r="G355" i="1"/>
  <c r="C355" i="1"/>
  <c r="H355" i="1" s="1"/>
  <c r="C336" i="2" l="1"/>
  <c r="L335" i="2"/>
  <c r="I336" i="2"/>
  <c r="J336" i="2"/>
  <c r="I337" i="2"/>
  <c r="L336" i="2"/>
  <c r="C337" i="2"/>
  <c r="J337" i="2" s="1"/>
  <c r="I338" i="2" s="1"/>
  <c r="J355" i="1"/>
  <c r="C356" i="1"/>
  <c r="H356" i="1" s="1"/>
  <c r="G356" i="1"/>
  <c r="L337" i="2" l="1"/>
  <c r="C338" i="2"/>
  <c r="J338" i="2" s="1"/>
  <c r="C357" i="1"/>
  <c r="H357" i="1" s="1"/>
  <c r="G357" i="1"/>
  <c r="J356" i="1"/>
  <c r="L338" i="2" l="1"/>
  <c r="C339" i="2"/>
  <c r="I339" i="2"/>
  <c r="J357" i="1"/>
  <c r="G358" i="1"/>
  <c r="C358" i="1"/>
  <c r="J339" i="2" l="1"/>
  <c r="H358" i="1"/>
  <c r="C340" i="2" l="1"/>
  <c r="L339" i="2"/>
  <c r="I340" i="2"/>
  <c r="C359" i="1"/>
  <c r="G359" i="1"/>
  <c r="J358" i="1"/>
  <c r="J340" i="2" l="1"/>
  <c r="H359" i="1"/>
  <c r="C341" i="2" l="1"/>
  <c r="L340" i="2"/>
  <c r="I341" i="2"/>
  <c r="G360" i="1"/>
  <c r="J359" i="1"/>
  <c r="C360" i="1"/>
  <c r="J341" i="2" l="1"/>
  <c r="L341" i="2" s="1"/>
  <c r="H360" i="1"/>
  <c r="C342" i="2" l="1"/>
  <c r="I342" i="2"/>
  <c r="C361" i="1"/>
  <c r="J360" i="1"/>
  <c r="G361" i="1"/>
  <c r="H361" i="1" s="1"/>
  <c r="J342" i="2" l="1"/>
  <c r="I343" i="2" s="1"/>
  <c r="J361" i="1"/>
  <c r="C362" i="1"/>
  <c r="G362" i="1"/>
  <c r="C343" i="2" l="1"/>
  <c r="J343" i="2" s="1"/>
  <c r="L342" i="2"/>
  <c r="H362" i="1"/>
  <c r="C344" i="2" l="1"/>
  <c r="L343" i="2"/>
  <c r="I344" i="2"/>
  <c r="C363" i="1"/>
  <c r="J362" i="1"/>
  <c r="G363" i="1"/>
  <c r="J344" i="2" l="1"/>
  <c r="I345" i="2" s="1"/>
  <c r="H363" i="1"/>
  <c r="L344" i="2" l="1"/>
  <c r="C345" i="2"/>
  <c r="J345" i="2" s="1"/>
  <c r="C364" i="1"/>
  <c r="G364" i="1"/>
  <c r="H364" i="1" s="1"/>
  <c r="J363" i="1"/>
  <c r="I346" i="2" l="1"/>
  <c r="L345" i="2"/>
  <c r="C346" i="2"/>
  <c r="C365" i="1"/>
  <c r="G365" i="1"/>
  <c r="J364" i="1"/>
  <c r="J346" i="2" l="1"/>
  <c r="H365" i="1"/>
  <c r="L346" i="2" l="1"/>
  <c r="I347" i="2"/>
  <c r="C347" i="2"/>
  <c r="J347" i="2" s="1"/>
  <c r="I348" i="2" s="1"/>
  <c r="C366" i="1"/>
  <c r="J365" i="1"/>
  <c r="G366" i="1"/>
  <c r="C348" i="2" l="1"/>
  <c r="J348" i="2" s="1"/>
  <c r="L347" i="2"/>
  <c r="H366" i="1"/>
  <c r="I349" i="2" l="1"/>
  <c r="C349" i="2"/>
  <c r="L348" i="2"/>
  <c r="G367" i="1"/>
  <c r="J366" i="1"/>
  <c r="C367" i="1"/>
  <c r="J349" i="2" l="1"/>
  <c r="L349" i="2" s="1"/>
  <c r="H367" i="1"/>
  <c r="I350" i="2" l="1"/>
  <c r="C350" i="2"/>
  <c r="G368" i="1"/>
  <c r="J367" i="1"/>
  <c r="C368" i="1"/>
  <c r="H368" i="1" s="1"/>
  <c r="J350" i="2" l="1"/>
  <c r="G369" i="1"/>
  <c r="J368" i="1"/>
  <c r="C369" i="1"/>
  <c r="I351" i="2" l="1"/>
  <c r="L350" i="2"/>
  <c r="C351" i="2"/>
  <c r="H369" i="1"/>
  <c r="J351" i="2" l="1"/>
  <c r="I352" i="2" s="1"/>
  <c r="C370" i="1"/>
  <c r="J369" i="1"/>
  <c r="G370" i="1"/>
  <c r="L351" i="2" l="1"/>
  <c r="C352" i="2"/>
  <c r="J352" i="2" s="1"/>
  <c r="H370" i="1"/>
  <c r="C353" i="2" l="1"/>
  <c r="L352" i="2"/>
  <c r="I353" i="2"/>
  <c r="C371" i="1"/>
  <c r="G371" i="1"/>
  <c r="J370" i="1"/>
  <c r="J353" i="2" l="1"/>
  <c r="H371" i="1"/>
  <c r="C354" i="2" l="1"/>
  <c r="I354" i="2"/>
  <c r="J354" i="2" s="1"/>
  <c r="C355" i="2" s="1"/>
  <c r="L353" i="2"/>
  <c r="J371" i="1"/>
  <c r="G372" i="1"/>
  <c r="C372" i="1"/>
  <c r="H372" i="1" s="1"/>
  <c r="I355" i="2" l="1"/>
  <c r="J355" i="2" s="1"/>
  <c r="L354" i="2"/>
  <c r="G373" i="1"/>
  <c r="C373" i="1"/>
  <c r="J372" i="1"/>
  <c r="C356" i="2" l="1"/>
  <c r="I356" i="2"/>
  <c r="L355" i="2"/>
  <c r="H373" i="1"/>
  <c r="J356" i="2" l="1"/>
  <c r="C374" i="1"/>
  <c r="G374" i="1"/>
  <c r="J373" i="1"/>
  <c r="I357" i="2" l="1"/>
  <c r="C357" i="2"/>
  <c r="L356" i="2"/>
  <c r="H374" i="1"/>
  <c r="J357" i="2" l="1"/>
  <c r="J374" i="1"/>
  <c r="G375" i="1"/>
  <c r="C375" i="1"/>
  <c r="C358" i="2" l="1"/>
  <c r="I358" i="2"/>
  <c r="L357" i="2"/>
  <c r="H375" i="1"/>
  <c r="J358" i="2" l="1"/>
  <c r="C376" i="1"/>
  <c r="H376" i="1" s="1"/>
  <c r="J375" i="1"/>
  <c r="G376" i="1"/>
  <c r="L358" i="2" l="1"/>
  <c r="I359" i="2"/>
  <c r="C359" i="2"/>
  <c r="G377" i="1"/>
  <c r="J376" i="1"/>
  <c r="C377" i="1"/>
  <c r="J359" i="2" l="1"/>
  <c r="I360" i="2"/>
  <c r="L359" i="2"/>
  <c r="C360" i="2"/>
  <c r="H377" i="1"/>
  <c r="J360" i="2" l="1"/>
  <c r="C378" i="1"/>
  <c r="H378" i="1" s="1"/>
  <c r="G378" i="1"/>
  <c r="J377" i="1"/>
  <c r="C361" i="2" l="1"/>
  <c r="I361" i="2"/>
  <c r="J361" i="2" s="1"/>
  <c r="L360" i="2"/>
  <c r="G379" i="1"/>
  <c r="J378" i="1"/>
  <c r="C379" i="1"/>
  <c r="H379" i="1" s="1"/>
  <c r="L361" i="2" l="1"/>
  <c r="C362" i="2"/>
  <c r="I362" i="2"/>
  <c r="J379" i="1"/>
  <c r="G380" i="1"/>
  <c r="C380" i="1"/>
  <c r="J362" i="2" l="1"/>
  <c r="H380" i="1"/>
  <c r="C363" i="2" l="1"/>
  <c r="L362" i="2"/>
  <c r="I363" i="2"/>
  <c r="J380" i="1"/>
  <c r="C381" i="1"/>
  <c r="G381" i="1"/>
  <c r="J363" i="2" l="1"/>
  <c r="H381" i="1"/>
  <c r="L363" i="2" l="1"/>
  <c r="C364" i="2"/>
  <c r="I364" i="2"/>
  <c r="C382" i="1"/>
  <c r="J381" i="1"/>
  <c r="G382" i="1"/>
  <c r="J364" i="2" l="1"/>
  <c r="H382" i="1"/>
  <c r="I365" i="2" l="1"/>
  <c r="L364" i="2"/>
  <c r="C365" i="2"/>
  <c r="J382" i="1"/>
  <c r="G383" i="1"/>
  <c r="C383" i="1"/>
  <c r="J365" i="2" l="1"/>
  <c r="C366" i="2" s="1"/>
  <c r="H383" i="1"/>
  <c r="L365" i="2" l="1"/>
  <c r="I366" i="2"/>
  <c r="J366" i="2"/>
  <c r="L366" i="2"/>
  <c r="C367" i="2"/>
  <c r="I367" i="2"/>
  <c r="G384" i="1"/>
  <c r="C384" i="1"/>
  <c r="H384" i="1" s="1"/>
  <c r="J383" i="1"/>
  <c r="J367" i="2" l="1"/>
  <c r="C385" i="1"/>
  <c r="H385" i="1" s="1"/>
  <c r="G385" i="1"/>
  <c r="J384" i="1"/>
  <c r="I368" i="2" l="1"/>
  <c r="C368" i="2"/>
  <c r="J368" i="2" s="1"/>
  <c r="L367" i="2"/>
  <c r="C386" i="1"/>
  <c r="H386" i="1" s="1"/>
  <c r="G386" i="1"/>
  <c r="J385" i="1"/>
  <c r="C369" i="2" l="1"/>
  <c r="L368" i="2"/>
  <c r="I369" i="2"/>
  <c r="C387" i="1"/>
  <c r="H387" i="1" s="1"/>
  <c r="J386" i="1"/>
  <c r="G387" i="1"/>
  <c r="J369" i="2" l="1"/>
  <c r="G388" i="1"/>
  <c r="J387" i="1"/>
  <c r="C388" i="1"/>
  <c r="H388" i="1" s="1"/>
  <c r="I370" i="2" l="1"/>
  <c r="L369" i="2"/>
  <c r="C370" i="2"/>
  <c r="J388" i="1"/>
  <c r="C389" i="1"/>
  <c r="G389" i="1"/>
  <c r="J370" i="2" l="1"/>
  <c r="H389" i="1"/>
  <c r="I371" i="2" l="1"/>
  <c r="C371" i="2"/>
  <c r="J371" i="2" s="1"/>
  <c r="L370" i="2"/>
  <c r="G390" i="1"/>
  <c r="J389" i="1"/>
  <c r="C390" i="1"/>
  <c r="L371" i="2" l="1"/>
  <c r="C372" i="2"/>
  <c r="I372" i="2"/>
  <c r="H390" i="1"/>
  <c r="J372" i="2" l="1"/>
  <c r="L372" i="2" s="1"/>
  <c r="I373" i="2"/>
  <c r="C373" i="2"/>
  <c r="J373" i="2" s="1"/>
  <c r="C391" i="1"/>
  <c r="G391" i="1"/>
  <c r="J390" i="1"/>
  <c r="C374" i="2" l="1"/>
  <c r="I374" i="2"/>
  <c r="L373" i="2"/>
  <c r="H391" i="1"/>
  <c r="J374" i="2" l="1"/>
  <c r="J391" i="1"/>
  <c r="G392" i="1"/>
  <c r="C392" i="1"/>
  <c r="H392" i="1" s="1"/>
  <c r="L374" i="2" l="1"/>
  <c r="I375" i="2"/>
  <c r="C375" i="2"/>
  <c r="C393" i="1"/>
  <c r="H393" i="1" s="1"/>
  <c r="G393" i="1"/>
  <c r="J392" i="1"/>
  <c r="J375" i="2" l="1"/>
  <c r="L375" i="2"/>
  <c r="C376" i="2"/>
  <c r="I376" i="2"/>
  <c r="J376" i="2" s="1"/>
  <c r="C394" i="1"/>
  <c r="G394" i="1"/>
  <c r="J393" i="1"/>
  <c r="I377" i="2" l="1"/>
  <c r="C377" i="2"/>
  <c r="L376" i="2"/>
  <c r="H394" i="1"/>
  <c r="J377" i="2" l="1"/>
  <c r="G395" i="1"/>
  <c r="J394" i="1"/>
  <c r="C395" i="1"/>
  <c r="H395" i="1" s="1"/>
  <c r="J395" i="1" s="1"/>
  <c r="L377" i="2" l="1"/>
  <c r="I378" i="2"/>
  <c r="C378" i="2"/>
  <c r="J378" i="2" l="1"/>
  <c r="I379" i="2" l="1"/>
  <c r="C379" i="2"/>
  <c r="L378" i="2"/>
  <c r="J379" i="2" l="1"/>
  <c r="L379" i="2" s="1"/>
  <c r="C380" i="2" l="1"/>
  <c r="I380" i="2"/>
  <c r="J380" i="2" l="1"/>
  <c r="C381" i="2" l="1"/>
  <c r="I381" i="2"/>
  <c r="L380" i="2"/>
  <c r="J381" i="2" l="1"/>
  <c r="C382" i="2" l="1"/>
  <c r="J382" i="2" s="1"/>
  <c r="L381" i="2"/>
  <c r="I382" i="2"/>
  <c r="I383" i="2" l="1"/>
  <c r="L382" i="2"/>
  <c r="C383" i="2"/>
  <c r="J383" i="2" l="1"/>
  <c r="I384" i="2" s="1"/>
  <c r="C384" i="2" l="1"/>
  <c r="J384" i="2" s="1"/>
  <c r="L383" i="2"/>
  <c r="I385" i="2" l="1"/>
  <c r="L384" i="2"/>
  <c r="C385" i="2"/>
  <c r="J385" i="2" l="1"/>
  <c r="C386" i="2" l="1"/>
  <c r="I386" i="2"/>
  <c r="L385" i="2"/>
  <c r="J386" i="2" l="1"/>
  <c r="C387" i="2" s="1"/>
  <c r="L386" i="2" l="1"/>
  <c r="I387" i="2"/>
  <c r="J387" i="2" s="1"/>
  <c r="L387" i="2" l="1"/>
  <c r="C388" i="2"/>
  <c r="I388" i="2"/>
  <c r="J388" i="2" l="1"/>
  <c r="C389" i="2" l="1"/>
  <c r="I389" i="2"/>
  <c r="L388" i="2"/>
  <c r="J389" i="2" l="1"/>
  <c r="C390" i="2" l="1"/>
  <c r="L389" i="2"/>
  <c r="I390" i="2"/>
  <c r="J390" i="2" l="1"/>
  <c r="L390" i="2" l="1"/>
  <c r="I391" i="2"/>
  <c r="C391" i="2"/>
  <c r="J391" i="2" l="1"/>
  <c r="L391" i="2" l="1"/>
  <c r="I392" i="2"/>
  <c r="C392" i="2"/>
  <c r="J392" i="2" s="1"/>
  <c r="L392" i="2" l="1"/>
  <c r="C393" i="2"/>
  <c r="J393" i="2" s="1"/>
  <c r="I393" i="2"/>
  <c r="I394" i="2" l="1"/>
  <c r="L393" i="2"/>
  <c r="C394" i="2"/>
  <c r="J394" i="2" l="1"/>
  <c r="C395" i="2" l="1"/>
  <c r="I395" i="2"/>
  <c r="L394" i="2"/>
  <c r="J395" i="2" l="1"/>
  <c r="O3" i="2" l="1"/>
  <c r="L395" i="2"/>
</calcChain>
</file>

<file path=xl/sharedStrings.xml><?xml version="1.0" encoding="utf-8"?>
<sst xmlns="http://schemas.openxmlformats.org/spreadsheetml/2006/main" count="193" uniqueCount="178">
  <si>
    <t>Valor inicio</t>
  </si>
  <si>
    <t>Salario inicial</t>
  </si>
  <si>
    <t>Pago</t>
  </si>
  <si>
    <t>Porcentaje ahorrado</t>
  </si>
  <si>
    <t>Salario base</t>
  </si>
  <si>
    <t>Valor final</t>
  </si>
  <si>
    <t>Rentabilidad anual</t>
  </si>
  <si>
    <t>Rentabilidad</t>
  </si>
  <si>
    <t>Mes</t>
  </si>
  <si>
    <t>Año</t>
  </si>
  <si>
    <t>Índice de Precios al Constructor</t>
  </si>
  <si>
    <t>Valor objetivo</t>
  </si>
  <si>
    <t>Salario mínimo</t>
  </si>
  <si>
    <t>Incremento salario mínimo</t>
  </si>
  <si>
    <t>Incremento IPC</t>
  </si>
  <si>
    <t>IPC</t>
  </si>
  <si>
    <t>Tasa mensual</t>
  </si>
  <si>
    <t>Aporte</t>
  </si>
  <si>
    <t>Valor del fondo en año 32</t>
  </si>
  <si>
    <t>Relacíon de salarios</t>
  </si>
  <si>
    <t>Tiempo para valor objetivo</t>
  </si>
  <si>
    <t>Sim 1</t>
  </si>
  <si>
    <t>Sim 2</t>
  </si>
  <si>
    <t>Sim 3</t>
  </si>
  <si>
    <t>Sim 4</t>
  </si>
  <si>
    <t>Sim 5</t>
  </si>
  <si>
    <t>Sim 6</t>
  </si>
  <si>
    <t>Sim 7</t>
  </si>
  <si>
    <t>Sim 8</t>
  </si>
  <si>
    <t>Sim 9</t>
  </si>
  <si>
    <t>Sim 10</t>
  </si>
  <si>
    <t>Sim 11</t>
  </si>
  <si>
    <t>Sim 12</t>
  </si>
  <si>
    <t>Sim 13</t>
  </si>
  <si>
    <t>Sim 14</t>
  </si>
  <si>
    <t>Sim 15</t>
  </si>
  <si>
    <t>Sim 16</t>
  </si>
  <si>
    <t>Sim 17</t>
  </si>
  <si>
    <t>Sim 18</t>
  </si>
  <si>
    <t>Sim 19</t>
  </si>
  <si>
    <t>Sim 20</t>
  </si>
  <si>
    <t>Sim 21</t>
  </si>
  <si>
    <t>Sim 22</t>
  </si>
  <si>
    <t>Sim 23</t>
  </si>
  <si>
    <t>Sim 24</t>
  </si>
  <si>
    <t>Sim 25</t>
  </si>
  <si>
    <t>Sim 26</t>
  </si>
  <si>
    <t>Sim 27</t>
  </si>
  <si>
    <t>Sim 28</t>
  </si>
  <si>
    <t>Sim 29</t>
  </si>
  <si>
    <t>Sim 30</t>
  </si>
  <si>
    <t>Sim 31</t>
  </si>
  <si>
    <t>Sim 32</t>
  </si>
  <si>
    <t>Sim 33</t>
  </si>
  <si>
    <t>Sim 34</t>
  </si>
  <si>
    <t>Sim 35</t>
  </si>
  <si>
    <t>Sim 36</t>
  </si>
  <si>
    <t>Sim 37</t>
  </si>
  <si>
    <t>Sim 38</t>
  </si>
  <si>
    <t>Sim 39</t>
  </si>
  <si>
    <t>Sim 40</t>
  </si>
  <si>
    <t>Sim 41</t>
  </si>
  <si>
    <t>Sim 42</t>
  </si>
  <si>
    <t>Sim 43</t>
  </si>
  <si>
    <t>Sim 44</t>
  </si>
  <si>
    <t>Sim 45</t>
  </si>
  <si>
    <t>Sim 46</t>
  </si>
  <si>
    <t>Sim 47</t>
  </si>
  <si>
    <t>Sim 48</t>
  </si>
  <si>
    <t>Sim 49</t>
  </si>
  <si>
    <t>Sim 50</t>
  </si>
  <si>
    <t>Sim 51</t>
  </si>
  <si>
    <t>Sim 52</t>
  </si>
  <si>
    <t>Sim 53</t>
  </si>
  <si>
    <t>Sim 54</t>
  </si>
  <si>
    <t>Sim 55</t>
  </si>
  <si>
    <t>Sim 56</t>
  </si>
  <si>
    <t>Sim 57</t>
  </si>
  <si>
    <t>Sim 58</t>
  </si>
  <si>
    <t>Sim 59</t>
  </si>
  <si>
    <t>Sim 60</t>
  </si>
  <si>
    <t>Sim 61</t>
  </si>
  <si>
    <t>Sim 62</t>
  </si>
  <si>
    <t>Sim 63</t>
  </si>
  <si>
    <t>Sim 64</t>
  </si>
  <si>
    <t>Sim 65</t>
  </si>
  <si>
    <t>Sim 66</t>
  </si>
  <si>
    <t>Sim 67</t>
  </si>
  <si>
    <t>Sim 68</t>
  </si>
  <si>
    <t>Sim 69</t>
  </si>
  <si>
    <t>Sim 70</t>
  </si>
  <si>
    <t>Sim 71</t>
  </si>
  <si>
    <t>Sim 72</t>
  </si>
  <si>
    <t>Sim 73</t>
  </si>
  <si>
    <t>Sim 74</t>
  </si>
  <si>
    <t>Sim 75</t>
  </si>
  <si>
    <t>Sim 76</t>
  </si>
  <si>
    <t>Sim 77</t>
  </si>
  <si>
    <t>Sim 78</t>
  </si>
  <si>
    <t>Sim 79</t>
  </si>
  <si>
    <t>Sim 80</t>
  </si>
  <si>
    <t>Sim 81</t>
  </si>
  <si>
    <t>Sim 82</t>
  </si>
  <si>
    <t>Sim 83</t>
  </si>
  <si>
    <t>Sim 84</t>
  </si>
  <si>
    <t>Sim 85</t>
  </si>
  <si>
    <t>Sim 86</t>
  </si>
  <si>
    <t>Sim 87</t>
  </si>
  <si>
    <t>Sim 88</t>
  </si>
  <si>
    <t>Sim 89</t>
  </si>
  <si>
    <t>Sim 90</t>
  </si>
  <si>
    <t>Sim 91</t>
  </si>
  <si>
    <t>Sim 92</t>
  </si>
  <si>
    <t>Sim 93</t>
  </si>
  <si>
    <t>Sim 94</t>
  </si>
  <si>
    <t>Sim 95</t>
  </si>
  <si>
    <t>Sim 96</t>
  </si>
  <si>
    <t>Sim 97</t>
  </si>
  <si>
    <t>Sim 98</t>
  </si>
  <si>
    <t>Sim 99</t>
  </si>
  <si>
    <t>Sim 100</t>
  </si>
  <si>
    <t>Sim 101</t>
  </si>
  <si>
    <t>Sim 102</t>
  </si>
  <si>
    <t>Sim 103</t>
  </si>
  <si>
    <t>Sim 104</t>
  </si>
  <si>
    <t>Sim 105</t>
  </si>
  <si>
    <t>Sim 106</t>
  </si>
  <si>
    <t>Sim 107</t>
  </si>
  <si>
    <t>Sim 108</t>
  </si>
  <si>
    <t>Sim 109</t>
  </si>
  <si>
    <t>Sim 110</t>
  </si>
  <si>
    <t>Sim 111</t>
  </si>
  <si>
    <t>Sim 112</t>
  </si>
  <si>
    <t>Sim 113</t>
  </si>
  <si>
    <t>Sim 114</t>
  </si>
  <si>
    <t>Sim 115</t>
  </si>
  <si>
    <t>Sim 116</t>
  </si>
  <si>
    <t>Sim 117</t>
  </si>
  <si>
    <t>Sim 118</t>
  </si>
  <si>
    <t>Sim 119</t>
  </si>
  <si>
    <t>Sim 120</t>
  </si>
  <si>
    <t>Sim 121</t>
  </si>
  <si>
    <t>Sim 122</t>
  </si>
  <si>
    <t>Sim 123</t>
  </si>
  <si>
    <t>Sim 124</t>
  </si>
  <si>
    <t>Sim 125</t>
  </si>
  <si>
    <t>Sim 126</t>
  </si>
  <si>
    <t>Sim 127</t>
  </si>
  <si>
    <t>Sim 128</t>
  </si>
  <si>
    <t>Sim 129</t>
  </si>
  <si>
    <t>Sim 130</t>
  </si>
  <si>
    <t>Sim 131</t>
  </si>
  <si>
    <t>Sim 132</t>
  </si>
  <si>
    <t>Sim 133</t>
  </si>
  <si>
    <t>Sim 134</t>
  </si>
  <si>
    <t>Sim 135</t>
  </si>
  <si>
    <t>Sim 136</t>
  </si>
  <si>
    <t>Sim 137</t>
  </si>
  <si>
    <t>Sim 138</t>
  </si>
  <si>
    <t>Sim 139</t>
  </si>
  <si>
    <t>Sim 140</t>
  </si>
  <si>
    <t>Sim 141</t>
  </si>
  <si>
    <t>Sim 142</t>
  </si>
  <si>
    <t>Sim 143</t>
  </si>
  <si>
    <t>Sim 144</t>
  </si>
  <si>
    <t>Sim 145</t>
  </si>
  <si>
    <t>Sim 146</t>
  </si>
  <si>
    <t>Sim 147</t>
  </si>
  <si>
    <t>Sim 148</t>
  </si>
  <si>
    <t>Sim 149</t>
  </si>
  <si>
    <t>Sim 150</t>
  </si>
  <si>
    <t>promedio</t>
  </si>
  <si>
    <t>Desv. Est.</t>
  </si>
  <si>
    <t>Max</t>
  </si>
  <si>
    <t>Min</t>
  </si>
  <si>
    <t>Clase</t>
  </si>
  <si>
    <t>y mayor...</t>
  </si>
  <si>
    <t>Frecuencia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</si>
</sst>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44" fontId="0" fillId="0" borderId="0" xfId="0" applyNumberFormat="1" applyAlignment="1">
      <alignment horizontal="center" vertical="center" wrapText="1"/>
    </xf>
    <xf numFmtId="10" fontId="0" fillId="0" borderId="0" xfId="2" applyNumberFormat="1" applyFon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Histograma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Frecuencia</c:v>
          </c:tx>
          <c:invertIfNegative val="0"/>
          <c:cat>
            <c:strRef>
              <c:f>Hoja2!$W$6:$W$18</c:f>
              <c:strCache>
                <c:ptCount val="13"/>
                <c:pt idx="0">
                  <c:v>140</c:v>
                </c:pt>
                <c:pt idx="1">
                  <c:v>142,0833333</c:v>
                </c:pt>
                <c:pt idx="2">
                  <c:v>144,1666667</c:v>
                </c:pt>
                <c:pt idx="3">
                  <c:v>146,25</c:v>
                </c:pt>
                <c:pt idx="4">
                  <c:v>148,3333333</c:v>
                </c:pt>
                <c:pt idx="5">
                  <c:v>150,4166667</c:v>
                </c:pt>
                <c:pt idx="6">
                  <c:v>152,5</c:v>
                </c:pt>
                <c:pt idx="7">
                  <c:v>154,5833333</c:v>
                </c:pt>
                <c:pt idx="8">
                  <c:v>156,6666667</c:v>
                </c:pt>
                <c:pt idx="9">
                  <c:v>158,75</c:v>
                </c:pt>
                <c:pt idx="10">
                  <c:v>160,8333333</c:v>
                </c:pt>
                <c:pt idx="11">
                  <c:v>162,9166667</c:v>
                </c:pt>
                <c:pt idx="12">
                  <c:v>y mayor...</c:v>
                </c:pt>
              </c:strCache>
            </c:strRef>
          </c:cat>
          <c:val>
            <c:numRef>
              <c:f>Hoja2!$X$6:$X$18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7</c:v>
                </c:pt>
                <c:pt idx="5">
                  <c:v>12</c:v>
                </c:pt>
                <c:pt idx="6">
                  <c:v>24</c:v>
                </c:pt>
                <c:pt idx="7">
                  <c:v>32</c:v>
                </c:pt>
                <c:pt idx="8">
                  <c:v>29</c:v>
                </c:pt>
                <c:pt idx="9">
                  <c:v>0</c:v>
                </c:pt>
                <c:pt idx="10">
                  <c:v>21</c:v>
                </c:pt>
                <c:pt idx="11">
                  <c:v>19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63-44DE-B52A-CE5F266B8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9123247"/>
        <c:axId val="1330273647"/>
      </c:barChart>
      <c:catAx>
        <c:axId val="1419123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Clase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30273647"/>
        <c:crosses val="autoZero"/>
        <c:auto val="1"/>
        <c:lblAlgn val="ctr"/>
        <c:lblOffset val="100"/>
        <c:noMultiLvlLbl val="0"/>
      </c:catAx>
      <c:valAx>
        <c:axId val="13302736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Frecuencia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1912324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265612</xdr:colOff>
      <xdr:row>1</xdr:row>
      <xdr:rowOff>65315</xdr:rowOff>
    </xdr:from>
    <xdr:to>
      <xdr:col>34</xdr:col>
      <xdr:colOff>506186</xdr:colOff>
      <xdr:row>12</xdr:row>
      <xdr:rowOff>177439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2460FF-65FC-451E-AFEC-8D74D43E4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7A0B7-51BF-45F7-8369-894214716ADA}">
  <dimension ref="A1:J401"/>
  <sheetViews>
    <sheetView zoomScale="140" zoomScaleNormal="140" workbookViewId="0">
      <selection activeCell="E5" sqref="E5"/>
    </sheetView>
  </sheetViews>
  <sheetFormatPr baseColWidth="10" defaultRowHeight="14.4" x14ac:dyDescent="0.3"/>
  <cols>
    <col min="1" max="1" width="12.21875" style="1" customWidth="1"/>
    <col min="2" max="2" width="14.5546875" style="1" bestFit="1" customWidth="1"/>
    <col min="3" max="3" width="17.77734375" style="1" bestFit="1" customWidth="1"/>
    <col min="4" max="4" width="15.109375" style="1" bestFit="1" customWidth="1"/>
    <col min="5" max="5" width="15.109375" style="1" customWidth="1"/>
    <col min="6" max="6" width="14.109375" style="1" bestFit="1" customWidth="1"/>
    <col min="7" max="7" width="15.109375" style="1" bestFit="1" customWidth="1"/>
    <col min="8" max="9" width="17.77734375" style="1" bestFit="1" customWidth="1"/>
    <col min="10" max="10" width="15.109375" style="1" bestFit="1" customWidth="1"/>
    <col min="11" max="16384" width="11.5546875" style="1"/>
  </cols>
  <sheetData>
    <row r="1" spans="1:10" x14ac:dyDescent="0.3">
      <c r="A1" s="1" t="s">
        <v>1</v>
      </c>
      <c r="B1" s="2">
        <v>2000000</v>
      </c>
      <c r="C1" s="2"/>
    </row>
    <row r="2" spans="1:10" ht="28.8" x14ac:dyDescent="0.3">
      <c r="A2" s="1" t="s">
        <v>3</v>
      </c>
      <c r="B2" s="3">
        <v>0.1</v>
      </c>
      <c r="C2" s="3"/>
    </row>
    <row r="3" spans="1:10" ht="28.8" x14ac:dyDescent="0.3">
      <c r="A3" s="1" t="s">
        <v>6</v>
      </c>
      <c r="B3" s="3">
        <v>0.11</v>
      </c>
      <c r="C3" s="5">
        <f>(1+B3)^(1/12)-1</f>
        <v>8.7345938235519061E-3</v>
      </c>
    </row>
    <row r="4" spans="1:10" ht="43.2" x14ac:dyDescent="0.3">
      <c r="A4" s="1" t="s">
        <v>13</v>
      </c>
      <c r="B4" s="6">
        <v>7.6499999999999999E-2</v>
      </c>
    </row>
    <row r="5" spans="1:10" ht="43.2" x14ac:dyDescent="0.3">
      <c r="A5" s="1" t="s">
        <v>10</v>
      </c>
      <c r="B5" s="6">
        <v>3.5999999999999997E-2</v>
      </c>
    </row>
    <row r="6" spans="1:10" ht="28.8" x14ac:dyDescent="0.3">
      <c r="A6" s="1" t="s">
        <v>14</v>
      </c>
      <c r="B6" s="6">
        <v>5.6800000000000003E-2</v>
      </c>
    </row>
    <row r="10" spans="1:10" s="7" customFormat="1" x14ac:dyDescent="0.3">
      <c r="A10" s="7" t="s">
        <v>9</v>
      </c>
      <c r="B10" s="7" t="s">
        <v>8</v>
      </c>
      <c r="C10" s="7" t="s">
        <v>0</v>
      </c>
      <c r="D10" s="7" t="s">
        <v>4</v>
      </c>
      <c r="E10" s="7" t="s">
        <v>12</v>
      </c>
      <c r="F10" s="7" t="s">
        <v>2</v>
      </c>
      <c r="G10" s="7" t="s">
        <v>7</v>
      </c>
      <c r="H10" s="7" t="s">
        <v>5</v>
      </c>
      <c r="I10" s="7" t="s">
        <v>11</v>
      </c>
    </row>
    <row r="11" spans="1:10" x14ac:dyDescent="0.3">
      <c r="A11" s="1">
        <v>0</v>
      </c>
      <c r="B11" s="1">
        <v>0</v>
      </c>
      <c r="C11" s="2"/>
      <c r="D11" s="2"/>
      <c r="E11" s="2"/>
      <c r="F11" s="2"/>
      <c r="G11" s="2"/>
      <c r="H11" s="2">
        <v>0</v>
      </c>
      <c r="I11" s="2">
        <f>750000000*0.2</f>
        <v>150000000</v>
      </c>
      <c r="J11" s="5">
        <f>(H11/I11)</f>
        <v>0</v>
      </c>
    </row>
    <row r="12" spans="1:10" x14ac:dyDescent="0.3">
      <c r="A12" s="1">
        <v>1</v>
      </c>
      <c r="B12" s="1">
        <v>1</v>
      </c>
      <c r="C12" s="2">
        <f>H11</f>
        <v>0</v>
      </c>
      <c r="D12" s="2">
        <f>B1</f>
        <v>2000000</v>
      </c>
      <c r="E12" s="2">
        <f>B1</f>
        <v>2000000</v>
      </c>
      <c r="F12" s="2">
        <f>IF(OR(B12=6,B12=12),D12*$B$2*2,D12*$B$2)</f>
        <v>200000</v>
      </c>
      <c r="G12" s="2">
        <f>(H11+F12)*((1+$B$3)^(1/12)-1)</f>
        <v>1746.9187647103813</v>
      </c>
      <c r="H12" s="2">
        <f>F12+C12+G12</f>
        <v>201746.91876471037</v>
      </c>
      <c r="I12" s="2">
        <f>I11</f>
        <v>150000000</v>
      </c>
      <c r="J12" s="5">
        <f t="shared" ref="J12:J75" si="0">(H12/I12)</f>
        <v>1.3449794584314025E-3</v>
      </c>
    </row>
    <row r="13" spans="1:10" x14ac:dyDescent="0.3">
      <c r="A13" s="1">
        <f>IF(B13=1,A12+1,A12)</f>
        <v>1</v>
      </c>
      <c r="B13" s="1">
        <f>IF(B12=12,1,B12+1)</f>
        <v>2</v>
      </c>
      <c r="C13" s="2">
        <f t="shared" ref="C13:C35" si="1">H12</f>
        <v>201746.91876471037</v>
      </c>
      <c r="D13" s="2">
        <f>IF(B13&lt;&gt;1,D12,IF(AND(A13=3,B13=1),D12*2,IF(AND(A13=10,B13=1),D12*2,D12*(1+IF(D12&gt;E12,$B$6,$B$4)))))</f>
        <v>2000000</v>
      </c>
      <c r="E13" s="2">
        <f>IF(B13&lt;&gt;1,E12,E12*(1+$B$4))</f>
        <v>2000000</v>
      </c>
      <c r="F13" s="2">
        <f t="shared" ref="F13:F76" si="2">IF(OR(B13=6,B13=12),D13*$B$2*2,D13*$B$2)</f>
        <v>200000</v>
      </c>
      <c r="G13" s="2">
        <f>(H12+F13)*((1+$B$3)^(1/12)-1)</f>
        <v>3509.0961552732483</v>
      </c>
      <c r="H13" s="2">
        <f t="shared" ref="H13:H35" si="3">F13+C13+G13</f>
        <v>405256.01491998363</v>
      </c>
      <c r="I13" s="2">
        <f>IF(B13=1,I12*(1+$B$5),I12)</f>
        <v>150000000</v>
      </c>
      <c r="J13" s="5">
        <f t="shared" si="0"/>
        <v>2.701706766133224E-3</v>
      </c>
    </row>
    <row r="14" spans="1:10" x14ac:dyDescent="0.3">
      <c r="A14" s="1">
        <f t="shared" ref="A14:A35" si="4">IF(B14=1,A13+1,A13)</f>
        <v>1</v>
      </c>
      <c r="B14" s="1">
        <f t="shared" ref="B14:B35" si="5">IF(B13=12,1,B13+1)</f>
        <v>3</v>
      </c>
      <c r="C14" s="2">
        <f t="shared" si="1"/>
        <v>405256.01491998363</v>
      </c>
      <c r="D14" s="2">
        <f t="shared" ref="D14:D77" si="6">IF(B14&lt;&gt;1,D13,IF(AND(A14=3,B14=1),D13*2,IF(AND(A14=10,B14=1),D13*2,D13*(1+IF(D13&gt;E13,$B$6,$B$4)))))</f>
        <v>2000000</v>
      </c>
      <c r="E14" s="2">
        <f t="shared" ref="E14:E77" si="7">IF(B14&lt;&gt;1,E13,E13*(1+$B$4))</f>
        <v>2000000</v>
      </c>
      <c r="F14" s="2">
        <f t="shared" si="2"/>
        <v>200000</v>
      </c>
      <c r="G14" s="2">
        <f t="shared" ref="G14:G35" si="8">(H13+F14)*((1+$B$3)^(1/12)-1)</f>
        <v>5286.6654495877301</v>
      </c>
      <c r="H14" s="2">
        <f t="shared" si="3"/>
        <v>610542.68036957143</v>
      </c>
      <c r="I14" s="2">
        <f t="shared" ref="I14:I77" si="9">IF(B14=1,I13*(1+$B$5),I13)</f>
        <v>150000000</v>
      </c>
      <c r="J14" s="5">
        <f t="shared" si="0"/>
        <v>4.0702845357971432E-3</v>
      </c>
    </row>
    <row r="15" spans="1:10" x14ac:dyDescent="0.3">
      <c r="A15" s="1">
        <f t="shared" si="4"/>
        <v>1</v>
      </c>
      <c r="B15" s="1">
        <f t="shared" si="5"/>
        <v>4</v>
      </c>
      <c r="C15" s="2">
        <f t="shared" si="1"/>
        <v>610542.68036957143</v>
      </c>
      <c r="D15" s="2">
        <f t="shared" si="6"/>
        <v>2000000</v>
      </c>
      <c r="E15" s="2">
        <f t="shared" si="7"/>
        <v>2000000</v>
      </c>
      <c r="F15" s="2">
        <f t="shared" si="2"/>
        <v>200000</v>
      </c>
      <c r="G15" s="2">
        <f t="shared" si="8"/>
        <v>7079.7610896812657</v>
      </c>
      <c r="H15" s="2">
        <f t="shared" si="3"/>
        <v>817622.44145925273</v>
      </c>
      <c r="I15" s="2">
        <f t="shared" si="9"/>
        <v>150000000</v>
      </c>
      <c r="J15" s="5">
        <f t="shared" si="0"/>
        <v>5.4508162763950178E-3</v>
      </c>
    </row>
    <row r="16" spans="1:10" x14ac:dyDescent="0.3">
      <c r="A16" s="1">
        <f t="shared" si="4"/>
        <v>1</v>
      </c>
      <c r="B16" s="1">
        <f t="shared" si="5"/>
        <v>5</v>
      </c>
      <c r="C16" s="2">
        <f t="shared" si="1"/>
        <v>817622.44145925273</v>
      </c>
      <c r="D16" s="2">
        <f t="shared" si="6"/>
        <v>2000000</v>
      </c>
      <c r="E16" s="2">
        <f t="shared" si="7"/>
        <v>2000000</v>
      </c>
      <c r="F16" s="2">
        <f t="shared" si="2"/>
        <v>200000</v>
      </c>
      <c r="G16" s="2">
        <f t="shared" si="8"/>
        <v>8888.5186918777999</v>
      </c>
      <c r="H16" s="2">
        <f t="shared" si="3"/>
        <v>1026510.9601511306</v>
      </c>
      <c r="I16" s="2">
        <f t="shared" si="9"/>
        <v>150000000</v>
      </c>
      <c r="J16" s="5">
        <f t="shared" si="0"/>
        <v>6.8434064010075369E-3</v>
      </c>
    </row>
    <row r="17" spans="1:10" x14ac:dyDescent="0.3">
      <c r="A17" s="1">
        <f t="shared" si="4"/>
        <v>1</v>
      </c>
      <c r="B17" s="1">
        <f t="shared" si="5"/>
        <v>6</v>
      </c>
      <c r="C17" s="2">
        <f t="shared" si="1"/>
        <v>1026510.9601511306</v>
      </c>
      <c r="D17" s="2">
        <f t="shared" si="6"/>
        <v>2000000</v>
      </c>
      <c r="E17" s="2">
        <f t="shared" si="7"/>
        <v>2000000</v>
      </c>
      <c r="F17" s="2">
        <f t="shared" si="2"/>
        <v>400000</v>
      </c>
      <c r="G17" s="2">
        <f t="shared" si="8"/>
        <v>12459.993821765163</v>
      </c>
      <c r="H17" s="2">
        <f t="shared" si="3"/>
        <v>1438970.9539728956</v>
      </c>
      <c r="I17" s="2">
        <f t="shared" si="9"/>
        <v>150000000</v>
      </c>
      <c r="J17" s="5">
        <f t="shared" si="0"/>
        <v>9.5931396931526382E-3</v>
      </c>
    </row>
    <row r="18" spans="1:10" x14ac:dyDescent="0.3">
      <c r="A18" s="1">
        <f t="shared" si="4"/>
        <v>1</v>
      </c>
      <c r="B18" s="1">
        <f t="shared" si="5"/>
        <v>7</v>
      </c>
      <c r="C18" s="2">
        <f t="shared" si="1"/>
        <v>1438970.9539728956</v>
      </c>
      <c r="D18" s="2">
        <f t="shared" si="6"/>
        <v>2000000</v>
      </c>
      <c r="E18" s="2">
        <f t="shared" si="7"/>
        <v>2000000</v>
      </c>
      <c r="F18" s="2">
        <f t="shared" si="2"/>
        <v>200000</v>
      </c>
      <c r="G18" s="2">
        <f t="shared" si="8"/>
        <v>14315.74557155263</v>
      </c>
      <c r="H18" s="2">
        <f t="shared" si="3"/>
        <v>1653286.6995444482</v>
      </c>
      <c r="I18" s="2">
        <f t="shared" si="9"/>
        <v>150000000</v>
      </c>
      <c r="J18" s="5">
        <f t="shared" si="0"/>
        <v>1.102191133029632E-2</v>
      </c>
    </row>
    <row r="19" spans="1:10" x14ac:dyDescent="0.3">
      <c r="A19" s="1">
        <f t="shared" si="4"/>
        <v>1</v>
      </c>
      <c r="B19" s="1">
        <f t="shared" si="5"/>
        <v>8</v>
      </c>
      <c r="C19" s="2">
        <f t="shared" si="1"/>
        <v>1653286.6995444482</v>
      </c>
      <c r="D19" s="2">
        <f t="shared" si="6"/>
        <v>2000000</v>
      </c>
      <c r="E19" s="2">
        <f t="shared" si="7"/>
        <v>2000000</v>
      </c>
      <c r="F19" s="2">
        <f t="shared" si="2"/>
        <v>200000</v>
      </c>
      <c r="G19" s="2">
        <f t="shared" si="8"/>
        <v>16187.706559111833</v>
      </c>
      <c r="H19" s="2">
        <f t="shared" si="3"/>
        <v>1869474.40610356</v>
      </c>
      <c r="I19" s="2">
        <f t="shared" si="9"/>
        <v>150000000</v>
      </c>
      <c r="J19" s="5">
        <f t="shared" si="0"/>
        <v>1.2463162707357067E-2</v>
      </c>
    </row>
    <row r="20" spans="1:10" x14ac:dyDescent="0.3">
      <c r="A20" s="1">
        <f t="shared" si="4"/>
        <v>1</v>
      </c>
      <c r="B20" s="1">
        <f t="shared" si="5"/>
        <v>9</v>
      </c>
      <c r="C20" s="2">
        <f t="shared" si="1"/>
        <v>1869474.40610356</v>
      </c>
      <c r="D20" s="2">
        <f t="shared" si="6"/>
        <v>2000000</v>
      </c>
      <c r="E20" s="2">
        <f t="shared" si="7"/>
        <v>2000000</v>
      </c>
      <c r="F20" s="2">
        <f t="shared" si="2"/>
        <v>200000</v>
      </c>
      <c r="G20" s="2">
        <f t="shared" si="8"/>
        <v>18076.018365550903</v>
      </c>
      <c r="H20" s="2">
        <f t="shared" si="3"/>
        <v>2087550.424469111</v>
      </c>
      <c r="I20" s="2">
        <f t="shared" si="9"/>
        <v>150000000</v>
      </c>
      <c r="J20" s="5">
        <f t="shared" si="0"/>
        <v>1.3917002829794073E-2</v>
      </c>
    </row>
    <row r="21" spans="1:10" x14ac:dyDescent="0.3">
      <c r="A21" s="1">
        <f t="shared" si="4"/>
        <v>1</v>
      </c>
      <c r="B21" s="1">
        <f t="shared" si="5"/>
        <v>10</v>
      </c>
      <c r="C21" s="2">
        <f t="shared" si="1"/>
        <v>2087550.424469111</v>
      </c>
      <c r="D21" s="2">
        <f t="shared" si="6"/>
        <v>2000000</v>
      </c>
      <c r="E21" s="2">
        <f t="shared" si="7"/>
        <v>2000000</v>
      </c>
      <c r="F21" s="2">
        <f t="shared" si="2"/>
        <v>200000</v>
      </c>
      <c r="G21" s="2">
        <f t="shared" si="8"/>
        <v>19980.823808631438</v>
      </c>
      <c r="H21" s="2">
        <f t="shared" si="3"/>
        <v>2307531.2482777424</v>
      </c>
      <c r="I21" s="2">
        <f t="shared" si="9"/>
        <v>150000000</v>
      </c>
      <c r="J21" s="5">
        <f t="shared" si="0"/>
        <v>1.538354165518495E-2</v>
      </c>
    </row>
    <row r="22" spans="1:10" x14ac:dyDescent="0.3">
      <c r="A22" s="1">
        <f t="shared" si="4"/>
        <v>1</v>
      </c>
      <c r="B22" s="1">
        <f t="shared" si="5"/>
        <v>11</v>
      </c>
      <c r="C22" s="2">
        <f t="shared" si="1"/>
        <v>2307531.2482777424</v>
      </c>
      <c r="D22" s="2">
        <f t="shared" si="6"/>
        <v>2000000</v>
      </c>
      <c r="E22" s="2">
        <f t="shared" si="7"/>
        <v>2000000</v>
      </c>
      <c r="F22" s="2">
        <f t="shared" si="2"/>
        <v>200000</v>
      </c>
      <c r="G22" s="2">
        <f t="shared" si="8"/>
        <v>21902.266953570172</v>
      </c>
      <c r="H22" s="2">
        <f t="shared" si="3"/>
        <v>2529433.5152313127</v>
      </c>
      <c r="I22" s="2">
        <f t="shared" si="9"/>
        <v>150000000</v>
      </c>
      <c r="J22" s="5">
        <f t="shared" si="0"/>
        <v>1.6862890101542086E-2</v>
      </c>
    </row>
    <row r="23" spans="1:10" x14ac:dyDescent="0.3">
      <c r="A23" s="1">
        <f t="shared" si="4"/>
        <v>1</v>
      </c>
      <c r="B23" s="1">
        <f t="shared" si="5"/>
        <v>12</v>
      </c>
      <c r="C23" s="2">
        <f t="shared" si="1"/>
        <v>2529433.5152313127</v>
      </c>
      <c r="D23" s="2">
        <f t="shared" si="6"/>
        <v>2000000</v>
      </c>
      <c r="E23" s="2">
        <f t="shared" si="7"/>
        <v>2000000</v>
      </c>
      <c r="F23" s="2">
        <f t="shared" si="2"/>
        <v>400000</v>
      </c>
      <c r="G23" s="2">
        <f t="shared" si="8"/>
        <v>25587.411888645373</v>
      </c>
      <c r="H23" s="2">
        <f t="shared" si="3"/>
        <v>2955020.9271199582</v>
      </c>
      <c r="I23" s="2">
        <f t="shared" si="9"/>
        <v>150000000</v>
      </c>
      <c r="J23" s="5">
        <f t="shared" si="0"/>
        <v>1.9700139514133054E-2</v>
      </c>
    </row>
    <row r="24" spans="1:10" x14ac:dyDescent="0.3">
      <c r="A24" s="1">
        <f>IF(B24=1,A23+1,A23)</f>
        <v>2</v>
      </c>
      <c r="B24" s="1">
        <f t="shared" si="5"/>
        <v>1</v>
      </c>
      <c r="C24" s="2">
        <f t="shared" si="1"/>
        <v>2955020.9271199582</v>
      </c>
      <c r="D24" s="2">
        <f t="shared" si="6"/>
        <v>2153000</v>
      </c>
      <c r="E24" s="2">
        <f t="shared" si="7"/>
        <v>2153000</v>
      </c>
      <c r="F24" s="2">
        <f t="shared" si="2"/>
        <v>215300</v>
      </c>
      <c r="G24" s="2">
        <f t="shared" si="8"/>
        <v>27691.465588699339</v>
      </c>
      <c r="H24" s="2">
        <f t="shared" si="3"/>
        <v>3198012.3927086578</v>
      </c>
      <c r="I24" s="2">
        <f t="shared" si="9"/>
        <v>155400000</v>
      </c>
      <c r="J24" s="5">
        <f t="shared" si="0"/>
        <v>2.0579230326310538E-2</v>
      </c>
    </row>
    <row r="25" spans="1:10" x14ac:dyDescent="0.3">
      <c r="A25" s="1">
        <f t="shared" si="4"/>
        <v>2</v>
      </c>
      <c r="B25" s="1">
        <f t="shared" si="5"/>
        <v>2</v>
      </c>
      <c r="C25" s="2">
        <f t="shared" si="1"/>
        <v>3198012.3927086578</v>
      </c>
      <c r="D25" s="2">
        <f t="shared" si="6"/>
        <v>2153000</v>
      </c>
      <c r="E25" s="2">
        <f t="shared" si="7"/>
        <v>2153000</v>
      </c>
      <c r="F25" s="2">
        <f t="shared" si="2"/>
        <v>215300</v>
      </c>
      <c r="G25" s="2">
        <f t="shared" si="8"/>
        <v>29813.897343206219</v>
      </c>
      <c r="H25" s="2">
        <f t="shared" si="3"/>
        <v>3443126.290051864</v>
      </c>
      <c r="I25" s="2">
        <f t="shared" si="9"/>
        <v>155400000</v>
      </c>
      <c r="J25" s="5">
        <f t="shared" si="0"/>
        <v>2.2156539833023577E-2</v>
      </c>
    </row>
    <row r="26" spans="1:10" x14ac:dyDescent="0.3">
      <c r="A26" s="1">
        <f t="shared" si="4"/>
        <v>2</v>
      </c>
      <c r="B26" s="1">
        <f t="shared" si="5"/>
        <v>3</v>
      </c>
      <c r="C26" s="2">
        <f t="shared" si="1"/>
        <v>3443126.290051864</v>
      </c>
      <c r="D26" s="2">
        <f t="shared" si="6"/>
        <v>2153000</v>
      </c>
      <c r="E26" s="2">
        <f t="shared" si="7"/>
        <v>2153000</v>
      </c>
      <c r="F26" s="2">
        <f t="shared" si="2"/>
        <v>215300</v>
      </c>
      <c r="G26" s="2">
        <f t="shared" si="8"/>
        <v>31954.867677006925</v>
      </c>
      <c r="H26" s="2">
        <f t="shared" si="3"/>
        <v>3690381.1577288709</v>
      </c>
      <c r="I26" s="2">
        <f t="shared" si="9"/>
        <v>155400000</v>
      </c>
      <c r="J26" s="5">
        <f t="shared" si="0"/>
        <v>2.3747626497611782E-2</v>
      </c>
    </row>
    <row r="27" spans="1:10" x14ac:dyDescent="0.3">
      <c r="A27" s="1">
        <f t="shared" si="4"/>
        <v>2</v>
      </c>
      <c r="B27" s="1">
        <f t="shared" si="5"/>
        <v>4</v>
      </c>
      <c r="C27" s="2">
        <f t="shared" si="1"/>
        <v>3690381.1577288709</v>
      </c>
      <c r="D27" s="2">
        <f t="shared" si="6"/>
        <v>2153000</v>
      </c>
      <c r="E27" s="2">
        <f t="shared" si="7"/>
        <v>2153000</v>
      </c>
      <c r="F27" s="2">
        <f t="shared" si="2"/>
        <v>215300</v>
      </c>
      <c r="G27" s="2">
        <f t="shared" si="8"/>
        <v>34114.53851706165</v>
      </c>
      <c r="H27" s="2">
        <f t="shared" si="3"/>
        <v>3939795.6962459325</v>
      </c>
      <c r="I27" s="2">
        <f t="shared" si="9"/>
        <v>155400000</v>
      </c>
      <c r="J27" s="5">
        <f t="shared" si="0"/>
        <v>2.5352610657953235E-2</v>
      </c>
    </row>
    <row r="28" spans="1:10" x14ac:dyDescent="0.3">
      <c r="A28" s="1">
        <f t="shared" si="4"/>
        <v>2</v>
      </c>
      <c r="B28" s="1">
        <f t="shared" si="5"/>
        <v>5</v>
      </c>
      <c r="C28" s="2">
        <f t="shared" si="1"/>
        <v>3939795.6962459325</v>
      </c>
      <c r="D28" s="2">
        <f t="shared" si="6"/>
        <v>2153000</v>
      </c>
      <c r="E28" s="2">
        <f t="shared" si="7"/>
        <v>2153000</v>
      </c>
      <c r="F28" s="2">
        <f t="shared" si="2"/>
        <v>215300</v>
      </c>
      <c r="G28" s="2">
        <f t="shared" si="8"/>
        <v>36293.073204696826</v>
      </c>
      <c r="H28" s="2">
        <f t="shared" si="3"/>
        <v>4191388.7694506291</v>
      </c>
      <c r="I28" s="2">
        <f t="shared" si="9"/>
        <v>155400000</v>
      </c>
      <c r="J28" s="5">
        <f t="shared" si="0"/>
        <v>2.6971613703028502E-2</v>
      </c>
    </row>
    <row r="29" spans="1:10" x14ac:dyDescent="0.3">
      <c r="A29" s="1">
        <f t="shared" si="4"/>
        <v>2</v>
      </c>
      <c r="B29" s="1">
        <f t="shared" si="5"/>
        <v>6</v>
      </c>
      <c r="C29" s="2">
        <f t="shared" si="1"/>
        <v>4191388.7694506291</v>
      </c>
      <c r="D29" s="2">
        <f t="shared" si="6"/>
        <v>2153000</v>
      </c>
      <c r="E29" s="2">
        <f t="shared" si="7"/>
        <v>2153000</v>
      </c>
      <c r="F29" s="2">
        <f t="shared" si="2"/>
        <v>430600</v>
      </c>
      <c r="G29" s="2">
        <f t="shared" si="8"/>
        <v>40371.194558169736</v>
      </c>
      <c r="H29" s="2">
        <f t="shared" si="3"/>
        <v>4662359.9640087988</v>
      </c>
      <c r="I29" s="2">
        <f t="shared" si="9"/>
        <v>155400000</v>
      </c>
      <c r="J29" s="5">
        <f t="shared" si="0"/>
        <v>3.0002316370712993E-2</v>
      </c>
    </row>
    <row r="30" spans="1:10" x14ac:dyDescent="0.3">
      <c r="A30" s="1">
        <f t="shared" si="4"/>
        <v>2</v>
      </c>
      <c r="B30" s="1">
        <f t="shared" si="5"/>
        <v>7</v>
      </c>
      <c r="C30" s="2">
        <f t="shared" si="1"/>
        <v>4662359.9640087988</v>
      </c>
      <c r="D30" s="2">
        <f t="shared" si="6"/>
        <v>2153000</v>
      </c>
      <c r="E30" s="2">
        <f t="shared" si="7"/>
        <v>2153000</v>
      </c>
      <c r="F30" s="2">
        <f t="shared" si="2"/>
        <v>215300</v>
      </c>
      <c r="G30" s="2">
        <f t="shared" si="8"/>
        <v>42604.378595017668</v>
      </c>
      <c r="H30" s="2">
        <f t="shared" si="3"/>
        <v>4920264.3426038167</v>
      </c>
      <c r="I30" s="2">
        <f t="shared" si="9"/>
        <v>155400000</v>
      </c>
      <c r="J30" s="5">
        <f t="shared" si="0"/>
        <v>3.1661932706588264E-2</v>
      </c>
    </row>
    <row r="31" spans="1:10" x14ac:dyDescent="0.3">
      <c r="A31" s="1">
        <f t="shared" si="4"/>
        <v>2</v>
      </c>
      <c r="B31" s="1">
        <f t="shared" si="5"/>
        <v>8</v>
      </c>
      <c r="C31" s="2">
        <f t="shared" si="1"/>
        <v>4920264.3426038167</v>
      </c>
      <c r="D31" s="2">
        <f t="shared" si="6"/>
        <v>2153000</v>
      </c>
      <c r="E31" s="2">
        <f t="shared" si="7"/>
        <v>2153000</v>
      </c>
      <c r="F31" s="2">
        <f t="shared" si="2"/>
        <v>215300</v>
      </c>
      <c r="G31" s="2">
        <f t="shared" si="8"/>
        <v>44857.0685873607</v>
      </c>
      <c r="H31" s="2">
        <f t="shared" si="3"/>
        <v>5180421.4111911776</v>
      </c>
      <c r="I31" s="2">
        <f t="shared" si="9"/>
        <v>155400000</v>
      </c>
      <c r="J31" s="5">
        <f t="shared" si="0"/>
        <v>3.3336045117060342E-2</v>
      </c>
    </row>
    <row r="32" spans="1:10" x14ac:dyDescent="0.3">
      <c r="A32" s="1">
        <f t="shared" si="4"/>
        <v>2</v>
      </c>
      <c r="B32" s="1">
        <f t="shared" si="5"/>
        <v>9</v>
      </c>
      <c r="C32" s="2">
        <f t="shared" si="1"/>
        <v>5180421.4111911776</v>
      </c>
      <c r="D32" s="2">
        <f t="shared" si="6"/>
        <v>2153000</v>
      </c>
      <c r="E32" s="2">
        <f t="shared" si="7"/>
        <v>2153000</v>
      </c>
      <c r="F32" s="2">
        <f t="shared" si="2"/>
        <v>215300</v>
      </c>
      <c r="G32" s="2">
        <f t="shared" si="8"/>
        <v>47129.434911797231</v>
      </c>
      <c r="H32" s="2">
        <f t="shared" si="3"/>
        <v>5442850.8461029744</v>
      </c>
      <c r="I32" s="2">
        <f t="shared" si="9"/>
        <v>155400000</v>
      </c>
      <c r="J32" s="5">
        <f t="shared" si="0"/>
        <v>3.5024780219452857E-2</v>
      </c>
    </row>
    <row r="33" spans="1:10" x14ac:dyDescent="0.3">
      <c r="A33" s="1">
        <f t="shared" si="4"/>
        <v>2</v>
      </c>
      <c r="B33" s="1">
        <f t="shared" si="5"/>
        <v>10</v>
      </c>
      <c r="C33" s="2">
        <f t="shared" si="1"/>
        <v>5442850.8461029744</v>
      </c>
      <c r="D33" s="2">
        <f t="shared" si="6"/>
        <v>2153000</v>
      </c>
      <c r="E33" s="2">
        <f t="shared" si="7"/>
        <v>2153000</v>
      </c>
      <c r="F33" s="2">
        <f t="shared" si="2"/>
        <v>215300</v>
      </c>
      <c r="G33" s="2">
        <f t="shared" si="8"/>
        <v>49421.649433096034</v>
      </c>
      <c r="H33" s="2">
        <f t="shared" si="3"/>
        <v>5707572.4955360703</v>
      </c>
      <c r="I33" s="2">
        <f t="shared" si="9"/>
        <v>155400000</v>
      </c>
      <c r="J33" s="5">
        <f t="shared" si="0"/>
        <v>3.6728265737040348E-2</v>
      </c>
    </row>
    <row r="34" spans="1:10" x14ac:dyDescent="0.3">
      <c r="A34" s="1">
        <f t="shared" si="4"/>
        <v>2</v>
      </c>
      <c r="B34" s="1">
        <f t="shared" si="5"/>
        <v>11</v>
      </c>
      <c r="C34" s="2">
        <f t="shared" si="1"/>
        <v>5707572.4955360703</v>
      </c>
      <c r="D34" s="2">
        <f t="shared" si="6"/>
        <v>2153000</v>
      </c>
      <c r="E34" s="2">
        <f t="shared" si="7"/>
        <v>2153000</v>
      </c>
      <c r="F34" s="2">
        <f t="shared" si="2"/>
        <v>215300</v>
      </c>
      <c r="G34" s="2">
        <f t="shared" si="8"/>
        <v>51733.885517194823</v>
      </c>
      <c r="H34" s="2">
        <f t="shared" si="3"/>
        <v>5974606.3810532652</v>
      </c>
      <c r="I34" s="2">
        <f t="shared" si="9"/>
        <v>155400000</v>
      </c>
      <c r="J34" s="5">
        <f t="shared" si="0"/>
        <v>3.8446630508708272E-2</v>
      </c>
    </row>
    <row r="35" spans="1:10" x14ac:dyDescent="0.3">
      <c r="A35" s="1">
        <f t="shared" si="4"/>
        <v>2</v>
      </c>
      <c r="B35" s="1">
        <f t="shared" si="5"/>
        <v>12</v>
      </c>
      <c r="C35" s="2">
        <f t="shared" si="1"/>
        <v>5974606.3810532652</v>
      </c>
      <c r="D35" s="2">
        <f t="shared" si="6"/>
        <v>2153000</v>
      </c>
      <c r="E35" s="2">
        <f t="shared" si="7"/>
        <v>2153000</v>
      </c>
      <c r="F35" s="2">
        <f t="shared" si="2"/>
        <v>430600</v>
      </c>
      <c r="G35" s="2">
        <f t="shared" si="8"/>
        <v>55946.876094523104</v>
      </c>
      <c r="H35" s="2">
        <f t="shared" si="3"/>
        <v>6461153.2571477881</v>
      </c>
      <c r="I35" s="2">
        <f t="shared" si="9"/>
        <v>155400000</v>
      </c>
      <c r="J35" s="5">
        <f t="shared" si="0"/>
        <v>4.1577562787308807E-2</v>
      </c>
    </row>
    <row r="36" spans="1:10" x14ac:dyDescent="0.3">
      <c r="A36" s="1">
        <f t="shared" ref="A36:A99" si="10">IF(B36=1,A35+1,A35)</f>
        <v>3</v>
      </c>
      <c r="B36" s="1">
        <f t="shared" ref="B36:B99" si="11">IF(B35=12,1,B35+1)</f>
        <v>1</v>
      </c>
      <c r="C36" s="2">
        <f t="shared" ref="C36:C99" si="12">H35</f>
        <v>6461153.2571477881</v>
      </c>
      <c r="D36" s="2">
        <f t="shared" si="6"/>
        <v>4306000</v>
      </c>
      <c r="E36" s="2">
        <f t="shared" si="7"/>
        <v>2317704.5</v>
      </c>
      <c r="F36" s="2">
        <f t="shared" si="2"/>
        <v>430600</v>
      </c>
      <c r="G36" s="2">
        <f t="shared" ref="G36" si="13">(H35+F36)*((1+$B$3)^(1/12)-1)</f>
        <v>60196.665433326802</v>
      </c>
      <c r="H36" s="2">
        <f t="shared" ref="H36:H99" si="14">F36+C36+G36</f>
        <v>6951949.9225811148</v>
      </c>
      <c r="I36" s="2">
        <f t="shared" si="9"/>
        <v>160994400</v>
      </c>
      <c r="J36" s="5">
        <f t="shared" si="0"/>
        <v>4.3181315142521201E-2</v>
      </c>
    </row>
    <row r="37" spans="1:10" x14ac:dyDescent="0.3">
      <c r="A37" s="1">
        <f t="shared" si="10"/>
        <v>3</v>
      </c>
      <c r="B37" s="1">
        <f t="shared" si="11"/>
        <v>2</v>
      </c>
      <c r="C37" s="2">
        <f t="shared" si="12"/>
        <v>6951949.9225811148</v>
      </c>
      <c r="D37" s="2">
        <f t="shared" si="6"/>
        <v>4306000</v>
      </c>
      <c r="E37" s="2">
        <f t="shared" si="7"/>
        <v>2317704.5</v>
      </c>
      <c r="F37" s="2">
        <f t="shared" si="2"/>
        <v>430600</v>
      </c>
      <c r="G37" s="2">
        <f t="shared" ref="G37" si="15">(H36+F37)*((1+$B$3)^(1/12)-1)</f>
        <v>64483.57495584061</v>
      </c>
      <c r="H37" s="2">
        <f t="shared" si="14"/>
        <v>7447033.4975369554</v>
      </c>
      <c r="I37" s="2">
        <f t="shared" si="9"/>
        <v>160994400</v>
      </c>
      <c r="J37" s="5">
        <f t="shared" si="0"/>
        <v>4.6256475365211186E-2</v>
      </c>
    </row>
    <row r="38" spans="1:10" x14ac:dyDescent="0.3">
      <c r="A38" s="1">
        <f t="shared" si="10"/>
        <v>3</v>
      </c>
      <c r="B38" s="1">
        <f t="shared" si="11"/>
        <v>3</v>
      </c>
      <c r="C38" s="2">
        <f t="shared" si="12"/>
        <v>7447033.4975369554</v>
      </c>
      <c r="D38" s="2">
        <f t="shared" si="6"/>
        <v>4306000</v>
      </c>
      <c r="E38" s="2">
        <f t="shared" si="7"/>
        <v>2317704.5</v>
      </c>
      <c r="F38" s="2">
        <f t="shared" si="2"/>
        <v>430600</v>
      </c>
      <c r="G38" s="2">
        <f t="shared" ref="G38" si="16">(H37+F38)*((1+$B$3)^(1/12)-1)</f>
        <v>68807.928891791889</v>
      </c>
      <c r="H38" s="2">
        <f t="shared" si="14"/>
        <v>7946441.4264287474</v>
      </c>
      <c r="I38" s="2">
        <f t="shared" si="9"/>
        <v>160994400</v>
      </c>
      <c r="J38" s="5">
        <f t="shared" si="0"/>
        <v>4.935849586338871E-2</v>
      </c>
    </row>
    <row r="39" spans="1:10" x14ac:dyDescent="0.3">
      <c r="A39" s="1">
        <f t="shared" si="10"/>
        <v>3</v>
      </c>
      <c r="B39" s="1">
        <f t="shared" si="11"/>
        <v>4</v>
      </c>
      <c r="C39" s="2">
        <f t="shared" si="12"/>
        <v>7946441.4264287474</v>
      </c>
      <c r="D39" s="2">
        <f t="shared" si="6"/>
        <v>4306000</v>
      </c>
      <c r="E39" s="2">
        <f t="shared" si="7"/>
        <v>2317704.5</v>
      </c>
      <c r="F39" s="2">
        <f t="shared" si="2"/>
        <v>430600</v>
      </c>
      <c r="G39" s="2">
        <f t="shared" ref="G39" si="17">(H38+F39)*((1+$B$3)^(1/12)-1)</f>
        <v>73170.054302922988</v>
      </c>
      <c r="H39" s="2">
        <f t="shared" si="14"/>
        <v>8450211.4807316698</v>
      </c>
      <c r="I39" s="2">
        <f t="shared" si="9"/>
        <v>160994400</v>
      </c>
      <c r="J39" s="5">
        <f t="shared" si="0"/>
        <v>5.2487611250650143E-2</v>
      </c>
    </row>
    <row r="40" spans="1:10" x14ac:dyDescent="0.3">
      <c r="A40" s="1">
        <f t="shared" si="10"/>
        <v>3</v>
      </c>
      <c r="B40" s="1">
        <f t="shared" si="11"/>
        <v>5</v>
      </c>
      <c r="C40" s="2">
        <f t="shared" si="12"/>
        <v>8450211.4807316698</v>
      </c>
      <c r="D40" s="2">
        <f t="shared" si="6"/>
        <v>4306000</v>
      </c>
      <c r="E40" s="2">
        <f t="shared" si="7"/>
        <v>2317704.5</v>
      </c>
      <c r="F40" s="2">
        <f t="shared" si="2"/>
        <v>430600</v>
      </c>
      <c r="G40" s="2">
        <f t="shared" ref="G40" si="18">(H39+F40)*((1+$B$3)^(1/12)-1)</f>
        <v>77570.2811077277</v>
      </c>
      <c r="H40" s="2">
        <f t="shared" si="14"/>
        <v>8958381.7618393973</v>
      </c>
      <c r="I40" s="2">
        <f t="shared" si="9"/>
        <v>160994400</v>
      </c>
      <c r="J40" s="5">
        <f t="shared" si="0"/>
        <v>5.5644058189846336E-2</v>
      </c>
    </row>
    <row r="41" spans="1:10" x14ac:dyDescent="0.3">
      <c r="A41" s="1">
        <f t="shared" si="10"/>
        <v>3</v>
      </c>
      <c r="B41" s="1">
        <f t="shared" si="11"/>
        <v>6</v>
      </c>
      <c r="C41" s="2">
        <f t="shared" si="12"/>
        <v>8958381.7618393973</v>
      </c>
      <c r="D41" s="2">
        <f t="shared" si="6"/>
        <v>4306000</v>
      </c>
      <c r="E41" s="2">
        <f t="shared" si="7"/>
        <v>2317704.5</v>
      </c>
      <c r="F41" s="2">
        <f t="shared" si="2"/>
        <v>861200</v>
      </c>
      <c r="G41" s="2">
        <f t="shared" ref="G41" si="19">(H40+F41)*((1+$B$3)^(1/12)-1)</f>
        <v>85770.058206825342</v>
      </c>
      <c r="H41" s="2">
        <f t="shared" si="14"/>
        <v>9905351.8200462218</v>
      </c>
      <c r="I41" s="2">
        <f t="shared" si="9"/>
        <v>160994400</v>
      </c>
      <c r="J41" s="5">
        <f t="shared" si="0"/>
        <v>6.1526064385135269E-2</v>
      </c>
    </row>
    <row r="42" spans="1:10" x14ac:dyDescent="0.3">
      <c r="A42" s="1">
        <f t="shared" si="10"/>
        <v>3</v>
      </c>
      <c r="B42" s="1">
        <f t="shared" si="11"/>
        <v>7</v>
      </c>
      <c r="C42" s="2">
        <f t="shared" si="12"/>
        <v>9905351.8200462218</v>
      </c>
      <c r="D42" s="2">
        <f t="shared" si="6"/>
        <v>4306000</v>
      </c>
      <c r="E42" s="2">
        <f t="shared" si="7"/>
        <v>2317704.5</v>
      </c>
      <c r="F42" s="2">
        <f t="shared" si="2"/>
        <v>430600</v>
      </c>
      <c r="G42" s="2">
        <f t="shared" ref="G42" si="20">(H41+F42)*((1+$B$3)^(1/12)-1)</f>
        <v>90280.340927905811</v>
      </c>
      <c r="H42" s="2">
        <f t="shared" si="14"/>
        <v>10426232.160974128</v>
      </c>
      <c r="I42" s="2">
        <f t="shared" si="9"/>
        <v>160994400</v>
      </c>
      <c r="J42" s="5">
        <f t="shared" si="0"/>
        <v>6.476145854125441E-2</v>
      </c>
    </row>
    <row r="43" spans="1:10" x14ac:dyDescent="0.3">
      <c r="A43" s="1">
        <f t="shared" si="10"/>
        <v>3</v>
      </c>
      <c r="B43" s="1">
        <f t="shared" si="11"/>
        <v>8</v>
      </c>
      <c r="C43" s="2">
        <f t="shared" si="12"/>
        <v>10426232.160974128</v>
      </c>
      <c r="D43" s="2">
        <f t="shared" si="6"/>
        <v>4306000</v>
      </c>
      <c r="E43" s="2">
        <f t="shared" si="7"/>
        <v>2317704.5</v>
      </c>
      <c r="F43" s="2">
        <f t="shared" si="2"/>
        <v>430600</v>
      </c>
      <c r="G43" s="2">
        <f t="shared" ref="G43" si="21">(H42+F43)*((1+$B$3)^(1/12)-1)</f>
        <v>94830.01913658432</v>
      </c>
      <c r="H43" s="2">
        <f t="shared" si="14"/>
        <v>10951662.180110712</v>
      </c>
      <c r="I43" s="2">
        <f t="shared" si="9"/>
        <v>160994400</v>
      </c>
      <c r="J43" s="5">
        <f t="shared" si="0"/>
        <v>6.8025112551186331E-2</v>
      </c>
    </row>
    <row r="44" spans="1:10" x14ac:dyDescent="0.3">
      <c r="A44" s="1">
        <f t="shared" si="10"/>
        <v>3</v>
      </c>
      <c r="B44" s="1">
        <f t="shared" si="11"/>
        <v>9</v>
      </c>
      <c r="C44" s="2">
        <f t="shared" si="12"/>
        <v>10951662.180110712</v>
      </c>
      <c r="D44" s="2">
        <f t="shared" si="6"/>
        <v>4306000</v>
      </c>
      <c r="E44" s="2">
        <f t="shared" si="7"/>
        <v>2317704.5</v>
      </c>
      <c r="F44" s="2">
        <f t="shared" si="2"/>
        <v>430600</v>
      </c>
      <c r="G44" s="2">
        <f t="shared" ref="G44" si="22">(H43+F44)*((1+$B$3)^(1/12)-1)</f>
        <v>99419.436936443468</v>
      </c>
      <c r="H44" s="2">
        <f t="shared" si="14"/>
        <v>11481681.617047155</v>
      </c>
      <c r="I44" s="2">
        <f t="shared" si="9"/>
        <v>160994400</v>
      </c>
      <c r="J44" s="5">
        <f t="shared" si="0"/>
        <v>7.1317273253275609E-2</v>
      </c>
    </row>
    <row r="45" spans="1:10" x14ac:dyDescent="0.3">
      <c r="A45" s="1">
        <f t="shared" si="10"/>
        <v>3</v>
      </c>
      <c r="B45" s="1">
        <f t="shared" si="11"/>
        <v>10</v>
      </c>
      <c r="C45" s="2">
        <f t="shared" si="12"/>
        <v>11481681.617047155</v>
      </c>
      <c r="D45" s="2">
        <f t="shared" si="6"/>
        <v>4306000</v>
      </c>
      <c r="E45" s="2">
        <f t="shared" si="7"/>
        <v>2317704.5</v>
      </c>
      <c r="F45" s="2">
        <f t="shared" si="2"/>
        <v>430600</v>
      </c>
      <c r="G45" s="2">
        <f t="shared" ref="G45" si="23">(H44+F45)*((1+$B$3)^(1/12)-1)</f>
        <v>104048.941436671</v>
      </c>
      <c r="H45" s="2">
        <f t="shared" si="14"/>
        <v>12016330.558483826</v>
      </c>
      <c r="I45" s="2">
        <f t="shared" si="9"/>
        <v>160994400</v>
      </c>
      <c r="J45" s="5">
        <f t="shared" si="0"/>
        <v>7.4638189641899513E-2</v>
      </c>
    </row>
    <row r="46" spans="1:10" x14ac:dyDescent="0.3">
      <c r="A46" s="1">
        <f t="shared" si="10"/>
        <v>3</v>
      </c>
      <c r="B46" s="1">
        <f t="shared" si="11"/>
        <v>11</v>
      </c>
      <c r="C46" s="2">
        <f t="shared" si="12"/>
        <v>12016330.558483826</v>
      </c>
      <c r="D46" s="2">
        <f t="shared" si="6"/>
        <v>4306000</v>
      </c>
      <c r="E46" s="2">
        <f t="shared" si="7"/>
        <v>2317704.5</v>
      </c>
      <c r="F46" s="2">
        <f t="shared" si="2"/>
        <v>430600</v>
      </c>
      <c r="G46" s="2">
        <f t="shared" ref="G46" si="24">(H45+F46)*((1+$B$3)^(1/12)-1)</f>
        <v>108718.8827783123</v>
      </c>
      <c r="H46" s="2">
        <f t="shared" si="14"/>
        <v>12555649.441262139</v>
      </c>
      <c r="I46" s="2">
        <f t="shared" si="9"/>
        <v>160994400</v>
      </c>
      <c r="J46" s="5">
        <f t="shared" si="0"/>
        <v>7.7988112886300018E-2</v>
      </c>
    </row>
    <row r="47" spans="1:10" x14ac:dyDescent="0.3">
      <c r="A47" s="1">
        <f t="shared" si="10"/>
        <v>3</v>
      </c>
      <c r="B47" s="1">
        <f t="shared" si="11"/>
        <v>12</v>
      </c>
      <c r="C47" s="2">
        <f t="shared" si="12"/>
        <v>12555649.441262139</v>
      </c>
      <c r="D47" s="2">
        <f t="shared" si="6"/>
        <v>4306000</v>
      </c>
      <c r="E47" s="2">
        <f t="shared" si="7"/>
        <v>2317704.5</v>
      </c>
      <c r="F47" s="2">
        <f t="shared" si="2"/>
        <v>861200</v>
      </c>
      <c r="G47" s="2">
        <f t="shared" ref="G47" si="25">(H46+F47)*((1+$B$3)^(1/12)-1)</f>
        <v>117190.73026117412</v>
      </c>
      <c r="H47" s="2">
        <f t="shared" si="14"/>
        <v>13534040.171523314</v>
      </c>
      <c r="I47" s="2">
        <f t="shared" si="9"/>
        <v>160994400</v>
      </c>
      <c r="J47" s="5">
        <f t="shared" si="0"/>
        <v>8.406528532373371E-2</v>
      </c>
    </row>
    <row r="48" spans="1:10" x14ac:dyDescent="0.3">
      <c r="A48" s="1">
        <f t="shared" si="10"/>
        <v>4</v>
      </c>
      <c r="B48" s="1">
        <f t="shared" si="11"/>
        <v>1</v>
      </c>
      <c r="C48" s="2">
        <f t="shared" si="12"/>
        <v>13534040.171523314</v>
      </c>
      <c r="D48" s="2">
        <f t="shared" si="6"/>
        <v>4550580.8</v>
      </c>
      <c r="E48" s="2">
        <f t="shared" si="7"/>
        <v>2495008.8942499999</v>
      </c>
      <c r="F48" s="2">
        <f t="shared" si="2"/>
        <v>455058.08</v>
      </c>
      <c r="G48" s="2">
        <f t="shared" ref="G48" si="26">(H47+F48)*((1+$B$3)^(1/12)-1)</f>
        <v>122189.09118481631</v>
      </c>
      <c r="H48" s="2">
        <f t="shared" si="14"/>
        <v>14111287.342708129</v>
      </c>
      <c r="I48" s="2">
        <f t="shared" si="9"/>
        <v>166790198.40000001</v>
      </c>
      <c r="J48" s="5">
        <f t="shared" si="0"/>
        <v>8.4605015630871319E-2</v>
      </c>
    </row>
    <row r="49" spans="1:10" x14ac:dyDescent="0.3">
      <c r="A49" s="1">
        <f t="shared" si="10"/>
        <v>4</v>
      </c>
      <c r="B49" s="1">
        <f t="shared" si="11"/>
        <v>2</v>
      </c>
      <c r="C49" s="2">
        <f t="shared" si="12"/>
        <v>14111287.342708129</v>
      </c>
      <c r="D49" s="2">
        <f t="shared" si="6"/>
        <v>4550580.8</v>
      </c>
      <c r="E49" s="2">
        <f t="shared" si="7"/>
        <v>2495008.8942499999</v>
      </c>
      <c r="F49" s="2">
        <f t="shared" si="2"/>
        <v>455058.08</v>
      </c>
      <c r="G49" s="2">
        <f t="shared" ref="G49" si="27">(H48+F49)*((1+$B$3)^(1/12)-1)</f>
        <v>127231.11076091</v>
      </c>
      <c r="H49" s="2">
        <f t="shared" si="14"/>
        <v>14693576.53346904</v>
      </c>
      <c r="I49" s="2">
        <f t="shared" si="9"/>
        <v>166790198.40000001</v>
      </c>
      <c r="J49" s="5">
        <f t="shared" si="0"/>
        <v>8.8096163170395508E-2</v>
      </c>
    </row>
    <row r="50" spans="1:10" x14ac:dyDescent="0.3">
      <c r="A50" s="1">
        <f t="shared" si="10"/>
        <v>4</v>
      </c>
      <c r="B50" s="1">
        <f t="shared" si="11"/>
        <v>3</v>
      </c>
      <c r="C50" s="2">
        <f t="shared" si="12"/>
        <v>14693576.53346904</v>
      </c>
      <c r="D50" s="2">
        <f t="shared" si="6"/>
        <v>4550580.8</v>
      </c>
      <c r="E50" s="2">
        <f t="shared" si="7"/>
        <v>2495008.8942499999</v>
      </c>
      <c r="F50" s="2">
        <f t="shared" si="2"/>
        <v>455058.08</v>
      </c>
      <c r="G50" s="2">
        <f t="shared" ref="G50" si="28">(H49+F50)*((1+$B$3)^(1/12)-1)</f>
        <v>132317.1703300513</v>
      </c>
      <c r="H50" s="2">
        <f t="shared" si="14"/>
        <v>15280951.783799091</v>
      </c>
      <c r="I50" s="2">
        <f t="shared" si="9"/>
        <v>166790198.40000001</v>
      </c>
      <c r="J50" s="5">
        <f t="shared" si="0"/>
        <v>9.1617804465655525E-2</v>
      </c>
    </row>
    <row r="51" spans="1:10" x14ac:dyDescent="0.3">
      <c r="A51" s="1">
        <f t="shared" si="10"/>
        <v>4</v>
      </c>
      <c r="B51" s="1">
        <f t="shared" si="11"/>
        <v>4</v>
      </c>
      <c r="C51" s="2">
        <f t="shared" si="12"/>
        <v>15280951.783799091</v>
      </c>
      <c r="D51" s="2">
        <f t="shared" si="6"/>
        <v>4550580.8</v>
      </c>
      <c r="E51" s="2">
        <f t="shared" si="7"/>
        <v>2495008.8942499999</v>
      </c>
      <c r="F51" s="2">
        <f t="shared" si="2"/>
        <v>455058.08</v>
      </c>
      <c r="G51" s="2">
        <f t="shared" ref="G51" si="29">(H50+F51)*((1+$B$3)^(1/12)-1)</f>
        <v>137447.65456369141</v>
      </c>
      <c r="H51" s="2">
        <f t="shared" si="14"/>
        <v>15873457.518362783</v>
      </c>
      <c r="I51" s="2">
        <f t="shared" si="9"/>
        <v>166790198.40000001</v>
      </c>
      <c r="J51" s="5">
        <f t="shared" si="0"/>
        <v>9.5170205867221885E-2</v>
      </c>
    </row>
    <row r="52" spans="1:10" x14ac:dyDescent="0.3">
      <c r="A52" s="1">
        <f t="shared" si="10"/>
        <v>4</v>
      </c>
      <c r="B52" s="1">
        <f t="shared" si="11"/>
        <v>5</v>
      </c>
      <c r="C52" s="2">
        <f t="shared" si="12"/>
        <v>15873457.518362783</v>
      </c>
      <c r="D52" s="2">
        <f t="shared" si="6"/>
        <v>4550580.8</v>
      </c>
      <c r="E52" s="2">
        <f t="shared" si="7"/>
        <v>2495008.8942499999</v>
      </c>
      <c r="F52" s="2">
        <f t="shared" si="2"/>
        <v>455058.08</v>
      </c>
      <c r="G52" s="2">
        <f t="shared" ref="G52" si="30">(H51+F52)*((1+$B$3)^(1/12)-1)</f>
        <v>142622.95149323053</v>
      </c>
      <c r="H52" s="2">
        <f t="shared" si="14"/>
        <v>16471138.549856013</v>
      </c>
      <c r="I52" s="2">
        <f t="shared" si="9"/>
        <v>166790198.40000001</v>
      </c>
      <c r="J52" s="5">
        <f t="shared" si="0"/>
        <v>9.875363605212914E-2</v>
      </c>
    </row>
    <row r="53" spans="1:10" x14ac:dyDescent="0.3">
      <c r="A53" s="1">
        <f t="shared" si="10"/>
        <v>4</v>
      </c>
      <c r="B53" s="1">
        <f t="shared" si="11"/>
        <v>6</v>
      </c>
      <c r="C53" s="2">
        <f t="shared" si="12"/>
        <v>16471138.549856013</v>
      </c>
      <c r="D53" s="2">
        <f t="shared" si="6"/>
        <v>4550580.8</v>
      </c>
      <c r="E53" s="2">
        <f t="shared" si="7"/>
        <v>2495008.8942499999</v>
      </c>
      <c r="F53" s="2">
        <f t="shared" si="2"/>
        <v>910116.16</v>
      </c>
      <c r="G53" s="2">
        <f t="shared" ref="G53" si="31">(H52+F53)*((1+$B$3)^(1/12)-1)</f>
        <v>151818.20003429078</v>
      </c>
      <c r="H53" s="2">
        <f t="shared" si="14"/>
        <v>17533072.909890302</v>
      </c>
      <c r="I53" s="2">
        <f t="shared" si="9"/>
        <v>166790198.40000001</v>
      </c>
      <c r="J53" s="5">
        <f t="shared" si="0"/>
        <v>0.10512052313674987</v>
      </c>
    </row>
    <row r="54" spans="1:10" x14ac:dyDescent="0.3">
      <c r="A54" s="1">
        <f t="shared" si="10"/>
        <v>4</v>
      </c>
      <c r="B54" s="1">
        <f t="shared" si="11"/>
        <v>7</v>
      </c>
      <c r="C54" s="2">
        <f t="shared" si="12"/>
        <v>17533072.909890302</v>
      </c>
      <c r="D54" s="2">
        <f t="shared" si="6"/>
        <v>4550580.8</v>
      </c>
      <c r="E54" s="2">
        <f t="shared" si="7"/>
        <v>2495008.8942499999</v>
      </c>
      <c r="F54" s="2">
        <f t="shared" si="2"/>
        <v>455058.08</v>
      </c>
      <c r="G54" s="2">
        <f t="shared" ref="G54" si="32">(H53+F54)*((1+$B$3)^(1/12)-1)</f>
        <v>157119.01784153844</v>
      </c>
      <c r="H54" s="2">
        <f t="shared" si="14"/>
        <v>18145250.00773184</v>
      </c>
      <c r="I54" s="2">
        <f t="shared" si="9"/>
        <v>166790198.40000001</v>
      </c>
      <c r="J54" s="5">
        <f t="shared" si="0"/>
        <v>0.10879086530142193</v>
      </c>
    </row>
    <row r="55" spans="1:10" x14ac:dyDescent="0.3">
      <c r="A55" s="1">
        <f t="shared" si="10"/>
        <v>4</v>
      </c>
      <c r="B55" s="1">
        <f t="shared" si="11"/>
        <v>8</v>
      </c>
      <c r="C55" s="2">
        <f t="shared" si="12"/>
        <v>18145250.00773184</v>
      </c>
      <c r="D55" s="2">
        <f t="shared" si="6"/>
        <v>4550580.8</v>
      </c>
      <c r="E55" s="2">
        <f t="shared" si="7"/>
        <v>2495008.8942499999</v>
      </c>
      <c r="F55" s="2">
        <f t="shared" si="2"/>
        <v>455058.08</v>
      </c>
      <c r="G55" s="2">
        <f t="shared" ref="G55" si="33">(H54+F55)*((1+$B$3)^(1/12)-1)</f>
        <v>162466.13613926509</v>
      </c>
      <c r="H55" s="2">
        <f t="shared" si="14"/>
        <v>18762774.223871104</v>
      </c>
      <c r="I55" s="2">
        <f t="shared" si="9"/>
        <v>166790198.40000001</v>
      </c>
      <c r="J55" s="5">
        <f t="shared" si="0"/>
        <v>0.11249326641409585</v>
      </c>
    </row>
    <row r="56" spans="1:10" x14ac:dyDescent="0.3">
      <c r="A56" s="1">
        <f t="shared" si="10"/>
        <v>4</v>
      </c>
      <c r="B56" s="1">
        <f t="shared" si="11"/>
        <v>9</v>
      </c>
      <c r="C56" s="2">
        <f t="shared" si="12"/>
        <v>18762774.223871104</v>
      </c>
      <c r="D56" s="2">
        <f t="shared" si="6"/>
        <v>4550580.8</v>
      </c>
      <c r="E56" s="2">
        <f t="shared" si="7"/>
        <v>2495008.8942499999</v>
      </c>
      <c r="F56" s="2">
        <f t="shared" si="2"/>
        <v>455058.08</v>
      </c>
      <c r="G56" s="2">
        <f t="shared" ref="G56" si="34">(H55+F56)*((1+$B$3)^(1/12)-1)</f>
        <v>167859.95934344883</v>
      </c>
      <c r="H56" s="2">
        <f t="shared" si="14"/>
        <v>19385692.263214551</v>
      </c>
      <c r="I56" s="2">
        <f t="shared" si="9"/>
        <v>166790198.40000001</v>
      </c>
      <c r="J56" s="5">
        <f t="shared" si="0"/>
        <v>0.11622800649666083</v>
      </c>
    </row>
    <row r="57" spans="1:10" x14ac:dyDescent="0.3">
      <c r="A57" s="1">
        <f t="shared" si="10"/>
        <v>4</v>
      </c>
      <c r="B57" s="1">
        <f t="shared" si="11"/>
        <v>10</v>
      </c>
      <c r="C57" s="2">
        <f t="shared" si="12"/>
        <v>19385692.263214551</v>
      </c>
      <c r="D57" s="2">
        <f t="shared" si="6"/>
        <v>4550580.8</v>
      </c>
      <c r="E57" s="2">
        <f t="shared" si="7"/>
        <v>2495008.8942499999</v>
      </c>
      <c r="F57" s="2">
        <f t="shared" si="2"/>
        <v>455058.08</v>
      </c>
      <c r="G57" s="2">
        <f t="shared" ref="G57" si="35">(H56+F57)*((1+$B$3)^(1/12)-1)</f>
        <v>173300.89540247715</v>
      </c>
      <c r="H57" s="2">
        <f t="shared" si="14"/>
        <v>20014051.238617025</v>
      </c>
      <c r="I57" s="2">
        <f t="shared" si="9"/>
        <v>166790198.40000001</v>
      </c>
      <c r="J57" s="5">
        <f t="shared" si="0"/>
        <v>0.11999536801688357</v>
      </c>
    </row>
    <row r="58" spans="1:10" x14ac:dyDescent="0.3">
      <c r="A58" s="1">
        <f t="shared" si="10"/>
        <v>4</v>
      </c>
      <c r="B58" s="1">
        <f t="shared" si="11"/>
        <v>11</v>
      </c>
      <c r="C58" s="2">
        <f t="shared" si="12"/>
        <v>20014051.238617025</v>
      </c>
      <c r="D58" s="2">
        <f t="shared" si="6"/>
        <v>4550580.8</v>
      </c>
      <c r="E58" s="2">
        <f t="shared" si="7"/>
        <v>2495008.8942499999</v>
      </c>
      <c r="F58" s="2">
        <f t="shared" si="2"/>
        <v>455058.08</v>
      </c>
      <c r="G58" s="2">
        <f t="shared" ref="G58" si="36">(H57+F58)*((1+$B$3)^(1/12)-1)</f>
        <v>178789.35582800102</v>
      </c>
      <c r="H58" s="2">
        <f t="shared" si="14"/>
        <v>20647898.674445026</v>
      </c>
      <c r="I58" s="2">
        <f t="shared" si="9"/>
        <v>166790198.40000001</v>
      </c>
      <c r="J58" s="5">
        <f t="shared" si="0"/>
        <v>0.12379563590977193</v>
      </c>
    </row>
    <row r="59" spans="1:10" x14ac:dyDescent="0.3">
      <c r="A59" s="1">
        <f t="shared" si="10"/>
        <v>4</v>
      </c>
      <c r="B59" s="1">
        <f t="shared" si="11"/>
        <v>12</v>
      </c>
      <c r="C59" s="2">
        <f t="shared" si="12"/>
        <v>20647898.674445026</v>
      </c>
      <c r="D59" s="2">
        <f t="shared" si="6"/>
        <v>4550580.8</v>
      </c>
      <c r="E59" s="2">
        <f t="shared" si="7"/>
        <v>2495008.8942499999</v>
      </c>
      <c r="F59" s="2">
        <f t="shared" si="2"/>
        <v>910116.16</v>
      </c>
      <c r="G59" s="2">
        <f t="shared" ref="G59" si="37">(H58+F59)*((1+$B$3)^(1/12)-1)</f>
        <v>188300.5032209839</v>
      </c>
      <c r="H59" s="2">
        <f t="shared" si="14"/>
        <v>21746315.337666009</v>
      </c>
      <c r="I59" s="2">
        <f t="shared" si="9"/>
        <v>166790198.40000001</v>
      </c>
      <c r="J59" s="5">
        <f t="shared" si="0"/>
        <v>0.13038125469167863</v>
      </c>
    </row>
    <row r="60" spans="1:10" x14ac:dyDescent="0.3">
      <c r="A60" s="1">
        <f t="shared" si="10"/>
        <v>5</v>
      </c>
      <c r="B60" s="1">
        <f t="shared" si="11"/>
        <v>1</v>
      </c>
      <c r="C60" s="2">
        <f t="shared" si="12"/>
        <v>21746315.337666009</v>
      </c>
      <c r="D60" s="2">
        <f t="shared" si="6"/>
        <v>4809053.7894399995</v>
      </c>
      <c r="E60" s="2">
        <f t="shared" si="7"/>
        <v>2685877.0746601247</v>
      </c>
      <c r="F60" s="2">
        <f t="shared" si="2"/>
        <v>480905.378944</v>
      </c>
      <c r="G60" s="2">
        <f t="shared" ref="G60" si="38">(H59+F60)*((1+$B$3)^(1/12)-1)</f>
        <v>194145.74478602674</v>
      </c>
      <c r="H60" s="2">
        <f t="shared" si="14"/>
        <v>22421366.461396035</v>
      </c>
      <c r="I60" s="2">
        <f t="shared" si="9"/>
        <v>172794645.5424</v>
      </c>
      <c r="J60" s="5">
        <f t="shared" si="0"/>
        <v>0.12975729885041098</v>
      </c>
    </row>
    <row r="61" spans="1:10" x14ac:dyDescent="0.3">
      <c r="A61" s="1">
        <f t="shared" si="10"/>
        <v>5</v>
      </c>
      <c r="B61" s="1">
        <f t="shared" si="11"/>
        <v>2</v>
      </c>
      <c r="C61" s="2">
        <f t="shared" si="12"/>
        <v>22421366.461396035</v>
      </c>
      <c r="D61" s="2">
        <f t="shared" si="6"/>
        <v>4809053.7894399995</v>
      </c>
      <c r="E61" s="2">
        <f t="shared" si="7"/>
        <v>2685877.0746601247</v>
      </c>
      <c r="F61" s="2">
        <f t="shared" si="2"/>
        <v>480905.378944</v>
      </c>
      <c r="G61" s="2">
        <f t="shared" ref="G61" si="39">(H60+F61)*((1+$B$3)^(1/12)-1)</f>
        <v>200042.0421619408</v>
      </c>
      <c r="H61" s="2">
        <f t="shared" si="14"/>
        <v>23102313.882501975</v>
      </c>
      <c r="I61" s="2">
        <f t="shared" si="9"/>
        <v>172794645.5424</v>
      </c>
      <c r="J61" s="5">
        <f t="shared" si="0"/>
        <v>0.1336980889076981</v>
      </c>
    </row>
    <row r="62" spans="1:10" x14ac:dyDescent="0.3">
      <c r="A62" s="1">
        <f t="shared" si="10"/>
        <v>5</v>
      </c>
      <c r="B62" s="1">
        <f t="shared" si="11"/>
        <v>3</v>
      </c>
      <c r="C62" s="2">
        <f t="shared" si="12"/>
        <v>23102313.882501975</v>
      </c>
      <c r="D62" s="2">
        <f t="shared" si="6"/>
        <v>4809053.7894399995</v>
      </c>
      <c r="E62" s="2">
        <f t="shared" si="7"/>
        <v>2685877.0746601247</v>
      </c>
      <c r="F62" s="2">
        <f t="shared" si="2"/>
        <v>480905.378944</v>
      </c>
      <c r="G62" s="2">
        <f t="shared" ref="G62" si="40">(H61+F62)*((1+$B$3)^(1/12)-1)</f>
        <v>205989.84130049634</v>
      </c>
      <c r="H62" s="2">
        <f t="shared" si="14"/>
        <v>23789209.102746468</v>
      </c>
      <c r="I62" s="2">
        <f t="shared" si="9"/>
        <v>172794645.5424</v>
      </c>
      <c r="J62" s="5">
        <f t="shared" si="0"/>
        <v>0.13767330016547949</v>
      </c>
    </row>
    <row r="63" spans="1:10" x14ac:dyDescent="0.3">
      <c r="A63" s="1">
        <f t="shared" si="10"/>
        <v>5</v>
      </c>
      <c r="B63" s="1">
        <f t="shared" si="11"/>
        <v>4</v>
      </c>
      <c r="C63" s="2">
        <f t="shared" si="12"/>
        <v>23789209.102746468</v>
      </c>
      <c r="D63" s="2">
        <f t="shared" si="6"/>
        <v>4809053.7894399995</v>
      </c>
      <c r="E63" s="2">
        <f t="shared" si="7"/>
        <v>2685877.0746601247</v>
      </c>
      <c r="F63" s="2">
        <f t="shared" si="2"/>
        <v>480905.378944</v>
      </c>
      <c r="G63" s="2">
        <f t="shared" ref="G63" si="41">(H62+F63)*((1+$B$3)^(1/12)-1)</f>
        <v>211989.59204867121</v>
      </c>
      <c r="H63" s="2">
        <f t="shared" si="14"/>
        <v>24482104.073739138</v>
      </c>
      <c r="I63" s="2">
        <f t="shared" si="9"/>
        <v>172794645.5424</v>
      </c>
      <c r="J63" s="5">
        <f t="shared" si="0"/>
        <v>0.14168323327896043</v>
      </c>
    </row>
    <row r="64" spans="1:10" x14ac:dyDescent="0.3">
      <c r="A64" s="1">
        <f t="shared" si="10"/>
        <v>5</v>
      </c>
      <c r="B64" s="1">
        <f t="shared" si="11"/>
        <v>5</v>
      </c>
      <c r="C64" s="2">
        <f t="shared" si="12"/>
        <v>24482104.073739138</v>
      </c>
      <c r="D64" s="2">
        <f t="shared" si="6"/>
        <v>4809053.7894399995</v>
      </c>
      <c r="E64" s="2">
        <f t="shared" si="7"/>
        <v>2685877.0746601247</v>
      </c>
      <c r="F64" s="2">
        <f t="shared" si="2"/>
        <v>480905.378944</v>
      </c>
      <c r="G64" s="2">
        <f t="shared" ref="G64" si="42">(H63+F64)*((1+$B$3)^(1/12)-1)</f>
        <v>218041.74818267397</v>
      </c>
      <c r="H64" s="2">
        <f t="shared" si="14"/>
        <v>25181051.200865809</v>
      </c>
      <c r="I64" s="2">
        <f t="shared" si="9"/>
        <v>172794645.5424</v>
      </c>
      <c r="J64" s="5">
        <f t="shared" si="0"/>
        <v>0.14572819152944722</v>
      </c>
    </row>
    <row r="65" spans="1:10" x14ac:dyDescent="0.3">
      <c r="A65" s="1">
        <f t="shared" si="10"/>
        <v>5</v>
      </c>
      <c r="B65" s="1">
        <f t="shared" si="11"/>
        <v>6</v>
      </c>
      <c r="C65" s="2">
        <f t="shared" si="12"/>
        <v>25181051.200865809</v>
      </c>
      <c r="D65" s="2">
        <f t="shared" si="6"/>
        <v>4809053.7894399995</v>
      </c>
      <c r="E65" s="2">
        <f t="shared" si="7"/>
        <v>2685877.0746601247</v>
      </c>
      <c r="F65" s="2">
        <f t="shared" si="2"/>
        <v>961810.75788799999</v>
      </c>
      <c r="G65" s="2">
        <f t="shared" ref="G65" si="43">(H64+F65)*((1+$B$3)^(1/12)-1)</f>
        <v>228347.28059490109</v>
      </c>
      <c r="H65" s="2">
        <f t="shared" si="14"/>
        <v>26371209.23934871</v>
      </c>
      <c r="I65" s="2">
        <f t="shared" si="9"/>
        <v>172794645.5424</v>
      </c>
      <c r="J65" s="5">
        <f t="shared" si="0"/>
        <v>0.15261589360347277</v>
      </c>
    </row>
    <row r="66" spans="1:10" x14ac:dyDescent="0.3">
      <c r="A66" s="1">
        <f t="shared" si="10"/>
        <v>5</v>
      </c>
      <c r="B66" s="1">
        <f t="shared" si="11"/>
        <v>7</v>
      </c>
      <c r="C66" s="2">
        <f t="shared" si="12"/>
        <v>26371209.23934871</v>
      </c>
      <c r="D66" s="2">
        <f t="shared" si="6"/>
        <v>4809053.7894399995</v>
      </c>
      <c r="E66" s="2">
        <f t="shared" si="7"/>
        <v>2685877.0746601247</v>
      </c>
      <c r="F66" s="2">
        <f t="shared" si="2"/>
        <v>480905.378944</v>
      </c>
      <c r="G66" s="2">
        <f t="shared" ref="G66" si="44">(H65+F66)*((1+$B$3)^(1/12)-1)</f>
        <v>234542.31449424734</v>
      </c>
      <c r="H66" s="2">
        <f t="shared" si="14"/>
        <v>27086656.932786956</v>
      </c>
      <c r="I66" s="2">
        <f t="shared" si="9"/>
        <v>172794645.5424</v>
      </c>
      <c r="J66" s="5">
        <f t="shared" si="0"/>
        <v>0.15675634420130505</v>
      </c>
    </row>
    <row r="67" spans="1:10" x14ac:dyDescent="0.3">
      <c r="A67" s="1">
        <f t="shared" si="10"/>
        <v>5</v>
      </c>
      <c r="B67" s="1">
        <f t="shared" si="11"/>
        <v>8</v>
      </c>
      <c r="C67" s="2">
        <f t="shared" si="12"/>
        <v>27086656.932786956</v>
      </c>
      <c r="D67" s="2">
        <f t="shared" si="6"/>
        <v>4809053.7894399995</v>
      </c>
      <c r="E67" s="2">
        <f t="shared" si="7"/>
        <v>2685877.0746601247</v>
      </c>
      <c r="F67" s="2">
        <f t="shared" si="2"/>
        <v>480905.378944</v>
      </c>
      <c r="G67" s="2">
        <f t="shared" ref="G67" si="45">(H66+F67)*((1+$B$3)^(1/12)-1)</f>
        <v>240791.45949842752</v>
      </c>
      <c r="H67" s="2">
        <f t="shared" si="14"/>
        <v>27808353.771229383</v>
      </c>
      <c r="I67" s="2">
        <f t="shared" si="9"/>
        <v>172794645.5424</v>
      </c>
      <c r="J67" s="5">
        <f t="shared" si="0"/>
        <v>0.16093295995335588</v>
      </c>
    </row>
    <row r="68" spans="1:10" x14ac:dyDescent="0.3">
      <c r="A68" s="1">
        <f t="shared" si="10"/>
        <v>5</v>
      </c>
      <c r="B68" s="1">
        <f t="shared" si="11"/>
        <v>9</v>
      </c>
      <c r="C68" s="2">
        <f t="shared" si="12"/>
        <v>27808353.771229383</v>
      </c>
      <c r="D68" s="2">
        <f t="shared" si="6"/>
        <v>4809053.7894399995</v>
      </c>
      <c r="E68" s="2">
        <f t="shared" si="7"/>
        <v>2685877.0746601247</v>
      </c>
      <c r="F68" s="2">
        <f t="shared" si="2"/>
        <v>480905.378944</v>
      </c>
      <c r="G68" s="2">
        <f t="shared" ref="G68" si="46">(H67+F68)*((1+$B$3)^(1/12)-1)</f>
        <v>247095.18824596365</v>
      </c>
      <c r="H68" s="2">
        <f t="shared" si="14"/>
        <v>28536354.338419344</v>
      </c>
      <c r="I68" s="2">
        <f t="shared" si="9"/>
        <v>172794645.5424</v>
      </c>
      <c r="J68" s="5">
        <f t="shared" si="0"/>
        <v>0.16514605674755792</v>
      </c>
    </row>
    <row r="69" spans="1:10" x14ac:dyDescent="0.3">
      <c r="A69" s="1">
        <f t="shared" si="10"/>
        <v>5</v>
      </c>
      <c r="B69" s="1">
        <f t="shared" si="11"/>
        <v>10</v>
      </c>
      <c r="C69" s="2">
        <f t="shared" si="12"/>
        <v>28536354.338419344</v>
      </c>
      <c r="D69" s="2">
        <f t="shared" si="6"/>
        <v>4809053.7894399995</v>
      </c>
      <c r="E69" s="2">
        <f t="shared" si="7"/>
        <v>2685877.0746601247</v>
      </c>
      <c r="F69" s="2">
        <f t="shared" si="2"/>
        <v>480905.378944</v>
      </c>
      <c r="G69" s="2">
        <f t="shared" ref="G69" si="47">(H68+F69)*((1+$B$3)^(1/12)-1)</f>
        <v>253453.97750368339</v>
      </c>
      <c r="H69" s="2">
        <f t="shared" si="14"/>
        <v>29270713.694867026</v>
      </c>
      <c r="I69" s="2">
        <f t="shared" si="9"/>
        <v>172794645.5424</v>
      </c>
      <c r="J69" s="5">
        <f t="shared" si="0"/>
        <v>0.1693959532309966</v>
      </c>
    </row>
    <row r="70" spans="1:10" x14ac:dyDescent="0.3">
      <c r="A70" s="1">
        <f t="shared" si="10"/>
        <v>5</v>
      </c>
      <c r="B70" s="1">
        <f t="shared" si="11"/>
        <v>11</v>
      </c>
      <c r="C70" s="2">
        <f t="shared" si="12"/>
        <v>29270713.694867026</v>
      </c>
      <c r="D70" s="2">
        <f t="shared" si="6"/>
        <v>4809053.7894399995</v>
      </c>
      <c r="E70" s="2">
        <f t="shared" si="7"/>
        <v>2685877.0746601247</v>
      </c>
      <c r="F70" s="2">
        <f t="shared" si="2"/>
        <v>480905.378944</v>
      </c>
      <c r="G70" s="2">
        <f t="shared" ref="G70" si="48">(H69+F70)*((1+$B$3)^(1/12)-1)</f>
        <v>259868.30820277886</v>
      </c>
      <c r="H70" s="2">
        <f t="shared" si="14"/>
        <v>30011487.382013801</v>
      </c>
      <c r="I70" s="2">
        <f t="shared" si="9"/>
        <v>172794645.5424</v>
      </c>
      <c r="J70" s="5">
        <f t="shared" si="0"/>
        <v>0.17368297083401027</v>
      </c>
    </row>
    <row r="71" spans="1:10" x14ac:dyDescent="0.3">
      <c r="A71" s="1">
        <f t="shared" si="10"/>
        <v>5</v>
      </c>
      <c r="B71" s="1">
        <f t="shared" si="11"/>
        <v>12</v>
      </c>
      <c r="C71" s="2">
        <f t="shared" si="12"/>
        <v>30011487.382013801</v>
      </c>
      <c r="D71" s="2">
        <f t="shared" si="6"/>
        <v>4809053.7894399995</v>
      </c>
      <c r="E71" s="2">
        <f t="shared" si="7"/>
        <v>2685877.0746601247</v>
      </c>
      <c r="F71" s="2">
        <f t="shared" si="2"/>
        <v>961810.75788799999</v>
      </c>
      <c r="G71" s="2">
        <f t="shared" ref="G71" si="49">(H70+F71)*((1+$B$3)^(1/12)-1)</f>
        <v>270539.17862781801</v>
      </c>
      <c r="H71" s="2">
        <f t="shared" si="14"/>
        <v>31243837.318529621</v>
      </c>
      <c r="I71" s="2">
        <f t="shared" si="9"/>
        <v>172794645.5424</v>
      </c>
      <c r="J71" s="5">
        <f t="shared" si="0"/>
        <v>0.18081484655068822</v>
      </c>
    </row>
    <row r="72" spans="1:10" x14ac:dyDescent="0.3">
      <c r="A72" s="1">
        <f t="shared" si="10"/>
        <v>6</v>
      </c>
      <c r="B72" s="1">
        <f t="shared" si="11"/>
        <v>1</v>
      </c>
      <c r="C72" s="2">
        <f t="shared" si="12"/>
        <v>31243837.318529621</v>
      </c>
      <c r="D72" s="2">
        <f t="shared" si="6"/>
        <v>5082208.0446801912</v>
      </c>
      <c r="E72" s="2">
        <f t="shared" si="7"/>
        <v>2891346.6708716243</v>
      </c>
      <c r="F72" s="2">
        <f t="shared" si="2"/>
        <v>508220.80446801917</v>
      </c>
      <c r="G72" s="2">
        <f t="shared" ref="G72" si="50">(H71+F72)*((1+$B$3)^(1/12)-1)</f>
        <v>277341.3307661963</v>
      </c>
      <c r="H72" s="2">
        <f t="shared" si="14"/>
        <v>32029399.453763839</v>
      </c>
      <c r="I72" s="2">
        <f t="shared" si="9"/>
        <v>179015252.78192639</v>
      </c>
      <c r="J72" s="5">
        <f t="shared" si="0"/>
        <v>0.17891994651864418</v>
      </c>
    </row>
    <row r="73" spans="1:10" x14ac:dyDescent="0.3">
      <c r="A73" s="1">
        <f t="shared" si="10"/>
        <v>6</v>
      </c>
      <c r="B73" s="1">
        <f t="shared" si="11"/>
        <v>2</v>
      </c>
      <c r="C73" s="2">
        <f t="shared" si="12"/>
        <v>32029399.453763839</v>
      </c>
      <c r="D73" s="2">
        <f t="shared" si="6"/>
        <v>5082208.0446801912</v>
      </c>
      <c r="E73" s="2">
        <f t="shared" si="7"/>
        <v>2891346.6708716243</v>
      </c>
      <c r="F73" s="2">
        <f t="shared" si="2"/>
        <v>508220.80446801917</v>
      </c>
      <c r="G73" s="2">
        <f t="shared" ref="G73" si="51">(H72+F73)*((1+$B$3)^(1/12)-1)</f>
        <v>284202.89694062935</v>
      </c>
      <c r="H73" s="2">
        <f t="shared" si="14"/>
        <v>32821823.15517249</v>
      </c>
      <c r="I73" s="2">
        <f t="shared" si="9"/>
        <v>179015252.78192639</v>
      </c>
      <c r="J73" s="5">
        <f t="shared" si="0"/>
        <v>0.18334651737835728</v>
      </c>
    </row>
    <row r="74" spans="1:10" x14ac:dyDescent="0.3">
      <c r="A74" s="1">
        <f t="shared" si="10"/>
        <v>6</v>
      </c>
      <c r="B74" s="1">
        <f t="shared" si="11"/>
        <v>3</v>
      </c>
      <c r="C74" s="2">
        <f t="shared" si="12"/>
        <v>32821823.15517249</v>
      </c>
      <c r="D74" s="2">
        <f t="shared" si="6"/>
        <v>5082208.0446801912</v>
      </c>
      <c r="E74" s="2">
        <f t="shared" si="7"/>
        <v>2891346.6708716243</v>
      </c>
      <c r="F74" s="2">
        <f t="shared" si="2"/>
        <v>508220.80446801917</v>
      </c>
      <c r="G74" s="2">
        <f t="shared" ref="G74" si="52">(H73+F74)*((1+$B$3)^(1/12)-1)</f>
        <v>291124.39610858954</v>
      </c>
      <c r="H74" s="2">
        <f t="shared" si="14"/>
        <v>33621168.3557491</v>
      </c>
      <c r="I74" s="2">
        <f t="shared" si="9"/>
        <v>179015252.78192639</v>
      </c>
      <c r="J74" s="5">
        <f t="shared" si="0"/>
        <v>0.18781175253656116</v>
      </c>
    </row>
    <row r="75" spans="1:10" x14ac:dyDescent="0.3">
      <c r="A75" s="1">
        <f t="shared" si="10"/>
        <v>6</v>
      </c>
      <c r="B75" s="1">
        <f t="shared" si="11"/>
        <v>4</v>
      </c>
      <c r="C75" s="2">
        <f t="shared" si="12"/>
        <v>33621168.3557491</v>
      </c>
      <c r="D75" s="2">
        <f t="shared" si="6"/>
        <v>5082208.0446801912</v>
      </c>
      <c r="E75" s="2">
        <f t="shared" si="7"/>
        <v>2891346.6708716243</v>
      </c>
      <c r="F75" s="2">
        <f t="shared" si="2"/>
        <v>508220.80446801917</v>
      </c>
      <c r="G75" s="2">
        <f t="shared" ref="G75" si="53">(H74+F75)*((1+$B$3)^(1/12)-1)</f>
        <v>298106.35176043183</v>
      </c>
      <c r="H75" s="2">
        <f t="shared" si="14"/>
        <v>34427495.511977553</v>
      </c>
      <c r="I75" s="2">
        <f t="shared" si="9"/>
        <v>179015252.78192639</v>
      </c>
      <c r="J75" s="5">
        <f t="shared" si="0"/>
        <v>0.19231598971019859</v>
      </c>
    </row>
    <row r="76" spans="1:10" x14ac:dyDescent="0.3">
      <c r="A76" s="1">
        <f t="shared" si="10"/>
        <v>6</v>
      </c>
      <c r="B76" s="1">
        <f t="shared" si="11"/>
        <v>5</v>
      </c>
      <c r="C76" s="2">
        <f t="shared" si="12"/>
        <v>34427495.511977553</v>
      </c>
      <c r="D76" s="2">
        <f t="shared" si="6"/>
        <v>5082208.0446801912</v>
      </c>
      <c r="E76" s="2">
        <f t="shared" si="7"/>
        <v>2891346.6708716243</v>
      </c>
      <c r="F76" s="2">
        <f t="shared" si="2"/>
        <v>508220.80446801917</v>
      </c>
      <c r="G76" s="2">
        <f t="shared" ref="G76" si="54">(H75+F76)*((1+$B$3)^(1/12)-1)</f>
        <v>305149.29195898707</v>
      </c>
      <c r="H76" s="2">
        <f t="shared" si="14"/>
        <v>35240865.608404562</v>
      </c>
      <c r="I76" s="2">
        <f t="shared" si="9"/>
        <v>179015252.78192639</v>
      </c>
      <c r="J76" s="5">
        <f t="shared" ref="J76:J139" si="55">(H76/I76)</f>
        <v>0.19685956956603268</v>
      </c>
    </row>
    <row r="77" spans="1:10" x14ac:dyDescent="0.3">
      <c r="A77" s="1">
        <f t="shared" si="10"/>
        <v>6</v>
      </c>
      <c r="B77" s="1">
        <f t="shared" si="11"/>
        <v>6</v>
      </c>
      <c r="C77" s="2">
        <f t="shared" si="12"/>
        <v>35240865.608404562</v>
      </c>
      <c r="D77" s="2">
        <f t="shared" si="6"/>
        <v>5082208.0446801912</v>
      </c>
      <c r="E77" s="2">
        <f t="shared" si="7"/>
        <v>2891346.6708716243</v>
      </c>
      <c r="F77" s="2">
        <f t="shared" ref="F77:F140" si="56">IF(OR(B77=6,B77=12),D77*$B$2*2,D77*$B$2)</f>
        <v>1016441.6089360383</v>
      </c>
      <c r="G77" s="2">
        <f t="shared" ref="G77" si="57">(H76+F77)*((1+$B$3)^(1/12)-1)</f>
        <v>316692.85167920718</v>
      </c>
      <c r="H77" s="2">
        <f t="shared" si="14"/>
        <v>36574000.069019809</v>
      </c>
      <c r="I77" s="2">
        <f t="shared" si="9"/>
        <v>179015252.78192639</v>
      </c>
      <c r="J77" s="5">
        <f t="shared" si="55"/>
        <v>0.20430661354635343</v>
      </c>
    </row>
    <row r="78" spans="1:10" x14ac:dyDescent="0.3">
      <c r="A78" s="1">
        <f t="shared" si="10"/>
        <v>6</v>
      </c>
      <c r="B78" s="1">
        <f t="shared" si="11"/>
        <v>7</v>
      </c>
      <c r="C78" s="2">
        <f t="shared" si="12"/>
        <v>36574000.069019809</v>
      </c>
      <c r="D78" s="2">
        <f t="shared" ref="D78:D141" si="58">IF(B78&lt;&gt;1,D77,IF(AND(A78=3,B78=1),D77*2,IF(AND(A78=10,B78=1),D77*2,D77*(1+IF(D77&gt;E77,$B$6,$B$4)))))</f>
        <v>5082208.0446801912</v>
      </c>
      <c r="E78" s="2">
        <f t="shared" ref="E78:E141" si="59">IF(B78&lt;&gt;1,E77,E77*(1+$B$4))</f>
        <v>2891346.6708716243</v>
      </c>
      <c r="F78" s="2">
        <f t="shared" si="56"/>
        <v>508220.80446801917</v>
      </c>
      <c r="G78" s="2">
        <f t="shared" ref="G78" si="60">(H77+F78)*((1+$B$3)^(1/12)-1)</f>
        <v>323898.13740515435</v>
      </c>
      <c r="H78" s="2">
        <f t="shared" si="14"/>
        <v>37406119.010892987</v>
      </c>
      <c r="I78" s="2">
        <f t="shared" ref="I78:I141" si="61">IF(B78=1,I77*(1+$B$5),I77)</f>
        <v>179015252.78192639</v>
      </c>
      <c r="J78" s="5">
        <f t="shared" si="55"/>
        <v>0.20895492663108736</v>
      </c>
    </row>
    <row r="79" spans="1:10" x14ac:dyDescent="0.3">
      <c r="A79" s="1">
        <f t="shared" si="10"/>
        <v>6</v>
      </c>
      <c r="B79" s="1">
        <f t="shared" si="11"/>
        <v>8</v>
      </c>
      <c r="C79" s="2">
        <f t="shared" si="12"/>
        <v>37406119.010892987</v>
      </c>
      <c r="D79" s="2">
        <f t="shared" si="58"/>
        <v>5082208.0446801912</v>
      </c>
      <c r="E79" s="2">
        <f t="shared" si="59"/>
        <v>2891346.6708716243</v>
      </c>
      <c r="F79" s="2">
        <f t="shared" si="56"/>
        <v>508220.80446801917</v>
      </c>
      <c r="G79" s="2">
        <f t="shared" ref="G79" si="62">(H78+F79)*((1+$B$3)^(1/12)-1)</f>
        <v>331166.35837530036</v>
      </c>
      <c r="H79" s="2">
        <f t="shared" si="14"/>
        <v>38245506.173736311</v>
      </c>
      <c r="I79" s="2">
        <f t="shared" si="61"/>
        <v>179015252.78192639</v>
      </c>
      <c r="J79" s="5">
        <f t="shared" si="55"/>
        <v>0.21364384084258112</v>
      </c>
    </row>
    <row r="80" spans="1:10" x14ac:dyDescent="0.3">
      <c r="A80" s="1">
        <f t="shared" si="10"/>
        <v>6</v>
      </c>
      <c r="B80" s="1">
        <f t="shared" si="11"/>
        <v>9</v>
      </c>
      <c r="C80" s="2">
        <f t="shared" si="12"/>
        <v>38245506.173736311</v>
      </c>
      <c r="D80" s="2">
        <f t="shared" si="58"/>
        <v>5082208.0446801912</v>
      </c>
      <c r="E80" s="2">
        <f t="shared" si="59"/>
        <v>2891346.6708716243</v>
      </c>
      <c r="F80" s="2">
        <f t="shared" si="56"/>
        <v>508220.80446801917</v>
      </c>
      <c r="G80" s="2">
        <f t="shared" ref="G80" si="63">(H79+F80)*((1+$B$3)^(1/12)-1)</f>
        <v>338498.06430344045</v>
      </c>
      <c r="H80" s="2">
        <f t="shared" si="14"/>
        <v>39092225.042507775</v>
      </c>
      <c r="I80" s="2">
        <f t="shared" si="61"/>
        <v>179015252.78192639</v>
      </c>
      <c r="J80" s="5">
        <f t="shared" si="55"/>
        <v>0.21837371081518578</v>
      </c>
    </row>
    <row r="81" spans="1:10" x14ac:dyDescent="0.3">
      <c r="A81" s="1">
        <f t="shared" si="10"/>
        <v>6</v>
      </c>
      <c r="B81" s="1">
        <f t="shared" si="11"/>
        <v>10</v>
      </c>
      <c r="C81" s="2">
        <f t="shared" si="12"/>
        <v>39092225.042507775</v>
      </c>
      <c r="D81" s="2">
        <f t="shared" si="58"/>
        <v>5082208.0446801912</v>
      </c>
      <c r="E81" s="2">
        <f t="shared" si="59"/>
        <v>2891346.6708716243</v>
      </c>
      <c r="F81" s="2">
        <f t="shared" si="56"/>
        <v>508220.80446801917</v>
      </c>
      <c r="G81" s="2">
        <f t="shared" ref="G81" si="64">(H80+F81)*((1+$B$3)^(1/12)-1)</f>
        <v>345893.80970489653</v>
      </c>
      <c r="H81" s="2">
        <f t="shared" si="14"/>
        <v>39946339.656680696</v>
      </c>
      <c r="I81" s="2">
        <f t="shared" si="61"/>
        <v>179015252.78192639</v>
      </c>
      <c r="J81" s="5">
        <f t="shared" si="55"/>
        <v>0.22314489428083933</v>
      </c>
    </row>
    <row r="82" spans="1:10" x14ac:dyDescent="0.3">
      <c r="A82" s="1">
        <f t="shared" si="10"/>
        <v>6</v>
      </c>
      <c r="B82" s="1">
        <f t="shared" si="11"/>
        <v>11</v>
      </c>
      <c r="C82" s="2">
        <f t="shared" si="12"/>
        <v>39946339.656680696</v>
      </c>
      <c r="D82" s="2">
        <f t="shared" si="58"/>
        <v>5082208.0446801912</v>
      </c>
      <c r="E82" s="2">
        <f t="shared" si="59"/>
        <v>2891346.6708716243</v>
      </c>
      <c r="F82" s="2">
        <f t="shared" si="56"/>
        <v>508220.80446801917</v>
      </c>
      <c r="G82" s="2">
        <f t="shared" ref="G82" si="65">(H81+F82)*((1+$B$3)^(1/12)-1)</f>
        <v>353354.15393845673</v>
      </c>
      <c r="H82" s="2">
        <f t="shared" si="14"/>
        <v>40807914.615087174</v>
      </c>
      <c r="I82" s="2">
        <f t="shared" si="61"/>
        <v>179015252.78192639</v>
      </c>
      <c r="J82" s="5">
        <f t="shared" si="55"/>
        <v>0.22795775209612301</v>
      </c>
    </row>
    <row r="83" spans="1:10" x14ac:dyDescent="0.3">
      <c r="A83" s="1">
        <f t="shared" si="10"/>
        <v>6</v>
      </c>
      <c r="B83" s="1">
        <f t="shared" si="11"/>
        <v>12</v>
      </c>
      <c r="C83" s="2">
        <f t="shared" si="12"/>
        <v>40807914.615087174</v>
      </c>
      <c r="D83" s="2">
        <f t="shared" si="58"/>
        <v>5082208.0446801912</v>
      </c>
      <c r="E83" s="2">
        <f t="shared" si="59"/>
        <v>2891346.6708716243</v>
      </c>
      <c r="F83" s="2">
        <f t="shared" si="56"/>
        <v>1016441.6089360383</v>
      </c>
      <c r="G83" s="2">
        <f t="shared" ref="G83" si="66">(H82+F83)*((1+$B$3)^(1/12)-1)</f>
        <v>365318.76354838791</v>
      </c>
      <c r="H83" s="2">
        <f t="shared" si="14"/>
        <v>42189674.987571605</v>
      </c>
      <c r="I83" s="2">
        <f t="shared" si="61"/>
        <v>179015252.78192639</v>
      </c>
      <c r="J83" s="5">
        <f t="shared" si="55"/>
        <v>0.23567642606949482</v>
      </c>
    </row>
    <row r="84" spans="1:10" x14ac:dyDescent="0.3">
      <c r="A84" s="1">
        <f t="shared" si="10"/>
        <v>7</v>
      </c>
      <c r="B84" s="1">
        <f t="shared" si="11"/>
        <v>1</v>
      </c>
      <c r="C84" s="2">
        <f t="shared" si="12"/>
        <v>42189674.987571605</v>
      </c>
      <c r="D84" s="2">
        <f t="shared" si="58"/>
        <v>5370877.4616180258</v>
      </c>
      <c r="E84" s="2">
        <f t="shared" si="59"/>
        <v>3112534.6911933036</v>
      </c>
      <c r="F84" s="2">
        <f t="shared" si="56"/>
        <v>537087.74616180256</v>
      </c>
      <c r="G84" s="2">
        <f t="shared" ref="G84" si="67">(H83+F84)*((1+$B$3)^(1/12)-1)</f>
        <v>373200.9178744356</v>
      </c>
      <c r="H84" s="2">
        <f t="shared" si="14"/>
        <v>43099963.651607841</v>
      </c>
      <c r="I84" s="2">
        <f t="shared" si="61"/>
        <v>185459801.88207576</v>
      </c>
      <c r="J84" s="5">
        <f t="shared" si="55"/>
        <v>0.23239517789959069</v>
      </c>
    </row>
    <row r="85" spans="1:10" x14ac:dyDescent="0.3">
      <c r="A85" s="1">
        <f t="shared" si="10"/>
        <v>7</v>
      </c>
      <c r="B85" s="1">
        <f t="shared" si="11"/>
        <v>2</v>
      </c>
      <c r="C85" s="2">
        <f t="shared" si="12"/>
        <v>43099963.651607841</v>
      </c>
      <c r="D85" s="2">
        <f t="shared" si="58"/>
        <v>5370877.4616180258</v>
      </c>
      <c r="E85" s="2">
        <f t="shared" si="59"/>
        <v>3112534.6911933036</v>
      </c>
      <c r="F85" s="2">
        <f t="shared" si="56"/>
        <v>537087.74616180256</v>
      </c>
      <c r="G85" s="2">
        <f t="shared" ref="G85" si="68">(H84+F85)*((1+$B$3)^(1/12)-1)</f>
        <v>381151.91961697582</v>
      </c>
      <c r="H85" s="2">
        <f t="shared" si="14"/>
        <v>44018203.31738662</v>
      </c>
      <c r="I85" s="2">
        <f t="shared" si="61"/>
        <v>185459801.88207576</v>
      </c>
      <c r="J85" s="5">
        <f t="shared" si="55"/>
        <v>0.23734632988217849</v>
      </c>
    </row>
    <row r="86" spans="1:10" x14ac:dyDescent="0.3">
      <c r="A86" s="1">
        <f t="shared" si="10"/>
        <v>7</v>
      </c>
      <c r="B86" s="1">
        <f t="shared" si="11"/>
        <v>3</v>
      </c>
      <c r="C86" s="2">
        <f t="shared" si="12"/>
        <v>44018203.31738662</v>
      </c>
      <c r="D86" s="2">
        <f t="shared" si="58"/>
        <v>5370877.4616180258</v>
      </c>
      <c r="E86" s="2">
        <f t="shared" si="59"/>
        <v>3112534.6911933036</v>
      </c>
      <c r="F86" s="2">
        <f t="shared" si="56"/>
        <v>537087.74616180256</v>
      </c>
      <c r="G86" s="2">
        <f t="shared" ref="G86" si="69">(H85+F86)*((1+$B$3)^(1/12)-1)</f>
        <v>389172.37013022747</v>
      </c>
      <c r="H86" s="2">
        <f t="shared" si="14"/>
        <v>44944463.433678649</v>
      </c>
      <c r="I86" s="2">
        <f t="shared" si="61"/>
        <v>185459801.88207576</v>
      </c>
      <c r="J86" s="5">
        <f t="shared" si="55"/>
        <v>0.24234072816629285</v>
      </c>
    </row>
    <row r="87" spans="1:10" x14ac:dyDescent="0.3">
      <c r="A87" s="1">
        <f t="shared" si="10"/>
        <v>7</v>
      </c>
      <c r="B87" s="1">
        <f t="shared" si="11"/>
        <v>4</v>
      </c>
      <c r="C87" s="2">
        <f t="shared" si="12"/>
        <v>44944463.433678649</v>
      </c>
      <c r="D87" s="2">
        <f t="shared" si="58"/>
        <v>5370877.4616180258</v>
      </c>
      <c r="E87" s="2">
        <f t="shared" si="59"/>
        <v>3112534.6911933036</v>
      </c>
      <c r="F87" s="2">
        <f t="shared" si="56"/>
        <v>537087.74616180256</v>
      </c>
      <c r="G87" s="2">
        <f t="shared" ref="G87" si="70">(H86+F87)*((1+$B$3)^(1/12)-1)</f>
        <v>397262.87602099433</v>
      </c>
      <c r="H87" s="2">
        <f t="shared" si="14"/>
        <v>45878814.055861451</v>
      </c>
      <c r="I87" s="2">
        <f t="shared" si="61"/>
        <v>185459801.88207576</v>
      </c>
      <c r="J87" s="5">
        <f t="shared" si="55"/>
        <v>0.24737875049081204</v>
      </c>
    </row>
    <row r="88" spans="1:10" x14ac:dyDescent="0.3">
      <c r="A88" s="1">
        <f t="shared" si="10"/>
        <v>7</v>
      </c>
      <c r="B88" s="1">
        <f t="shared" si="11"/>
        <v>5</v>
      </c>
      <c r="C88" s="2">
        <f t="shared" si="12"/>
        <v>45878814.055861451</v>
      </c>
      <c r="D88" s="2">
        <f t="shared" si="58"/>
        <v>5370877.4616180258</v>
      </c>
      <c r="E88" s="2">
        <f t="shared" si="59"/>
        <v>3112534.6911933036</v>
      </c>
      <c r="F88" s="2">
        <f t="shared" si="56"/>
        <v>537087.74616180256</v>
      </c>
      <c r="G88" s="2">
        <f t="shared" ref="G88" si="71">(H87+F88)*((1+$B$3)^(1/12)-1)</f>
        <v>405424.04919454409</v>
      </c>
      <c r="H88" s="2">
        <f t="shared" si="14"/>
        <v>46821325.851217799</v>
      </c>
      <c r="I88" s="2">
        <f t="shared" si="61"/>
        <v>185459801.88207576</v>
      </c>
      <c r="J88" s="5">
        <f t="shared" si="55"/>
        <v>0.25246077789400984</v>
      </c>
    </row>
    <row r="89" spans="1:10" x14ac:dyDescent="0.3">
      <c r="A89" s="1">
        <f t="shared" si="10"/>
        <v>7</v>
      </c>
      <c r="B89" s="1">
        <f t="shared" si="11"/>
        <v>6</v>
      </c>
      <c r="C89" s="2">
        <f t="shared" si="12"/>
        <v>46821325.851217799</v>
      </c>
      <c r="D89" s="2">
        <f t="shared" si="58"/>
        <v>5370877.4616180258</v>
      </c>
      <c r="E89" s="2">
        <f t="shared" si="59"/>
        <v>3112534.6911933036</v>
      </c>
      <c r="F89" s="2">
        <f t="shared" si="56"/>
        <v>1074175.4923236051</v>
      </c>
      <c r="G89" s="2">
        <f t="shared" ref="G89" si="72">(H88+F89)*((1+$B$3)^(1/12)-1)</f>
        <v>418347.75021121878</v>
      </c>
      <c r="H89" s="2">
        <f t="shared" si="14"/>
        <v>48313849.093752623</v>
      </c>
      <c r="I89" s="2">
        <f t="shared" si="61"/>
        <v>185459801.88207576</v>
      </c>
      <c r="J89" s="5">
        <f t="shared" si="55"/>
        <v>0.26050846923945753</v>
      </c>
    </row>
    <row r="90" spans="1:10" x14ac:dyDescent="0.3">
      <c r="A90" s="1">
        <f t="shared" si="10"/>
        <v>7</v>
      </c>
      <c r="B90" s="1">
        <f t="shared" si="11"/>
        <v>7</v>
      </c>
      <c r="C90" s="2">
        <f t="shared" si="12"/>
        <v>48313849.093752623</v>
      </c>
      <c r="D90" s="2">
        <f t="shared" si="58"/>
        <v>5370877.4616180258</v>
      </c>
      <c r="E90" s="2">
        <f t="shared" si="59"/>
        <v>3112534.6911933036</v>
      </c>
      <c r="F90" s="2">
        <f t="shared" si="56"/>
        <v>537087.74616180256</v>
      </c>
      <c r="G90" s="2">
        <f t="shared" ref="G90" si="73">(H89+F90)*((1+$B$3)^(1/12)-1)</f>
        <v>426693.0911966408</v>
      </c>
      <c r="H90" s="2">
        <f t="shared" si="14"/>
        <v>49277629.931111068</v>
      </c>
      <c r="I90" s="2">
        <f t="shared" si="61"/>
        <v>185459801.88207576</v>
      </c>
      <c r="J90" s="5">
        <f t="shared" si="55"/>
        <v>0.26570517940294225</v>
      </c>
    </row>
    <row r="91" spans="1:10" x14ac:dyDescent="0.3">
      <c r="A91" s="1">
        <f t="shared" si="10"/>
        <v>7</v>
      </c>
      <c r="B91" s="1">
        <f t="shared" si="11"/>
        <v>8</v>
      </c>
      <c r="C91" s="2">
        <f t="shared" si="12"/>
        <v>49277629.931111068</v>
      </c>
      <c r="D91" s="2">
        <f t="shared" si="58"/>
        <v>5370877.4616180258</v>
      </c>
      <c r="E91" s="2">
        <f t="shared" si="59"/>
        <v>3112534.6911933036</v>
      </c>
      <c r="F91" s="2">
        <f t="shared" si="56"/>
        <v>537087.74616180256</v>
      </c>
      <c r="G91" s="2">
        <f t="shared" ref="G91" si="74">(H90+F91)*((1+$B$3)^(1/12)-1)</f>
        <v>435111.32534588955</v>
      </c>
      <c r="H91" s="2">
        <f t="shared" si="14"/>
        <v>50249829.00261876</v>
      </c>
      <c r="I91" s="2">
        <f t="shared" si="61"/>
        <v>185459801.88207576</v>
      </c>
      <c r="J91" s="5">
        <f t="shared" si="55"/>
        <v>0.27094728071892371</v>
      </c>
    </row>
    <row r="92" spans="1:10" x14ac:dyDescent="0.3">
      <c r="A92" s="1">
        <f t="shared" si="10"/>
        <v>7</v>
      </c>
      <c r="B92" s="1">
        <f t="shared" si="11"/>
        <v>9</v>
      </c>
      <c r="C92" s="2">
        <f t="shared" si="12"/>
        <v>50249829.00261876</v>
      </c>
      <c r="D92" s="2">
        <f t="shared" si="58"/>
        <v>5370877.4616180258</v>
      </c>
      <c r="E92" s="2">
        <f t="shared" si="59"/>
        <v>3112534.6911933036</v>
      </c>
      <c r="F92" s="2">
        <f t="shared" si="56"/>
        <v>537087.74616180256</v>
      </c>
      <c r="G92" s="2">
        <f t="shared" ref="G92" si="75">(H91+F92)*((1+$B$3)^(1/12)-1)</f>
        <v>443603.08935114357</v>
      </c>
      <c r="H92" s="2">
        <f t="shared" si="14"/>
        <v>51230519.838131703</v>
      </c>
      <c r="I92" s="2">
        <f t="shared" si="61"/>
        <v>185459801.88207576</v>
      </c>
      <c r="J92" s="5">
        <f t="shared" si="55"/>
        <v>0.27623516966068218</v>
      </c>
    </row>
    <row r="93" spans="1:10" x14ac:dyDescent="0.3">
      <c r="A93" s="1">
        <f t="shared" si="10"/>
        <v>7</v>
      </c>
      <c r="B93" s="1">
        <f t="shared" si="11"/>
        <v>10</v>
      </c>
      <c r="C93" s="2">
        <f t="shared" si="12"/>
        <v>51230519.838131703</v>
      </c>
      <c r="D93" s="2">
        <f t="shared" si="58"/>
        <v>5370877.4616180258</v>
      </c>
      <c r="E93" s="2">
        <f t="shared" si="59"/>
        <v>3112534.6911933036</v>
      </c>
      <c r="F93" s="2">
        <f t="shared" si="56"/>
        <v>537087.74616180256</v>
      </c>
      <c r="G93" s="2">
        <f t="shared" ref="G93" si="76">(H92+F93)*((1+$B$3)^(1/12)-1)</f>
        <v>452169.02546582889</v>
      </c>
      <c r="H93" s="2">
        <f t="shared" si="14"/>
        <v>52219776.609759338</v>
      </c>
      <c r="I93" s="2">
        <f t="shared" si="61"/>
        <v>185459801.88207576</v>
      </c>
      <c r="J93" s="5">
        <f t="shared" si="55"/>
        <v>0.281569246164531</v>
      </c>
    </row>
    <row r="94" spans="1:10" x14ac:dyDescent="0.3">
      <c r="A94" s="1">
        <f t="shared" si="10"/>
        <v>7</v>
      </c>
      <c r="B94" s="1">
        <f t="shared" si="11"/>
        <v>11</v>
      </c>
      <c r="C94" s="2">
        <f t="shared" si="12"/>
        <v>52219776.609759338</v>
      </c>
      <c r="D94" s="2">
        <f t="shared" si="58"/>
        <v>5370877.4616180258</v>
      </c>
      <c r="E94" s="2">
        <f t="shared" si="59"/>
        <v>3112534.6911933036</v>
      </c>
      <c r="F94" s="2">
        <f t="shared" si="56"/>
        <v>537087.74616180256</v>
      </c>
      <c r="G94" s="2">
        <f t="shared" ref="G94" si="77">(H93+F94)*((1+$B$3)^(1/12)-1)</f>
        <v>460809.78155319451</v>
      </c>
      <c r="H94" s="2">
        <f t="shared" si="14"/>
        <v>53217674.137474336</v>
      </c>
      <c r="I94" s="2">
        <f t="shared" si="61"/>
        <v>185459801.88207576</v>
      </c>
      <c r="J94" s="5">
        <f t="shared" si="55"/>
        <v>0.28694991366006467</v>
      </c>
    </row>
    <row r="95" spans="1:10" x14ac:dyDescent="0.3">
      <c r="A95" s="1">
        <f t="shared" si="10"/>
        <v>7</v>
      </c>
      <c r="B95" s="1">
        <f t="shared" si="11"/>
        <v>12</v>
      </c>
      <c r="C95" s="2">
        <f t="shared" si="12"/>
        <v>53217674.137474336</v>
      </c>
      <c r="D95" s="2">
        <f t="shared" si="58"/>
        <v>5370877.4616180258</v>
      </c>
      <c r="E95" s="2">
        <f t="shared" si="59"/>
        <v>3112534.6911933036</v>
      </c>
      <c r="F95" s="2">
        <f t="shared" si="56"/>
        <v>1074175.4923236051</v>
      </c>
      <c r="G95" s="2">
        <f t="shared" ref="G95" si="78">(H94+F95)*((1+$B$3)^(1/12)-1)</f>
        <v>474217.25444564194</v>
      </c>
      <c r="H95" s="2">
        <f t="shared" si="14"/>
        <v>54766066.884243585</v>
      </c>
      <c r="I95" s="2">
        <f t="shared" si="61"/>
        <v>185459801.88207576</v>
      </c>
      <c r="J95" s="5">
        <f t="shared" si="55"/>
        <v>0.29529885359775421</v>
      </c>
    </row>
    <row r="96" spans="1:10" x14ac:dyDescent="0.3">
      <c r="A96" s="1">
        <f t="shared" si="10"/>
        <v>8</v>
      </c>
      <c r="B96" s="1">
        <f t="shared" si="11"/>
        <v>1</v>
      </c>
      <c r="C96" s="2">
        <f t="shared" si="12"/>
        <v>54766066.884243585</v>
      </c>
      <c r="D96" s="2">
        <f t="shared" si="58"/>
        <v>5675943.3014379293</v>
      </c>
      <c r="E96" s="2">
        <f t="shared" si="59"/>
        <v>3350643.5950695914</v>
      </c>
      <c r="F96" s="2">
        <f t="shared" si="56"/>
        <v>567594.3301437929</v>
      </c>
      <c r="G96" s="2">
        <f t="shared" ref="G96" si="79">(H95+F96)*((1+$B$3)^(1/12)-1)</f>
        <v>483317.05547770165</v>
      </c>
      <c r="H96" s="2">
        <f t="shared" si="14"/>
        <v>55816978.269865081</v>
      </c>
      <c r="I96" s="2">
        <f t="shared" si="61"/>
        <v>192136354.74983048</v>
      </c>
      <c r="J96" s="5">
        <f t="shared" si="55"/>
        <v>0.29050711585811601</v>
      </c>
    </row>
    <row r="97" spans="1:10" x14ac:dyDescent="0.3">
      <c r="A97" s="1">
        <f t="shared" si="10"/>
        <v>8</v>
      </c>
      <c r="B97" s="1">
        <f t="shared" si="11"/>
        <v>2</v>
      </c>
      <c r="C97" s="2">
        <f t="shared" si="12"/>
        <v>55816978.269865081</v>
      </c>
      <c r="D97" s="2">
        <f t="shared" si="58"/>
        <v>5675943.3014379293</v>
      </c>
      <c r="E97" s="2">
        <f t="shared" si="59"/>
        <v>3350643.5950695914</v>
      </c>
      <c r="F97" s="2">
        <f t="shared" si="56"/>
        <v>567594.3301437929</v>
      </c>
      <c r="G97" s="2">
        <f t="shared" ref="G97" si="80">(H96+F97)*((1+$B$3)^(1/12)-1)</f>
        <v>492496.33957565157</v>
      </c>
      <c r="H97" s="2">
        <f t="shared" si="14"/>
        <v>56877068.939584523</v>
      </c>
      <c r="I97" s="2">
        <f t="shared" si="61"/>
        <v>192136354.74983048</v>
      </c>
      <c r="J97" s="5">
        <f t="shared" si="55"/>
        <v>0.29602450308605482</v>
      </c>
    </row>
    <row r="98" spans="1:10" x14ac:dyDescent="0.3">
      <c r="A98" s="1">
        <f t="shared" si="10"/>
        <v>8</v>
      </c>
      <c r="B98" s="1">
        <f t="shared" si="11"/>
        <v>3</v>
      </c>
      <c r="C98" s="2">
        <f t="shared" si="12"/>
        <v>56877068.939584523</v>
      </c>
      <c r="D98" s="2">
        <f t="shared" si="58"/>
        <v>5675943.3014379293</v>
      </c>
      <c r="E98" s="2">
        <f t="shared" si="59"/>
        <v>3350643.5950695914</v>
      </c>
      <c r="F98" s="2">
        <f t="shared" si="56"/>
        <v>567594.3301437929</v>
      </c>
      <c r="G98" s="2">
        <f t="shared" ref="G98" si="81">(H97+F98)*((1+$B$3)^(1/12)-1)</f>
        <v>501755.80099178798</v>
      </c>
      <c r="H98" s="2">
        <f t="shared" si="14"/>
        <v>57946419.070720106</v>
      </c>
      <c r="I98" s="2">
        <f t="shared" si="61"/>
        <v>192136354.74983048</v>
      </c>
      <c r="J98" s="5">
        <f t="shared" si="55"/>
        <v>0.30159008245039703</v>
      </c>
    </row>
    <row r="99" spans="1:10" x14ac:dyDescent="0.3">
      <c r="A99" s="1">
        <f t="shared" si="10"/>
        <v>8</v>
      </c>
      <c r="B99" s="1">
        <f t="shared" si="11"/>
        <v>4</v>
      </c>
      <c r="C99" s="2">
        <f t="shared" si="12"/>
        <v>57946419.070720106</v>
      </c>
      <c r="D99" s="2">
        <f t="shared" si="58"/>
        <v>5675943.3014379293</v>
      </c>
      <c r="E99" s="2">
        <f t="shared" si="59"/>
        <v>3350643.5950695914</v>
      </c>
      <c r="F99" s="2">
        <f t="shared" si="56"/>
        <v>567594.3301437929</v>
      </c>
      <c r="G99" s="2">
        <f t="shared" ref="G99" si="82">(H98+F99)*((1+$B$3)^(1/12)-1)</f>
        <v>511096.14004241931</v>
      </c>
      <c r="H99" s="2">
        <f t="shared" si="14"/>
        <v>59025109.540906318</v>
      </c>
      <c r="I99" s="2">
        <f t="shared" si="61"/>
        <v>192136354.74983048</v>
      </c>
      <c r="J99" s="5">
        <f t="shared" si="55"/>
        <v>0.30720427488987945</v>
      </c>
    </row>
    <row r="100" spans="1:10" x14ac:dyDescent="0.3">
      <c r="A100" s="1">
        <f t="shared" ref="A100:A156" si="83">IF(B100=1,A99+1,A99)</f>
        <v>8</v>
      </c>
      <c r="B100" s="1">
        <f t="shared" ref="B100:B156" si="84">IF(B99=12,1,B99+1)</f>
        <v>5</v>
      </c>
      <c r="C100" s="2">
        <f t="shared" ref="C100:C156" si="85">H99</f>
        <v>59025109.540906318</v>
      </c>
      <c r="D100" s="2">
        <f t="shared" si="58"/>
        <v>5675943.3014379293</v>
      </c>
      <c r="E100" s="2">
        <f t="shared" si="59"/>
        <v>3350643.5950695914</v>
      </c>
      <c r="F100" s="2">
        <f t="shared" si="56"/>
        <v>567594.3301437929</v>
      </c>
      <c r="G100" s="2">
        <f t="shared" ref="G100" si="86">(H99+F100)*((1+$B$3)^(1/12)-1)</f>
        <v>520518.0631608321</v>
      </c>
      <c r="H100" s="2">
        <f t="shared" ref="H100:H156" si="87">F100+C100+G100</f>
        <v>60113221.934210941</v>
      </c>
      <c r="I100" s="2">
        <f t="shared" si="61"/>
        <v>192136354.74983048</v>
      </c>
      <c r="J100" s="5">
        <f t="shared" si="55"/>
        <v>0.31286750501996802</v>
      </c>
    </row>
    <row r="101" spans="1:10" x14ac:dyDescent="0.3">
      <c r="A101" s="1">
        <f t="shared" si="83"/>
        <v>8</v>
      </c>
      <c r="B101" s="1">
        <f t="shared" si="84"/>
        <v>6</v>
      </c>
      <c r="C101" s="2">
        <f t="shared" si="85"/>
        <v>60113221.934210941</v>
      </c>
      <c r="D101" s="2">
        <f t="shared" si="58"/>
        <v>5675943.3014379293</v>
      </c>
      <c r="E101" s="2">
        <f t="shared" si="59"/>
        <v>3350643.5950695914</v>
      </c>
      <c r="F101" s="2">
        <f t="shared" si="56"/>
        <v>1135188.6602875858</v>
      </c>
      <c r="G101" s="2">
        <f t="shared" ref="G101" si="88">(H100+F101)*((1+$B$3)^(1/12)-1)</f>
        <v>534979.98888107797</v>
      </c>
      <c r="H101" s="2">
        <f t="shared" si="87"/>
        <v>61783390.583379611</v>
      </c>
      <c r="I101" s="2">
        <f t="shared" si="61"/>
        <v>192136354.74983048</v>
      </c>
      <c r="J101" s="5">
        <f t="shared" si="55"/>
        <v>0.32156012673303891</v>
      </c>
    </row>
    <row r="102" spans="1:10" x14ac:dyDescent="0.3">
      <c r="A102" s="1">
        <f t="shared" si="83"/>
        <v>8</v>
      </c>
      <c r="B102" s="1">
        <f t="shared" si="84"/>
        <v>7</v>
      </c>
      <c r="C102" s="2">
        <f t="shared" si="85"/>
        <v>61783390.583379611</v>
      </c>
      <c r="D102" s="2">
        <f t="shared" si="58"/>
        <v>5675943.3014379293</v>
      </c>
      <c r="E102" s="2">
        <f t="shared" si="59"/>
        <v>3350643.5950695914</v>
      </c>
      <c r="F102" s="2">
        <f t="shared" si="56"/>
        <v>567594.3301437929</v>
      </c>
      <c r="G102" s="2">
        <f t="shared" ref="G102" si="89">(H101+F102)*((1+$B$3)^(1/12)-1)</f>
        <v>544610.52771803958</v>
      </c>
      <c r="H102" s="2">
        <f t="shared" si="87"/>
        <v>62895595.441241443</v>
      </c>
      <c r="I102" s="2">
        <f t="shared" si="61"/>
        <v>192136354.74983048</v>
      </c>
      <c r="J102" s="5">
        <f t="shared" si="55"/>
        <v>0.32734874939796854</v>
      </c>
    </row>
    <row r="103" spans="1:10" x14ac:dyDescent="0.3">
      <c r="A103" s="1">
        <f t="shared" si="83"/>
        <v>8</v>
      </c>
      <c r="B103" s="1">
        <f t="shared" si="84"/>
        <v>8</v>
      </c>
      <c r="C103" s="2">
        <f t="shared" si="85"/>
        <v>62895595.441241443</v>
      </c>
      <c r="D103" s="2">
        <f t="shared" si="58"/>
        <v>5675943.3014379293</v>
      </c>
      <c r="E103" s="2">
        <f t="shared" si="59"/>
        <v>3350643.5950695914</v>
      </c>
      <c r="F103" s="2">
        <f t="shared" si="56"/>
        <v>567594.3301437929</v>
      </c>
      <c r="G103" s="2">
        <f t="shared" ref="G103" si="90">(H102+F103)*((1+$B$3)^(1/12)-1)</f>
        <v>554325.18540004396</v>
      </c>
      <c r="H103" s="2">
        <f t="shared" si="87"/>
        <v>64017514.956785284</v>
      </c>
      <c r="I103" s="2">
        <f t="shared" si="61"/>
        <v>192136354.74983048</v>
      </c>
      <c r="J103" s="5">
        <f t="shared" si="55"/>
        <v>0.3331879333306742</v>
      </c>
    </row>
    <row r="104" spans="1:10" x14ac:dyDescent="0.3">
      <c r="A104" s="1">
        <f t="shared" si="83"/>
        <v>8</v>
      </c>
      <c r="B104" s="1">
        <f t="shared" si="84"/>
        <v>9</v>
      </c>
      <c r="C104" s="2">
        <f t="shared" si="85"/>
        <v>64017514.956785284</v>
      </c>
      <c r="D104" s="2">
        <f t="shared" si="58"/>
        <v>5675943.3014379293</v>
      </c>
      <c r="E104" s="2">
        <f t="shared" si="59"/>
        <v>3350643.5950695914</v>
      </c>
      <c r="F104" s="2">
        <f t="shared" si="56"/>
        <v>567594.3301437929</v>
      </c>
      <c r="G104" s="2">
        <f t="shared" ref="G104" si="91">(H103+F104)*((1+$B$3)^(1/12)-1)</f>
        <v>564124.69667103561</v>
      </c>
      <c r="H104" s="2">
        <f t="shared" si="87"/>
        <v>65149233.983600117</v>
      </c>
      <c r="I104" s="2">
        <f t="shared" si="61"/>
        <v>192136354.74983048</v>
      </c>
      <c r="J104" s="5">
        <f t="shared" si="55"/>
        <v>0.33907812016329303</v>
      </c>
    </row>
    <row r="105" spans="1:10" x14ac:dyDescent="0.3">
      <c r="A105" s="1">
        <f t="shared" si="83"/>
        <v>8</v>
      </c>
      <c r="B105" s="1">
        <f t="shared" si="84"/>
        <v>10</v>
      </c>
      <c r="C105" s="2">
        <f t="shared" si="85"/>
        <v>65149233.983600117</v>
      </c>
      <c r="D105" s="2">
        <f t="shared" si="58"/>
        <v>5675943.3014379293</v>
      </c>
      <c r="E105" s="2">
        <f t="shared" si="59"/>
        <v>3350643.5950695914</v>
      </c>
      <c r="F105" s="2">
        <f t="shared" si="56"/>
        <v>567594.3301437929</v>
      </c>
      <c r="G105" s="2">
        <f t="shared" ref="G105" si="92">(H104+F105)*((1+$B$3)^(1/12)-1)</f>
        <v>574009.80269264861</v>
      </c>
      <c r="H105" s="2">
        <f t="shared" si="87"/>
        <v>66290838.116436563</v>
      </c>
      <c r="I105" s="2">
        <f t="shared" si="61"/>
        <v>192136354.74983048</v>
      </c>
      <c r="J105" s="5">
        <f t="shared" si="55"/>
        <v>0.34501975538543961</v>
      </c>
    </row>
    <row r="106" spans="1:10" x14ac:dyDescent="0.3">
      <c r="A106" s="1">
        <f t="shared" si="83"/>
        <v>8</v>
      </c>
      <c r="B106" s="1">
        <f t="shared" si="84"/>
        <v>11</v>
      </c>
      <c r="C106" s="2">
        <f t="shared" si="85"/>
        <v>66290838.116436563</v>
      </c>
      <c r="D106" s="2">
        <f t="shared" si="58"/>
        <v>5675943.3014379293</v>
      </c>
      <c r="E106" s="2">
        <f t="shared" si="59"/>
        <v>3350643.5950695914</v>
      </c>
      <c r="F106" s="2">
        <f t="shared" si="56"/>
        <v>567594.3301437929</v>
      </c>
      <c r="G106" s="2">
        <f t="shared" ref="G106" si="93">(H105+F106)*((1+$B$3)^(1/12)-1)</f>
        <v>583981.25110026309</v>
      </c>
      <c r="H106" s="2">
        <f t="shared" si="87"/>
        <v>67442413.697680622</v>
      </c>
      <c r="I106" s="2">
        <f t="shared" si="61"/>
        <v>192136354.74983048</v>
      </c>
      <c r="J106" s="5">
        <f t="shared" si="55"/>
        <v>0.35101328837789936</v>
      </c>
    </row>
    <row r="107" spans="1:10" x14ac:dyDescent="0.3">
      <c r="A107" s="1">
        <f t="shared" si="83"/>
        <v>8</v>
      </c>
      <c r="B107" s="1">
        <f t="shared" si="84"/>
        <v>12</v>
      </c>
      <c r="C107" s="2">
        <f t="shared" si="85"/>
        <v>67442413.697680622</v>
      </c>
      <c r="D107" s="2">
        <f t="shared" si="58"/>
        <v>5675943.3014379293</v>
      </c>
      <c r="E107" s="2">
        <f t="shared" si="59"/>
        <v>3350643.5950695914</v>
      </c>
      <c r="F107" s="2">
        <f t="shared" si="56"/>
        <v>1135188.6602875858</v>
      </c>
      <c r="G107" s="2">
        <f t="shared" ref="G107" si="94">(H106+F107)*((1+$B$3)^(1/12)-1)</f>
        <v>598997.50198990782</v>
      </c>
      <c r="H107" s="2">
        <f t="shared" si="87"/>
        <v>69176599.859958112</v>
      </c>
      <c r="I107" s="2">
        <f t="shared" si="61"/>
        <v>192136354.74983048</v>
      </c>
      <c r="J107" s="5">
        <f t="shared" si="55"/>
        <v>0.36003909801468298</v>
      </c>
    </row>
    <row r="108" spans="1:10" x14ac:dyDescent="0.3">
      <c r="A108" s="1">
        <f t="shared" si="83"/>
        <v>9</v>
      </c>
      <c r="B108" s="1">
        <f t="shared" si="84"/>
        <v>1</v>
      </c>
      <c r="C108" s="2">
        <f t="shared" si="85"/>
        <v>69176599.859958112</v>
      </c>
      <c r="D108" s="2">
        <f t="shared" si="58"/>
        <v>5998336.880959603</v>
      </c>
      <c r="E108" s="2">
        <f t="shared" si="59"/>
        <v>3606967.8300924152</v>
      </c>
      <c r="F108" s="2">
        <f t="shared" si="56"/>
        <v>599833.6880959603</v>
      </c>
      <c r="G108" s="2">
        <f t="shared" ref="G108" si="95">(H107+F108)*((1+$B$3)^(1/12)-1)</f>
        <v>609468.80549831304</v>
      </c>
      <c r="H108" s="2">
        <f t="shared" si="87"/>
        <v>70385902.353552386</v>
      </c>
      <c r="I108" s="2">
        <f t="shared" si="61"/>
        <v>199053263.5208244</v>
      </c>
      <c r="J108" s="5">
        <f t="shared" si="55"/>
        <v>0.35360335775750196</v>
      </c>
    </row>
    <row r="109" spans="1:10" x14ac:dyDescent="0.3">
      <c r="A109" s="1">
        <f t="shared" si="83"/>
        <v>9</v>
      </c>
      <c r="B109" s="1">
        <f t="shared" si="84"/>
        <v>2</v>
      </c>
      <c r="C109" s="2">
        <f t="shared" si="85"/>
        <v>70385902.353552386</v>
      </c>
      <c r="D109" s="2">
        <f t="shared" si="58"/>
        <v>5998336.880959603</v>
      </c>
      <c r="E109" s="2">
        <f t="shared" si="59"/>
        <v>3606967.8300924152</v>
      </c>
      <c r="F109" s="2">
        <f t="shared" si="56"/>
        <v>599833.6880959603</v>
      </c>
      <c r="G109" s="2">
        <f t="shared" ref="G109" si="96">(H108+F109)*((1+$B$3)^(1/12)-1)</f>
        <v>620031.57158966758</v>
      </c>
      <c r="H109" s="2">
        <f t="shared" si="87"/>
        <v>71605767.613238007</v>
      </c>
      <c r="I109" s="2">
        <f t="shared" si="61"/>
        <v>199053263.5208244</v>
      </c>
      <c r="J109" s="5">
        <f t="shared" si="55"/>
        <v>0.35973169365166829</v>
      </c>
    </row>
    <row r="110" spans="1:10" x14ac:dyDescent="0.3">
      <c r="A110" s="1">
        <f t="shared" si="83"/>
        <v>9</v>
      </c>
      <c r="B110" s="1">
        <f t="shared" si="84"/>
        <v>3</v>
      </c>
      <c r="C110" s="2">
        <f t="shared" si="85"/>
        <v>71605767.613238007</v>
      </c>
      <c r="D110" s="2">
        <f t="shared" si="58"/>
        <v>5998336.880959603</v>
      </c>
      <c r="E110" s="2">
        <f t="shared" si="59"/>
        <v>3606967.8300924152</v>
      </c>
      <c r="F110" s="2">
        <f t="shared" si="56"/>
        <v>599833.6880959603</v>
      </c>
      <c r="G110" s="2">
        <f t="shared" ref="G110" si="97">(H109+F110)*((1+$B$3)^(1/12)-1)</f>
        <v>630686.59915248316</v>
      </c>
      <c r="H110" s="2">
        <f t="shared" si="87"/>
        <v>72836287.900486454</v>
      </c>
      <c r="I110" s="2">
        <f t="shared" si="61"/>
        <v>199053263.5208244</v>
      </c>
      <c r="J110" s="5">
        <f t="shared" si="55"/>
        <v>0.36591355807068454</v>
      </c>
    </row>
    <row r="111" spans="1:10" x14ac:dyDescent="0.3">
      <c r="A111" s="1">
        <f t="shared" si="83"/>
        <v>9</v>
      </c>
      <c r="B111" s="1">
        <f t="shared" si="84"/>
        <v>4</v>
      </c>
      <c r="C111" s="2">
        <f t="shared" si="85"/>
        <v>72836287.900486454</v>
      </c>
      <c r="D111" s="2">
        <f t="shared" si="58"/>
        <v>5998336.880959603</v>
      </c>
      <c r="E111" s="2">
        <f t="shared" si="59"/>
        <v>3606967.8300924152</v>
      </c>
      <c r="F111" s="2">
        <f t="shared" si="56"/>
        <v>599833.6880959603</v>
      </c>
      <c r="G111" s="2">
        <f t="shared" ref="G111" si="98">(H110+F111)*((1+$B$3)^(1/12)-1)</f>
        <v>641434.69405323872</v>
      </c>
      <c r="H111" s="2">
        <f t="shared" si="87"/>
        <v>74077556.282635644</v>
      </c>
      <c r="I111" s="2">
        <f t="shared" si="61"/>
        <v>199053263.5208244</v>
      </c>
      <c r="J111" s="5">
        <f t="shared" si="55"/>
        <v>0.37214941856447309</v>
      </c>
    </row>
    <row r="112" spans="1:10" x14ac:dyDescent="0.3">
      <c r="A112" s="1">
        <f t="shared" si="83"/>
        <v>9</v>
      </c>
      <c r="B112" s="1">
        <f t="shared" si="84"/>
        <v>5</v>
      </c>
      <c r="C112" s="2">
        <f t="shared" si="85"/>
        <v>74077556.282635644</v>
      </c>
      <c r="D112" s="2">
        <f t="shared" si="58"/>
        <v>5998336.880959603</v>
      </c>
      <c r="E112" s="2">
        <f t="shared" si="59"/>
        <v>3606967.8300924152</v>
      </c>
      <c r="F112" s="2">
        <f t="shared" si="56"/>
        <v>599833.6880959603</v>
      </c>
      <c r="G112" s="2">
        <f t="shared" ref="G112" si="99">(H111+F112)*((1+$B$3)^(1/12)-1)</f>
        <v>652276.66919732932</v>
      </c>
      <c r="H112" s="2">
        <f t="shared" si="87"/>
        <v>75329666.639928937</v>
      </c>
      <c r="I112" s="2">
        <f t="shared" si="61"/>
        <v>199053263.5208244</v>
      </c>
      <c r="J112" s="5">
        <f t="shared" si="55"/>
        <v>0.3784397467668153</v>
      </c>
    </row>
    <row r="113" spans="1:10" x14ac:dyDescent="0.3">
      <c r="A113" s="1">
        <f t="shared" si="83"/>
        <v>9</v>
      </c>
      <c r="B113" s="1">
        <f t="shared" si="84"/>
        <v>6</v>
      </c>
      <c r="C113" s="2">
        <f t="shared" si="85"/>
        <v>75329666.639928937</v>
      </c>
      <c r="D113" s="2">
        <f t="shared" si="58"/>
        <v>5998336.880959603</v>
      </c>
      <c r="E113" s="2">
        <f t="shared" si="59"/>
        <v>3606967.8300924152</v>
      </c>
      <c r="F113" s="2">
        <f t="shared" si="56"/>
        <v>1199667.3761919206</v>
      </c>
      <c r="G113" s="2">
        <f t="shared" ref="G113" si="100">(H112+F113)*((1+$B$3)^(1/12)-1)</f>
        <v>668452.64821775001</v>
      </c>
      <c r="H113" s="2">
        <f t="shared" si="87"/>
        <v>77197786.664338604</v>
      </c>
      <c r="I113" s="2">
        <f t="shared" si="61"/>
        <v>199053263.5208244</v>
      </c>
      <c r="J113" s="5">
        <f t="shared" si="55"/>
        <v>0.38782477262053222</v>
      </c>
    </row>
    <row r="114" spans="1:10" x14ac:dyDescent="0.3">
      <c r="A114" s="1">
        <f t="shared" si="83"/>
        <v>9</v>
      </c>
      <c r="B114" s="1">
        <f t="shared" si="84"/>
        <v>7</v>
      </c>
      <c r="C114" s="2">
        <f t="shared" si="85"/>
        <v>77197786.664338604</v>
      </c>
      <c r="D114" s="2">
        <f t="shared" si="58"/>
        <v>5998336.880959603</v>
      </c>
      <c r="E114" s="2">
        <f t="shared" si="59"/>
        <v>3606967.8300924152</v>
      </c>
      <c r="F114" s="2">
        <f t="shared" si="56"/>
        <v>599833.6880959603</v>
      </c>
      <c r="G114" s="2">
        <f t="shared" ref="G114" si="101">(H113+F114)*((1+$B$3)^(1/12)-1)</f>
        <v>679530.61421741103</v>
      </c>
      <c r="H114" s="2">
        <f t="shared" si="87"/>
        <v>78477150.966651976</v>
      </c>
      <c r="I114" s="2">
        <f t="shared" si="61"/>
        <v>199053263.5208244</v>
      </c>
      <c r="J114" s="5">
        <f t="shared" si="55"/>
        <v>0.39425201867359444</v>
      </c>
    </row>
    <row r="115" spans="1:10" x14ac:dyDescent="0.3">
      <c r="A115" s="1">
        <f t="shared" si="83"/>
        <v>9</v>
      </c>
      <c r="B115" s="1">
        <f t="shared" si="84"/>
        <v>8</v>
      </c>
      <c r="C115" s="2">
        <f t="shared" si="85"/>
        <v>78477150.966651976</v>
      </c>
      <c r="D115" s="2">
        <f t="shared" si="58"/>
        <v>5998336.880959603</v>
      </c>
      <c r="E115" s="2">
        <f t="shared" si="59"/>
        <v>3606967.8300924152</v>
      </c>
      <c r="F115" s="2">
        <f t="shared" si="56"/>
        <v>599833.6880959603</v>
      </c>
      <c r="G115" s="2">
        <f t="shared" ref="G115" si="102">(H114+F115)*((1+$B$3)^(1/12)-1)</f>
        <v>690705.34175047011</v>
      </c>
      <c r="H115" s="2">
        <f t="shared" si="87"/>
        <v>79767689.996498406</v>
      </c>
      <c r="I115" s="2">
        <f t="shared" si="61"/>
        <v>199053263.5208244</v>
      </c>
      <c r="J115" s="5">
        <f t="shared" si="55"/>
        <v>0.40073540411033415</v>
      </c>
    </row>
    <row r="116" spans="1:10" x14ac:dyDescent="0.3">
      <c r="A116" s="1">
        <f t="shared" si="83"/>
        <v>9</v>
      </c>
      <c r="B116" s="1">
        <f t="shared" si="84"/>
        <v>9</v>
      </c>
      <c r="C116" s="2">
        <f t="shared" si="85"/>
        <v>79767689.996498406</v>
      </c>
      <c r="D116" s="2">
        <f t="shared" si="58"/>
        <v>5998336.880959603</v>
      </c>
      <c r="E116" s="2">
        <f t="shared" si="59"/>
        <v>3606967.8300924152</v>
      </c>
      <c r="F116" s="2">
        <f t="shared" si="56"/>
        <v>599833.6880959603</v>
      </c>
      <c r="G116" s="2">
        <f t="shared" ref="G116" si="103">(H115+F116)*((1+$B$3)^(1/12)-1)</f>
        <v>701977.67598961946</v>
      </c>
      <c r="H116" s="2">
        <f t="shared" si="87"/>
        <v>81069501.360583976</v>
      </c>
      <c r="I116" s="2">
        <f t="shared" si="61"/>
        <v>199053263.5208244</v>
      </c>
      <c r="J116" s="5">
        <f t="shared" si="55"/>
        <v>0.40727541928546529</v>
      </c>
    </row>
    <row r="117" spans="1:10" x14ac:dyDescent="0.3">
      <c r="A117" s="1">
        <f t="shared" si="83"/>
        <v>9</v>
      </c>
      <c r="B117" s="1">
        <f t="shared" si="84"/>
        <v>10</v>
      </c>
      <c r="C117" s="2">
        <f t="shared" si="85"/>
        <v>81069501.360583976</v>
      </c>
      <c r="D117" s="2">
        <f t="shared" si="58"/>
        <v>5998336.880959603</v>
      </c>
      <c r="E117" s="2">
        <f t="shared" si="59"/>
        <v>3606967.8300924152</v>
      </c>
      <c r="F117" s="2">
        <f t="shared" si="56"/>
        <v>599833.6880959603</v>
      </c>
      <c r="G117" s="2">
        <f t="shared" ref="G117" si="104">(H116+F117)*((1+$B$3)^(1/12)-1)</f>
        <v>713348.46948979096</v>
      </c>
      <c r="H117" s="2">
        <f t="shared" si="87"/>
        <v>82382683.518169731</v>
      </c>
      <c r="I117" s="2">
        <f t="shared" si="61"/>
        <v>199053263.5208244</v>
      </c>
      <c r="J117" s="5">
        <f t="shared" si="55"/>
        <v>0.41387255883675117</v>
      </c>
    </row>
    <row r="118" spans="1:10" x14ac:dyDescent="0.3">
      <c r="A118" s="1">
        <f t="shared" si="83"/>
        <v>9</v>
      </c>
      <c r="B118" s="1">
        <f t="shared" si="84"/>
        <v>11</v>
      </c>
      <c r="C118" s="2">
        <f t="shared" si="85"/>
        <v>82382683.518169731</v>
      </c>
      <c r="D118" s="2">
        <f t="shared" si="58"/>
        <v>5998336.880959603</v>
      </c>
      <c r="E118" s="2">
        <f t="shared" si="59"/>
        <v>3606967.8300924152</v>
      </c>
      <c r="F118" s="2">
        <f t="shared" si="56"/>
        <v>599833.6880959603</v>
      </c>
      <c r="G118" s="2">
        <f t="shared" ref="G118" si="105">(H117+F118)*((1+$B$3)^(1/12)-1)</f>
        <v>724818.58225263807</v>
      </c>
      <c r="H118" s="2">
        <f t="shared" si="87"/>
        <v>83707335.788518324</v>
      </c>
      <c r="I118" s="2">
        <f t="shared" si="61"/>
        <v>199053263.5208244</v>
      </c>
      <c r="J118" s="5">
        <f t="shared" si="55"/>
        <v>0.42052732172241475</v>
      </c>
    </row>
    <row r="119" spans="1:10" x14ac:dyDescent="0.3">
      <c r="A119" s="1">
        <f t="shared" si="83"/>
        <v>9</v>
      </c>
      <c r="B119" s="1">
        <f t="shared" si="84"/>
        <v>12</v>
      </c>
      <c r="C119" s="2">
        <f t="shared" si="85"/>
        <v>83707335.788518324</v>
      </c>
      <c r="D119" s="2">
        <f t="shared" si="58"/>
        <v>5998336.880959603</v>
      </c>
      <c r="E119" s="2">
        <f t="shared" si="59"/>
        <v>3606967.8300924152</v>
      </c>
      <c r="F119" s="2">
        <f t="shared" si="56"/>
        <v>1199667.3761919206</v>
      </c>
      <c r="G119" s="2">
        <f t="shared" ref="G119" si="106">(H118+F119)*((1+$B$3)^(1/12)-1)</f>
        <v>741628.18541878019</v>
      </c>
      <c r="H119" s="2">
        <f t="shared" si="87"/>
        <v>85648631.350129023</v>
      </c>
      <c r="I119" s="2">
        <f t="shared" si="61"/>
        <v>199053263.5208244</v>
      </c>
      <c r="J119" s="5">
        <f t="shared" si="55"/>
        <v>0.43027996544838715</v>
      </c>
    </row>
    <row r="120" spans="1:10" x14ac:dyDescent="0.3">
      <c r="A120" s="1">
        <f t="shared" si="83"/>
        <v>10</v>
      </c>
      <c r="B120" s="1">
        <f t="shared" si="84"/>
        <v>1</v>
      </c>
      <c r="C120" s="2">
        <f t="shared" si="85"/>
        <v>85648631.350129023</v>
      </c>
      <c r="D120" s="2">
        <f t="shared" si="58"/>
        <v>11996673.761919206</v>
      </c>
      <c r="E120" s="2">
        <f t="shared" si="59"/>
        <v>3882900.869094485</v>
      </c>
      <c r="F120" s="2">
        <f t="shared" si="56"/>
        <v>1199667.3761919206</v>
      </c>
      <c r="G120" s="2">
        <f t="shared" ref="G120" si="107">(H119+F120)*((1+$B$3)^(1/12)-1)</f>
        <v>758584.61364091374</v>
      </c>
      <c r="H120" s="2">
        <f t="shared" si="87"/>
        <v>87606883.339961857</v>
      </c>
      <c r="I120" s="2">
        <f t="shared" si="61"/>
        <v>206219181.00757408</v>
      </c>
      <c r="J120" s="5">
        <f t="shared" si="55"/>
        <v>0.42482412601931635</v>
      </c>
    </row>
    <row r="121" spans="1:10" x14ac:dyDescent="0.3">
      <c r="A121" s="1">
        <f t="shared" si="83"/>
        <v>10</v>
      </c>
      <c r="B121" s="1">
        <f t="shared" si="84"/>
        <v>2</v>
      </c>
      <c r="C121" s="2">
        <f t="shared" si="85"/>
        <v>87606883.339961857</v>
      </c>
      <c r="D121" s="2">
        <f t="shared" si="58"/>
        <v>11996673.761919206</v>
      </c>
      <c r="E121" s="2">
        <f t="shared" si="59"/>
        <v>3882900.869094485</v>
      </c>
      <c r="F121" s="2">
        <f t="shared" si="56"/>
        <v>1199667.3761919206</v>
      </c>
      <c r="G121" s="2">
        <f t="shared" ref="G121" si="108">(H120+F121)*((1+$B$3)^(1/12)-1)</f>
        <v>775689.14937626582</v>
      </c>
      <c r="H121" s="2">
        <f t="shared" si="87"/>
        <v>89582239.865530044</v>
      </c>
      <c r="I121" s="2">
        <f t="shared" si="61"/>
        <v>206219181.00757408</v>
      </c>
      <c r="J121" s="5">
        <f t="shared" si="55"/>
        <v>0.43440304353764181</v>
      </c>
    </row>
    <row r="122" spans="1:10" x14ac:dyDescent="0.3">
      <c r="A122" s="1">
        <f t="shared" si="83"/>
        <v>10</v>
      </c>
      <c r="B122" s="1">
        <f t="shared" si="84"/>
        <v>3</v>
      </c>
      <c r="C122" s="2">
        <f t="shared" si="85"/>
        <v>89582239.865530044</v>
      </c>
      <c r="D122" s="2">
        <f t="shared" si="58"/>
        <v>11996673.761919206</v>
      </c>
      <c r="E122" s="2">
        <f t="shared" si="59"/>
        <v>3882900.869094485</v>
      </c>
      <c r="F122" s="2">
        <f t="shared" si="56"/>
        <v>1199667.3761919206</v>
      </c>
      <c r="G122" s="2">
        <f t="shared" ref="G122" si="109">(H121+F122)*((1+$B$3)^(1/12)-1)</f>
        <v>792943.08628380671</v>
      </c>
      <c r="H122" s="2">
        <f t="shared" si="87"/>
        <v>91574850.328005761</v>
      </c>
      <c r="I122" s="2">
        <f t="shared" si="61"/>
        <v>206219181.00757408</v>
      </c>
      <c r="J122" s="5">
        <f t="shared" si="55"/>
        <v>0.44406562900975916</v>
      </c>
    </row>
    <row r="123" spans="1:10" x14ac:dyDescent="0.3">
      <c r="A123" s="1">
        <f t="shared" si="83"/>
        <v>10</v>
      </c>
      <c r="B123" s="1">
        <f t="shared" si="84"/>
        <v>4</v>
      </c>
      <c r="C123" s="2">
        <f t="shared" si="85"/>
        <v>91574850.328005761</v>
      </c>
      <c r="D123" s="2">
        <f t="shared" si="58"/>
        <v>11996673.761919206</v>
      </c>
      <c r="E123" s="2">
        <f t="shared" si="59"/>
        <v>3882900.869094485</v>
      </c>
      <c r="F123" s="2">
        <f t="shared" si="56"/>
        <v>1199667.3761919206</v>
      </c>
      <c r="G123" s="2">
        <f t="shared" ref="G123" si="110">(H122+F123)*((1+$B$3)^(1/12)-1)</f>
        <v>810347.72932209203</v>
      </c>
      <c r="H123" s="2">
        <f t="shared" si="87"/>
        <v>93584865.433519766</v>
      </c>
      <c r="I123" s="2">
        <f t="shared" si="61"/>
        <v>206219181.00757408</v>
      </c>
      <c r="J123" s="5">
        <f t="shared" si="55"/>
        <v>0.45381261324126076</v>
      </c>
    </row>
    <row r="124" spans="1:10" x14ac:dyDescent="0.3">
      <c r="A124" s="1">
        <f t="shared" si="83"/>
        <v>10</v>
      </c>
      <c r="B124" s="1">
        <f t="shared" si="84"/>
        <v>5</v>
      </c>
      <c r="C124" s="2">
        <f t="shared" si="85"/>
        <v>93584865.433519766</v>
      </c>
      <c r="D124" s="2">
        <f t="shared" si="58"/>
        <v>11996673.761919206</v>
      </c>
      <c r="E124" s="2">
        <f t="shared" si="59"/>
        <v>3882900.869094485</v>
      </c>
      <c r="F124" s="2">
        <f t="shared" si="56"/>
        <v>1199667.3761919206</v>
      </c>
      <c r="G124" s="2">
        <f t="shared" ref="G124" si="111">(H123+F124)*((1+$B$3)^(1/12)-1)</f>
        <v>827904.39484796068</v>
      </c>
      <c r="H124" s="2">
        <f t="shared" si="87"/>
        <v>95612437.204559639</v>
      </c>
      <c r="I124" s="2">
        <f t="shared" si="61"/>
        <v>206219181.00757408</v>
      </c>
      <c r="J124" s="5">
        <f t="shared" si="55"/>
        <v>0.46364473342102913</v>
      </c>
    </row>
    <row r="125" spans="1:10" x14ac:dyDescent="0.3">
      <c r="A125" s="1">
        <f t="shared" si="83"/>
        <v>10</v>
      </c>
      <c r="B125" s="1">
        <f t="shared" si="84"/>
        <v>6</v>
      </c>
      <c r="C125" s="2">
        <f t="shared" si="85"/>
        <v>95612437.204559639</v>
      </c>
      <c r="D125" s="2">
        <f t="shared" si="58"/>
        <v>11996673.761919206</v>
      </c>
      <c r="E125" s="2">
        <f t="shared" si="59"/>
        <v>3882900.869094485</v>
      </c>
      <c r="F125" s="2">
        <f t="shared" si="56"/>
        <v>2399334.7523838412</v>
      </c>
      <c r="G125" s="2">
        <f t="shared" ref="G125" si="112">(H124+F125)*((1+$B$3)^(1/12)-1)</f>
        <v>856093.01797049644</v>
      </c>
      <c r="H125" s="2">
        <f t="shared" si="87"/>
        <v>98867864.974913985</v>
      </c>
      <c r="I125" s="2">
        <f t="shared" si="61"/>
        <v>206219181.00757408</v>
      </c>
      <c r="J125" s="5">
        <f t="shared" si="55"/>
        <v>0.47943098450809352</v>
      </c>
    </row>
    <row r="126" spans="1:10" x14ac:dyDescent="0.3">
      <c r="A126" s="1">
        <f t="shared" si="83"/>
        <v>10</v>
      </c>
      <c r="B126" s="1">
        <f t="shared" si="84"/>
        <v>7</v>
      </c>
      <c r="C126" s="2">
        <f t="shared" si="85"/>
        <v>98867864.974913985</v>
      </c>
      <c r="D126" s="2">
        <f t="shared" si="58"/>
        <v>11996673.761919206</v>
      </c>
      <c r="E126" s="2">
        <f t="shared" si="59"/>
        <v>3882900.869094485</v>
      </c>
      <c r="F126" s="2">
        <f t="shared" si="56"/>
        <v>1199667.3761919206</v>
      </c>
      <c r="G126" s="2">
        <f t="shared" ref="G126" si="113">(H125+F126)*((1+$B$3)^(1/12)-1)</f>
        <v>874049.25001205015</v>
      </c>
      <c r="H126" s="2">
        <f t="shared" si="87"/>
        <v>100941581.60111795</v>
      </c>
      <c r="I126" s="2">
        <f t="shared" si="61"/>
        <v>206219181.00757408</v>
      </c>
      <c r="J126" s="5">
        <f t="shared" si="55"/>
        <v>0.48948687075529868</v>
      </c>
    </row>
    <row r="127" spans="1:10" x14ac:dyDescent="0.3">
      <c r="A127" s="1">
        <f t="shared" si="83"/>
        <v>10</v>
      </c>
      <c r="B127" s="1">
        <f t="shared" si="84"/>
        <v>8</v>
      </c>
      <c r="C127" s="2">
        <f t="shared" si="85"/>
        <v>100941581.60111795</v>
      </c>
      <c r="D127" s="2">
        <f t="shared" si="58"/>
        <v>11996673.761919206</v>
      </c>
      <c r="E127" s="2">
        <f t="shared" si="59"/>
        <v>3882900.869094485</v>
      </c>
      <c r="F127" s="2">
        <f t="shared" si="56"/>
        <v>1199667.3761919206</v>
      </c>
      <c r="G127" s="2">
        <f t="shared" ref="G127" si="114">(H126+F127)*((1+$B$3)^(1/12)-1)</f>
        <v>892162.3224470882</v>
      </c>
      <c r="H127" s="2">
        <f t="shared" si="87"/>
        <v>103033411.29975696</v>
      </c>
      <c r="I127" s="2">
        <f t="shared" si="61"/>
        <v>206219181.00757408</v>
      </c>
      <c r="J127" s="5">
        <f t="shared" si="55"/>
        <v>0.49963059108440894</v>
      </c>
    </row>
    <row r="128" spans="1:10" x14ac:dyDescent="0.3">
      <c r="A128" s="1">
        <f t="shared" si="83"/>
        <v>10</v>
      </c>
      <c r="B128" s="1">
        <f t="shared" si="84"/>
        <v>9</v>
      </c>
      <c r="C128" s="2">
        <f t="shared" si="85"/>
        <v>103033411.29975696</v>
      </c>
      <c r="D128" s="2">
        <f t="shared" si="58"/>
        <v>11996673.761919206</v>
      </c>
      <c r="E128" s="2">
        <f t="shared" si="59"/>
        <v>3882900.869094485</v>
      </c>
      <c r="F128" s="2">
        <f t="shared" si="56"/>
        <v>1199667.3761919206</v>
      </c>
      <c r="G128" s="2">
        <f t="shared" ref="G128" si="115">(H127+F128)*((1+$B$3)^(1/12)-1)</f>
        <v>910433.60521274293</v>
      </c>
      <c r="H128" s="2">
        <f t="shared" si="87"/>
        <v>105143512.28116162</v>
      </c>
      <c r="I128" s="2">
        <f t="shared" si="61"/>
        <v>206219181.00757408</v>
      </c>
      <c r="J128" s="5">
        <f t="shared" si="55"/>
        <v>0.5098629126904537</v>
      </c>
    </row>
    <row r="129" spans="1:10" x14ac:dyDescent="0.3">
      <c r="A129" s="1">
        <f t="shared" si="83"/>
        <v>10</v>
      </c>
      <c r="B129" s="1">
        <f t="shared" si="84"/>
        <v>10</v>
      </c>
      <c r="C129" s="2">
        <f t="shared" si="85"/>
        <v>105143512.28116162</v>
      </c>
      <c r="D129" s="2">
        <f t="shared" si="58"/>
        <v>11996673.761919206</v>
      </c>
      <c r="E129" s="2">
        <f t="shared" si="59"/>
        <v>3882900.869094485</v>
      </c>
      <c r="F129" s="2">
        <f t="shared" si="56"/>
        <v>1199667.3761919206</v>
      </c>
      <c r="G129" s="2">
        <f t="shared" ref="G129" si="116">(H128+F129)*((1+$B$3)^(1/12)-1)</f>
        <v>928864.48021199089</v>
      </c>
      <c r="H129" s="2">
        <f t="shared" si="87"/>
        <v>107272044.13756552</v>
      </c>
      <c r="I129" s="2">
        <f t="shared" si="61"/>
        <v>206219181.00757408</v>
      </c>
      <c r="J129" s="5">
        <f t="shared" si="55"/>
        <v>0.52018460946959921</v>
      </c>
    </row>
    <row r="130" spans="1:10" x14ac:dyDescent="0.3">
      <c r="A130" s="1">
        <f t="shared" si="83"/>
        <v>10</v>
      </c>
      <c r="B130" s="1">
        <f t="shared" si="84"/>
        <v>11</v>
      </c>
      <c r="C130" s="2">
        <f t="shared" si="85"/>
        <v>107272044.13756552</v>
      </c>
      <c r="D130" s="2">
        <f t="shared" si="58"/>
        <v>11996673.761919206</v>
      </c>
      <c r="E130" s="2">
        <f t="shared" si="59"/>
        <v>3882900.869094485</v>
      </c>
      <c r="F130" s="2">
        <f t="shared" si="56"/>
        <v>1199667.3761919206</v>
      </c>
      <c r="G130" s="2">
        <f t="shared" ref="G130" si="117">(H129+F130)*((1+$B$3)^(1/12)-1)</f>
        <v>947456.3414181699</v>
      </c>
      <c r="H130" s="2">
        <f t="shared" si="87"/>
        <v>109419167.85517561</v>
      </c>
      <c r="I130" s="2">
        <f t="shared" si="61"/>
        <v>206219181.00757408</v>
      </c>
      <c r="J130" s="5">
        <f t="shared" si="55"/>
        <v>0.53059646207768052</v>
      </c>
    </row>
    <row r="131" spans="1:10" x14ac:dyDescent="0.3">
      <c r="A131" s="1">
        <f t="shared" si="83"/>
        <v>10</v>
      </c>
      <c r="B131" s="1">
        <f t="shared" si="84"/>
        <v>12</v>
      </c>
      <c r="C131" s="2">
        <f t="shared" si="85"/>
        <v>109419167.85517561</v>
      </c>
      <c r="D131" s="2">
        <f t="shared" si="58"/>
        <v>11996673.761919206</v>
      </c>
      <c r="E131" s="2">
        <f t="shared" si="59"/>
        <v>3882900.869094485</v>
      </c>
      <c r="F131" s="2">
        <f t="shared" si="56"/>
        <v>2399334.7523838412</v>
      </c>
      <c r="G131" s="2">
        <f t="shared" ref="G131" si="118">(H130+F131)*((1+$B$3)^(1/12)-1)</f>
        <v>976689.2022348115</v>
      </c>
      <c r="H131" s="2">
        <f t="shared" si="87"/>
        <v>112795191.80979426</v>
      </c>
      <c r="I131" s="2">
        <f t="shared" si="61"/>
        <v>206219181.00757408</v>
      </c>
      <c r="J131" s="5">
        <f t="shared" si="55"/>
        <v>0.54696750932034532</v>
      </c>
    </row>
    <row r="132" spans="1:10" x14ac:dyDescent="0.3">
      <c r="A132" s="1">
        <f t="shared" si="83"/>
        <v>11</v>
      </c>
      <c r="B132" s="1">
        <f t="shared" si="84"/>
        <v>1</v>
      </c>
      <c r="C132" s="2">
        <f t="shared" si="85"/>
        <v>112795191.80979426</v>
      </c>
      <c r="D132" s="2">
        <f t="shared" si="58"/>
        <v>12678084.831596216</v>
      </c>
      <c r="E132" s="2">
        <f t="shared" si="59"/>
        <v>4179942.7855802132</v>
      </c>
      <c r="F132" s="2">
        <f t="shared" si="56"/>
        <v>1267808.4831596217</v>
      </c>
      <c r="G132" s="2">
        <f t="shared" ref="G132" si="119">(H131+F132)*((1+$B$3)^(1/12)-1)</f>
        <v>996293.97785463417</v>
      </c>
      <c r="H132" s="2">
        <f t="shared" si="87"/>
        <v>115059294.27080852</v>
      </c>
      <c r="I132" s="2">
        <f t="shared" si="61"/>
        <v>213643071.52384675</v>
      </c>
      <c r="J132" s="5">
        <f t="shared" si="55"/>
        <v>0.53855850999579757</v>
      </c>
    </row>
    <row r="133" spans="1:10" x14ac:dyDescent="0.3">
      <c r="A133" s="1">
        <f t="shared" si="83"/>
        <v>11</v>
      </c>
      <c r="B133" s="1">
        <f t="shared" si="84"/>
        <v>2</v>
      </c>
      <c r="C133" s="2">
        <f t="shared" si="85"/>
        <v>115059294.27080852</v>
      </c>
      <c r="D133" s="2">
        <f t="shared" si="58"/>
        <v>12678084.831596216</v>
      </c>
      <c r="E133" s="2">
        <f t="shared" si="59"/>
        <v>4179942.7855802132</v>
      </c>
      <c r="F133" s="2">
        <f t="shared" si="56"/>
        <v>1267808.4831596217</v>
      </c>
      <c r="G133" s="2">
        <f t="shared" ref="G133" si="120">(H132+F133)*((1+$B$3)^(1/12)-1)</f>
        <v>1016069.993226498</v>
      </c>
      <c r="H133" s="2">
        <f t="shared" si="87"/>
        <v>117343172.74719463</v>
      </c>
      <c r="I133" s="2">
        <f t="shared" si="61"/>
        <v>213643071.52384675</v>
      </c>
      <c r="J133" s="5">
        <f t="shared" si="55"/>
        <v>0.54924866933537253</v>
      </c>
    </row>
    <row r="134" spans="1:10" x14ac:dyDescent="0.3">
      <c r="A134" s="1">
        <f t="shared" si="83"/>
        <v>11</v>
      </c>
      <c r="B134" s="1">
        <f t="shared" si="84"/>
        <v>3</v>
      </c>
      <c r="C134" s="2">
        <f t="shared" si="85"/>
        <v>117343172.74719463</v>
      </c>
      <c r="D134" s="2">
        <f t="shared" si="58"/>
        <v>12678084.831596216</v>
      </c>
      <c r="E134" s="2">
        <f t="shared" si="59"/>
        <v>4179942.7855802132</v>
      </c>
      <c r="F134" s="2">
        <f t="shared" si="56"/>
        <v>1267808.4831596217</v>
      </c>
      <c r="G134" s="2">
        <f t="shared" ref="G134" si="121">(H133+F134)*((1+$B$3)^(1/12)-1)</f>
        <v>1036018.7440600833</v>
      </c>
      <c r="H134" s="2">
        <f t="shared" si="87"/>
        <v>119646999.97441433</v>
      </c>
      <c r="I134" s="2">
        <f t="shared" si="61"/>
        <v>213643071.52384675</v>
      </c>
      <c r="J134" s="5">
        <f t="shared" si="55"/>
        <v>0.56003220287468758</v>
      </c>
    </row>
    <row r="135" spans="1:10" x14ac:dyDescent="0.3">
      <c r="A135" s="1">
        <f t="shared" si="83"/>
        <v>11</v>
      </c>
      <c r="B135" s="1">
        <f t="shared" si="84"/>
        <v>4</v>
      </c>
      <c r="C135" s="2">
        <f t="shared" si="85"/>
        <v>119646999.97441433</v>
      </c>
      <c r="D135" s="2">
        <f t="shared" si="58"/>
        <v>12678084.831596216</v>
      </c>
      <c r="E135" s="2">
        <f t="shared" si="59"/>
        <v>4179942.7855802132</v>
      </c>
      <c r="F135" s="2">
        <f t="shared" si="56"/>
        <v>1267808.4831596217</v>
      </c>
      <c r="G135" s="2">
        <f t="shared" ref="G135" si="122">(H134+F135)*((1+$B$3)^(1/12)-1)</f>
        <v>1056141.7391294872</v>
      </c>
      <c r="H135" s="2">
        <f t="shared" si="87"/>
        <v>121970950.19670343</v>
      </c>
      <c r="I135" s="2">
        <f t="shared" si="61"/>
        <v>213643071.52384675</v>
      </c>
      <c r="J135" s="5">
        <f t="shared" si="55"/>
        <v>0.57090992619945125</v>
      </c>
    </row>
    <row r="136" spans="1:10" x14ac:dyDescent="0.3">
      <c r="A136" s="1">
        <f t="shared" si="83"/>
        <v>11</v>
      </c>
      <c r="B136" s="1">
        <f t="shared" si="84"/>
        <v>5</v>
      </c>
      <c r="C136" s="2">
        <f t="shared" si="85"/>
        <v>121970950.19670343</v>
      </c>
      <c r="D136" s="2">
        <f t="shared" si="58"/>
        <v>12678084.831596216</v>
      </c>
      <c r="E136" s="2">
        <f t="shared" si="59"/>
        <v>4179942.7855802132</v>
      </c>
      <c r="F136" s="2">
        <f t="shared" si="56"/>
        <v>1267808.4831596217</v>
      </c>
      <c r="G136" s="2">
        <f t="shared" ref="G136" si="123">(H135+F136)*((1+$B$3)^(1/12)-1)</f>
        <v>1076440.5003873357</v>
      </c>
      <c r="H136" s="2">
        <f t="shared" si="87"/>
        <v>124315199.18025039</v>
      </c>
      <c r="I136" s="2">
        <f t="shared" si="61"/>
        <v>213643071.52384675</v>
      </c>
      <c r="J136" s="5">
        <f t="shared" si="55"/>
        <v>0.58188266201918182</v>
      </c>
    </row>
    <row r="137" spans="1:10" x14ac:dyDescent="0.3">
      <c r="A137" s="1">
        <f t="shared" si="83"/>
        <v>11</v>
      </c>
      <c r="B137" s="1">
        <f t="shared" si="84"/>
        <v>6</v>
      </c>
      <c r="C137" s="2">
        <f t="shared" si="85"/>
        <v>124315199.18025039</v>
      </c>
      <c r="D137" s="2">
        <f t="shared" si="58"/>
        <v>12678084.831596216</v>
      </c>
      <c r="E137" s="2">
        <f t="shared" si="59"/>
        <v>4179942.7855802132</v>
      </c>
      <c r="F137" s="2">
        <f t="shared" si="56"/>
        <v>2535616.9663192434</v>
      </c>
      <c r="G137" s="2">
        <f t="shared" ref="G137" si="124">(H136+F137)*((1+$B$3)^(1/12)-1)</f>
        <v>1107990.3552263456</v>
      </c>
      <c r="H137" s="2">
        <f t="shared" si="87"/>
        <v>127958806.50179599</v>
      </c>
      <c r="I137" s="2">
        <f t="shared" si="61"/>
        <v>213643071.52384675</v>
      </c>
      <c r="J137" s="5">
        <f t="shared" si="55"/>
        <v>0.59893730973397508</v>
      </c>
    </row>
    <row r="138" spans="1:10" x14ac:dyDescent="0.3">
      <c r="A138" s="1">
        <f t="shared" si="83"/>
        <v>11</v>
      </c>
      <c r="B138" s="1">
        <f t="shared" si="84"/>
        <v>7</v>
      </c>
      <c r="C138" s="2">
        <f t="shared" si="85"/>
        <v>127958806.50179599</v>
      </c>
      <c r="D138" s="2">
        <f t="shared" si="58"/>
        <v>12678084.831596216</v>
      </c>
      <c r="E138" s="2">
        <f t="shared" si="59"/>
        <v>4179942.7855802132</v>
      </c>
      <c r="F138" s="2">
        <f t="shared" si="56"/>
        <v>1267808.4831596217</v>
      </c>
      <c r="G138" s="2">
        <f t="shared" ref="G138" si="125">(H137+F138)*((1+$B$3)^(1/12)-1)</f>
        <v>1128741.9930861134</v>
      </c>
      <c r="H138" s="2">
        <f t="shared" si="87"/>
        <v>130355356.97804172</v>
      </c>
      <c r="I138" s="2">
        <f t="shared" si="61"/>
        <v>213643071.52384675</v>
      </c>
      <c r="J138" s="5">
        <f t="shared" si="55"/>
        <v>0.61015485336481656</v>
      </c>
    </row>
    <row r="139" spans="1:10" x14ac:dyDescent="0.3">
      <c r="A139" s="1">
        <f t="shared" si="83"/>
        <v>11</v>
      </c>
      <c r="B139" s="1">
        <f t="shared" si="84"/>
        <v>8</v>
      </c>
      <c r="C139" s="2">
        <f t="shared" si="85"/>
        <v>130355356.97804172</v>
      </c>
      <c r="D139" s="2">
        <f t="shared" si="58"/>
        <v>12678084.831596216</v>
      </c>
      <c r="E139" s="2">
        <f t="shared" si="59"/>
        <v>4179942.7855802132</v>
      </c>
      <c r="F139" s="2">
        <f t="shared" si="56"/>
        <v>1267808.4831596217</v>
      </c>
      <c r="G139" s="2">
        <f t="shared" ref="G139" si="126">(H138+F139)*((1+$B$3)^(1/12)-1)</f>
        <v>1149674.8880737599</v>
      </c>
      <c r="H139" s="2">
        <f t="shared" si="87"/>
        <v>132772840.3492751</v>
      </c>
      <c r="I139" s="2">
        <f t="shared" si="61"/>
        <v>213643071.52384675</v>
      </c>
      <c r="J139" s="5">
        <f t="shared" si="55"/>
        <v>0.62147037768297131</v>
      </c>
    </row>
    <row r="140" spans="1:10" x14ac:dyDescent="0.3">
      <c r="A140" s="1">
        <f t="shared" si="83"/>
        <v>11</v>
      </c>
      <c r="B140" s="1">
        <f t="shared" si="84"/>
        <v>9</v>
      </c>
      <c r="C140" s="2">
        <f t="shared" si="85"/>
        <v>132772840.3492751</v>
      </c>
      <c r="D140" s="2">
        <f t="shared" si="58"/>
        <v>12678084.831596216</v>
      </c>
      <c r="E140" s="2">
        <f t="shared" si="59"/>
        <v>4179942.7855802132</v>
      </c>
      <c r="F140" s="2">
        <f t="shared" si="56"/>
        <v>1267808.4831596217</v>
      </c>
      <c r="G140" s="2">
        <f t="shared" ref="G140" si="127">(H139+F140)*((1+$B$3)^(1/12)-1)</f>
        <v>1170790.6233966742</v>
      </c>
      <c r="H140" s="2">
        <f t="shared" si="87"/>
        <v>135211439.45583138</v>
      </c>
      <c r="I140" s="2">
        <f t="shared" si="61"/>
        <v>213643071.52384675</v>
      </c>
      <c r="J140" s="5">
        <f t="shared" ref="J140:J203" si="128">(H140/I140)</f>
        <v>0.63288473850994575</v>
      </c>
    </row>
    <row r="141" spans="1:10" x14ac:dyDescent="0.3">
      <c r="A141" s="1">
        <f t="shared" si="83"/>
        <v>11</v>
      </c>
      <c r="B141" s="1">
        <f t="shared" si="84"/>
        <v>10</v>
      </c>
      <c r="C141" s="2">
        <f t="shared" si="85"/>
        <v>135211439.45583138</v>
      </c>
      <c r="D141" s="2">
        <f t="shared" si="58"/>
        <v>12678084.831596216</v>
      </c>
      <c r="E141" s="2">
        <f t="shared" si="59"/>
        <v>4179942.7855802132</v>
      </c>
      <c r="F141" s="2">
        <f t="shared" ref="F141:F204" si="129">IF(OR(B141=6,B141=12),D141*$B$2*2,D141*$B$2)</f>
        <v>1267808.4831596217</v>
      </c>
      <c r="G141" s="2">
        <f t="shared" ref="G141" si="130">(H140+F141)*((1+$B$3)^(1/12)-1)</f>
        <v>1192090.79609092</v>
      </c>
      <c r="H141" s="2">
        <f t="shared" si="87"/>
        <v>137671338.73508194</v>
      </c>
      <c r="I141" s="2">
        <f t="shared" si="61"/>
        <v>213643071.52384675</v>
      </c>
      <c r="J141" s="5">
        <f t="shared" si="128"/>
        <v>0.64439879914249931</v>
      </c>
    </row>
    <row r="142" spans="1:10" x14ac:dyDescent="0.3">
      <c r="A142" s="1">
        <f t="shared" si="83"/>
        <v>11</v>
      </c>
      <c r="B142" s="1">
        <f t="shared" si="84"/>
        <v>11</v>
      </c>
      <c r="C142" s="2">
        <f t="shared" si="85"/>
        <v>137671338.73508194</v>
      </c>
      <c r="D142" s="2">
        <f t="shared" ref="D142:D205" si="131">IF(B142&lt;&gt;1,D141,IF(AND(A142=3,B142=1),D141*2,IF(AND(A142=10,B142=1),D141*2,D141*(1+IF(D141&gt;E141,$B$6,$B$4)))))</f>
        <v>12678084.831596216</v>
      </c>
      <c r="E142" s="2">
        <f t="shared" ref="E142:E205" si="132">IF(B142&lt;&gt;1,E141,E141*(1+$B$4))</f>
        <v>4179942.7855802132</v>
      </c>
      <c r="F142" s="2">
        <f t="shared" si="129"/>
        <v>1267808.4831596217</v>
      </c>
      <c r="G142" s="2">
        <f t="shared" ref="G142" si="133">(H141+F142)*((1+$B$3)^(1/12)-1)</f>
        <v>1213577.0171420218</v>
      </c>
      <c r="H142" s="2">
        <f t="shared" si="87"/>
        <v>140152724.2353836</v>
      </c>
      <c r="I142" s="2">
        <f t="shared" ref="I142:I205" si="134">IF(B142=1,I141*(1+$B$5),I141)</f>
        <v>213643071.52384675</v>
      </c>
      <c r="J142" s="5">
        <f t="shared" si="128"/>
        <v>0.65601343041793803</v>
      </c>
    </row>
    <row r="143" spans="1:10" x14ac:dyDescent="0.3">
      <c r="A143" s="1">
        <f t="shared" si="83"/>
        <v>11</v>
      </c>
      <c r="B143" s="1">
        <f t="shared" si="84"/>
        <v>12</v>
      </c>
      <c r="C143" s="2">
        <f t="shared" si="85"/>
        <v>140152724.2353836</v>
      </c>
      <c r="D143" s="2">
        <f t="shared" si="131"/>
        <v>12678084.831596216</v>
      </c>
      <c r="E143" s="2">
        <f t="shared" si="132"/>
        <v>4179942.7855802132</v>
      </c>
      <c r="F143" s="2">
        <f t="shared" si="129"/>
        <v>2535616.9663192434</v>
      </c>
      <c r="G143" s="2">
        <f t="shared" ref="G143" si="135">(H142+F143)*((1+$B$3)^(1/12)-1)</f>
        <v>1246324.7037532604</v>
      </c>
      <c r="H143" s="2">
        <f t="shared" si="87"/>
        <v>143934665.9054561</v>
      </c>
      <c r="I143" s="2">
        <f t="shared" si="134"/>
        <v>213643071.52384675</v>
      </c>
      <c r="J143" s="5">
        <f t="shared" si="128"/>
        <v>0.67371558028452228</v>
      </c>
    </row>
    <row r="144" spans="1:10" x14ac:dyDescent="0.3">
      <c r="A144" s="1">
        <f t="shared" si="83"/>
        <v>12</v>
      </c>
      <c r="B144" s="1">
        <f t="shared" si="84"/>
        <v>1</v>
      </c>
      <c r="C144" s="2">
        <f t="shared" si="85"/>
        <v>143934665.9054561</v>
      </c>
      <c r="D144" s="2">
        <f t="shared" si="131"/>
        <v>13398200.050030882</v>
      </c>
      <c r="E144" s="2">
        <f t="shared" si="132"/>
        <v>4499708.4086770993</v>
      </c>
      <c r="F144" s="2">
        <f t="shared" si="129"/>
        <v>1339820.0050030882</v>
      </c>
      <c r="G144" s="2">
        <f t="shared" ref="G144" si="136">(H143+F144)*((1+$B$3)^(1/12)-1)</f>
        <v>1268913.6273531753</v>
      </c>
      <c r="H144" s="2">
        <f t="shared" si="87"/>
        <v>146543399.53781235</v>
      </c>
      <c r="I144" s="2">
        <f t="shared" si="134"/>
        <v>221334222.09870523</v>
      </c>
      <c r="J144" s="5">
        <f t="shared" si="128"/>
        <v>0.66209101398002745</v>
      </c>
    </row>
    <row r="145" spans="1:10" x14ac:dyDescent="0.3">
      <c r="A145" s="1">
        <f t="shared" si="83"/>
        <v>12</v>
      </c>
      <c r="B145" s="1">
        <f t="shared" si="84"/>
        <v>2</v>
      </c>
      <c r="C145" s="2">
        <f t="shared" si="85"/>
        <v>146543399.53781235</v>
      </c>
      <c r="D145" s="2">
        <f t="shared" si="131"/>
        <v>13398200.050030882</v>
      </c>
      <c r="E145" s="2">
        <f t="shared" si="132"/>
        <v>4499708.4086770993</v>
      </c>
      <c r="F145" s="2">
        <f t="shared" si="129"/>
        <v>1339820.0050030882</v>
      </c>
      <c r="G145" s="2">
        <f t="shared" ref="G145" si="137">(H144+F145)*((1+$B$3)^(1/12)-1)</f>
        <v>1291699.8560256464</v>
      </c>
      <c r="H145" s="2">
        <f t="shared" si="87"/>
        <v>149174919.39884108</v>
      </c>
      <c r="I145" s="2">
        <f t="shared" si="134"/>
        <v>221334222.09870523</v>
      </c>
      <c r="J145" s="5">
        <f t="shared" si="128"/>
        <v>0.67398036320075116</v>
      </c>
    </row>
    <row r="146" spans="1:10" x14ac:dyDescent="0.3">
      <c r="A146" s="1">
        <f t="shared" si="83"/>
        <v>12</v>
      </c>
      <c r="B146" s="1">
        <f t="shared" si="84"/>
        <v>3</v>
      </c>
      <c r="C146" s="2">
        <f t="shared" si="85"/>
        <v>149174919.39884108</v>
      </c>
      <c r="D146" s="2">
        <f t="shared" si="131"/>
        <v>13398200.050030882</v>
      </c>
      <c r="E146" s="2">
        <f t="shared" si="132"/>
        <v>4499708.4086770993</v>
      </c>
      <c r="F146" s="2">
        <f t="shared" si="129"/>
        <v>1339820.0050030882</v>
      </c>
      <c r="G146" s="2">
        <f t="shared" ref="G146" si="138">(H145+F146)*((1+$B$3)^(1/12)-1)</f>
        <v>1314685.1131503421</v>
      </c>
      <c r="H146" s="2">
        <f t="shared" si="87"/>
        <v>151829424.51699451</v>
      </c>
      <c r="I146" s="2">
        <f t="shared" si="134"/>
        <v>221334222.09870523</v>
      </c>
      <c r="J146" s="5">
        <f t="shared" si="128"/>
        <v>0.68597356105774432</v>
      </c>
    </row>
    <row r="147" spans="1:10" x14ac:dyDescent="0.3">
      <c r="A147" s="1">
        <f t="shared" si="83"/>
        <v>12</v>
      </c>
      <c r="B147" s="1">
        <f t="shared" si="84"/>
        <v>4</v>
      </c>
      <c r="C147" s="2">
        <f t="shared" si="85"/>
        <v>151829424.51699451</v>
      </c>
      <c r="D147" s="2">
        <f t="shared" si="131"/>
        <v>13398200.050030882</v>
      </c>
      <c r="E147" s="2">
        <f t="shared" si="132"/>
        <v>4499708.4086770993</v>
      </c>
      <c r="F147" s="2">
        <f t="shared" si="129"/>
        <v>1339820.0050030882</v>
      </c>
      <c r="G147" s="2">
        <f t="shared" ref="G147" si="139">(H146+F147)*((1+$B$3)^(1/12)-1)</f>
        <v>1337871.137159952</v>
      </c>
      <c r="H147" s="2">
        <f t="shared" si="87"/>
        <v>154507115.65915754</v>
      </c>
      <c r="I147" s="2">
        <f t="shared" si="134"/>
        <v>221334222.09870523</v>
      </c>
      <c r="J147" s="5">
        <f t="shared" si="128"/>
        <v>0.69807151462666372</v>
      </c>
    </row>
    <row r="148" spans="1:10" x14ac:dyDescent="0.3">
      <c r="A148" s="1">
        <f t="shared" si="83"/>
        <v>12</v>
      </c>
      <c r="B148" s="1">
        <f t="shared" si="84"/>
        <v>5</v>
      </c>
      <c r="C148" s="2">
        <f t="shared" si="85"/>
        <v>154507115.65915754</v>
      </c>
      <c r="D148" s="2">
        <f t="shared" si="131"/>
        <v>13398200.050030882</v>
      </c>
      <c r="E148" s="2">
        <f t="shared" si="132"/>
        <v>4499708.4086770993</v>
      </c>
      <c r="F148" s="2">
        <f t="shared" si="129"/>
        <v>1339820.0050030882</v>
      </c>
      <c r="G148" s="2">
        <f t="shared" ref="G148" si="140">(H147+F148)*((1+$B$3)^(1/12)-1)</f>
        <v>1361259.6816716688</v>
      </c>
      <c r="H148" s="2">
        <f t="shared" si="87"/>
        <v>157208195.34583232</v>
      </c>
      <c r="I148" s="2">
        <f t="shared" si="134"/>
        <v>221334222.09870523</v>
      </c>
      <c r="J148" s="5">
        <f t="shared" si="128"/>
        <v>0.71027513890610394</v>
      </c>
    </row>
    <row r="149" spans="1:10" x14ac:dyDescent="0.3">
      <c r="A149" s="1">
        <f t="shared" si="83"/>
        <v>12</v>
      </c>
      <c r="B149" s="1">
        <f t="shared" si="84"/>
        <v>6</v>
      </c>
      <c r="C149" s="2">
        <f t="shared" si="85"/>
        <v>157208195.34583232</v>
      </c>
      <c r="D149" s="2">
        <f t="shared" si="131"/>
        <v>13398200.050030882</v>
      </c>
      <c r="E149" s="2">
        <f t="shared" si="132"/>
        <v>4499708.4086770993</v>
      </c>
      <c r="F149" s="2">
        <f t="shared" si="129"/>
        <v>2679640.0100061763</v>
      </c>
      <c r="G149" s="2">
        <f t="shared" ref="G149" si="141">(H148+F149)*((1+$B$3)^(1/12)-1)</f>
        <v>1396555.2991601911</v>
      </c>
      <c r="H149" s="2">
        <f t="shared" si="87"/>
        <v>161284390.65499869</v>
      </c>
      <c r="I149" s="2">
        <f t="shared" si="134"/>
        <v>221334222.09870523</v>
      </c>
      <c r="J149" s="5">
        <f t="shared" si="128"/>
        <v>0.72869161002618477</v>
      </c>
    </row>
    <row r="150" spans="1:10" x14ac:dyDescent="0.3">
      <c r="A150" s="1">
        <f t="shared" si="83"/>
        <v>12</v>
      </c>
      <c r="B150" s="1">
        <f t="shared" si="84"/>
        <v>7</v>
      </c>
      <c r="C150" s="2">
        <f t="shared" si="85"/>
        <v>161284390.65499869</v>
      </c>
      <c r="D150" s="2">
        <f t="shared" si="131"/>
        <v>13398200.050030882</v>
      </c>
      <c r="E150" s="2">
        <f t="shared" si="132"/>
        <v>4499708.4086770993</v>
      </c>
      <c r="F150" s="2">
        <f t="shared" si="129"/>
        <v>1339820.0050030882</v>
      </c>
      <c r="G150" s="2">
        <f t="shared" ref="G150" si="142">(H149+F150)*((1+$B$3)^(1/12)-1)</f>
        <v>1420456.4259908556</v>
      </c>
      <c r="H150" s="2">
        <f t="shared" si="87"/>
        <v>164044667.08599263</v>
      </c>
      <c r="I150" s="2">
        <f t="shared" si="134"/>
        <v>221334222.09870523</v>
      </c>
      <c r="J150" s="5">
        <f t="shared" si="128"/>
        <v>0.74116268840177824</v>
      </c>
    </row>
    <row r="151" spans="1:10" x14ac:dyDescent="0.3">
      <c r="A151" s="1">
        <f t="shared" si="83"/>
        <v>12</v>
      </c>
      <c r="B151" s="1">
        <f t="shared" si="84"/>
        <v>8</v>
      </c>
      <c r="C151" s="2">
        <f t="shared" si="85"/>
        <v>164044667.08599263</v>
      </c>
      <c r="D151" s="2">
        <f t="shared" si="131"/>
        <v>13398200.050030882</v>
      </c>
      <c r="E151" s="2">
        <f t="shared" si="132"/>
        <v>4499708.4086770993</v>
      </c>
      <c r="F151" s="2">
        <f t="shared" si="129"/>
        <v>1339820.0050030882</v>
      </c>
      <c r="G151" s="2">
        <f t="shared" ref="G151" si="143">(H150+F151)*((1+$B$3)^(1/12)-1)</f>
        <v>1444566.3194563112</v>
      </c>
      <c r="H151" s="2">
        <f t="shared" si="87"/>
        <v>166829053.41045204</v>
      </c>
      <c r="I151" s="2">
        <f t="shared" si="134"/>
        <v>221334222.09870523</v>
      </c>
      <c r="J151" s="5">
        <f t="shared" si="128"/>
        <v>0.75374269658152404</v>
      </c>
    </row>
    <row r="152" spans="1:10" x14ac:dyDescent="0.3">
      <c r="A152" s="1">
        <f t="shared" si="83"/>
        <v>12</v>
      </c>
      <c r="B152" s="1">
        <f t="shared" si="84"/>
        <v>9</v>
      </c>
      <c r="C152" s="2">
        <f t="shared" si="85"/>
        <v>166829053.41045204</v>
      </c>
      <c r="D152" s="2">
        <f t="shared" si="131"/>
        <v>13398200.050030882</v>
      </c>
      <c r="E152" s="2">
        <f t="shared" si="132"/>
        <v>4499708.4086770993</v>
      </c>
      <c r="F152" s="2">
        <f t="shared" si="129"/>
        <v>1339820.0050030882</v>
      </c>
      <c r="G152" s="2">
        <f t="shared" ref="G152" si="144">(H151+F152)*((1+$B$3)^(1/12)-1)</f>
        <v>1468886.8030483166</v>
      </c>
      <c r="H152" s="2">
        <f t="shared" si="87"/>
        <v>169637760.21850345</v>
      </c>
      <c r="I152" s="2">
        <f t="shared" si="134"/>
        <v>221334222.09870523</v>
      </c>
      <c r="J152" s="5">
        <f t="shared" si="128"/>
        <v>0.766432586023017</v>
      </c>
    </row>
    <row r="153" spans="1:10" x14ac:dyDescent="0.3">
      <c r="A153" s="1">
        <f t="shared" si="83"/>
        <v>12</v>
      </c>
      <c r="B153" s="1">
        <f t="shared" si="84"/>
        <v>10</v>
      </c>
      <c r="C153" s="2">
        <f t="shared" si="85"/>
        <v>169637760.21850345</v>
      </c>
      <c r="D153" s="2">
        <f t="shared" si="131"/>
        <v>13398200.050030882</v>
      </c>
      <c r="E153" s="2">
        <f t="shared" si="132"/>
        <v>4499708.4086770993</v>
      </c>
      <c r="F153" s="2">
        <f t="shared" si="129"/>
        <v>1339820.0050030882</v>
      </c>
      <c r="G153" s="2">
        <f t="shared" ref="G153" si="145">(H152+F153)*((1+$B$3)^(1/12)-1)</f>
        <v>1493419.7161860908</v>
      </c>
      <c r="H153" s="2">
        <f t="shared" si="87"/>
        <v>172470999.93969262</v>
      </c>
      <c r="I153" s="2">
        <f t="shared" si="134"/>
        <v>221334222.09870523</v>
      </c>
      <c r="J153" s="5">
        <f t="shared" si="128"/>
        <v>0.77923331649444705</v>
      </c>
    </row>
    <row r="154" spans="1:10" x14ac:dyDescent="0.3">
      <c r="A154" s="1">
        <f t="shared" si="83"/>
        <v>12</v>
      </c>
      <c r="B154" s="1">
        <f t="shared" si="84"/>
        <v>11</v>
      </c>
      <c r="C154" s="2">
        <f t="shared" si="85"/>
        <v>172470999.93969262</v>
      </c>
      <c r="D154" s="2">
        <f t="shared" si="131"/>
        <v>13398200.050030882</v>
      </c>
      <c r="E154" s="2">
        <f t="shared" si="132"/>
        <v>4499708.4086770993</v>
      </c>
      <c r="F154" s="2">
        <f t="shared" si="129"/>
        <v>1339820.0050030882</v>
      </c>
      <c r="G154" s="2">
        <f t="shared" ref="G154" si="146">(H153+F154)*((1+$B$3)^(1/12)-1)</f>
        <v>1518166.9143554317</v>
      </c>
      <c r="H154" s="2">
        <f t="shared" si="87"/>
        <v>175328986.85905114</v>
      </c>
      <c r="I154" s="2">
        <f t="shared" si="134"/>
        <v>221334222.09870523</v>
      </c>
      <c r="J154" s="5">
        <f t="shared" si="128"/>
        <v>0.79214585614718991</v>
      </c>
    </row>
    <row r="155" spans="1:10" x14ac:dyDescent="0.3">
      <c r="A155" s="1">
        <f t="shared" si="83"/>
        <v>12</v>
      </c>
      <c r="B155" s="1">
        <f t="shared" si="84"/>
        <v>12</v>
      </c>
      <c r="C155" s="2">
        <f t="shared" si="85"/>
        <v>175328986.85905114</v>
      </c>
      <c r="D155" s="2">
        <f t="shared" si="131"/>
        <v>13398200.050030882</v>
      </c>
      <c r="E155" s="2">
        <f t="shared" si="132"/>
        <v>4499708.4086770993</v>
      </c>
      <c r="F155" s="2">
        <f t="shared" si="129"/>
        <v>2679640.0100061763</v>
      </c>
      <c r="G155" s="2">
        <f t="shared" ref="G155" si="147">(H154+F155)*((1+$B$3)^(1/12)-1)</f>
        <v>1554833.0527894241</v>
      </c>
      <c r="H155" s="2">
        <f t="shared" si="87"/>
        <v>179563459.92184675</v>
      </c>
      <c r="I155" s="2">
        <f t="shared" si="134"/>
        <v>221334222.09870523</v>
      </c>
      <c r="J155" s="5">
        <f t="shared" si="128"/>
        <v>0.81127743472841451</v>
      </c>
    </row>
    <row r="156" spans="1:10" x14ac:dyDescent="0.3">
      <c r="A156" s="1">
        <f t="shared" si="83"/>
        <v>13</v>
      </c>
      <c r="B156" s="1">
        <f t="shared" si="84"/>
        <v>1</v>
      </c>
      <c r="C156" s="2">
        <f t="shared" si="85"/>
        <v>179563459.92184675</v>
      </c>
      <c r="D156" s="2">
        <f t="shared" si="131"/>
        <v>14159217.812872635</v>
      </c>
      <c r="E156" s="2">
        <f t="shared" si="132"/>
        <v>4843936.1019408973</v>
      </c>
      <c r="F156" s="2">
        <f t="shared" si="129"/>
        <v>1415921.7812872636</v>
      </c>
      <c r="G156" s="2">
        <f t="shared" ref="G156" si="148">(H155+F156)*((1+$B$3)^(1/12)-1)</f>
        <v>1580781.389614437</v>
      </c>
      <c r="H156" s="2">
        <f t="shared" si="87"/>
        <v>182560163.09274843</v>
      </c>
      <c r="I156" s="2">
        <f t="shared" si="134"/>
        <v>229302254.09425864</v>
      </c>
      <c r="J156" s="5">
        <f t="shared" si="128"/>
        <v>0.79615511768019487</v>
      </c>
    </row>
    <row r="157" spans="1:10" x14ac:dyDescent="0.3">
      <c r="A157" s="1">
        <f t="shared" ref="A157:A199" si="149">IF(B157=1,A156+1,A156)</f>
        <v>13</v>
      </c>
      <c r="B157" s="1">
        <f t="shared" ref="B157:B199" si="150">IF(B156=12,1,B156+1)</f>
        <v>2</v>
      </c>
      <c r="C157" s="2">
        <f t="shared" ref="C157:C199" si="151">H156</f>
        <v>182560163.09274843</v>
      </c>
      <c r="D157" s="2">
        <f t="shared" si="131"/>
        <v>14159217.812872635</v>
      </c>
      <c r="E157" s="2">
        <f t="shared" si="132"/>
        <v>4843936.1019408973</v>
      </c>
      <c r="F157" s="2">
        <f t="shared" si="129"/>
        <v>1415921.7812872636</v>
      </c>
      <c r="G157" s="2">
        <f t="shared" ref="G157" si="152">(H156+F157)*((1+$B$3)^(1/12)-1)</f>
        <v>1606956.3746220134</v>
      </c>
      <c r="H157" s="2">
        <f t="shared" ref="H157:H199" si="153">F157+C157+G157</f>
        <v>185583041.2486577</v>
      </c>
      <c r="I157" s="2">
        <f t="shared" si="134"/>
        <v>229302254.09425864</v>
      </c>
      <c r="J157" s="5">
        <f t="shared" si="128"/>
        <v>0.80933805898118472</v>
      </c>
    </row>
    <row r="158" spans="1:10" x14ac:dyDescent="0.3">
      <c r="A158" s="1">
        <f t="shared" si="149"/>
        <v>13</v>
      </c>
      <c r="B158" s="1">
        <f t="shared" si="150"/>
        <v>3</v>
      </c>
      <c r="C158" s="2">
        <f t="shared" si="151"/>
        <v>185583041.2486577</v>
      </c>
      <c r="D158" s="2">
        <f t="shared" si="131"/>
        <v>14159217.812872635</v>
      </c>
      <c r="E158" s="2">
        <f t="shared" si="132"/>
        <v>4843936.1019408973</v>
      </c>
      <c r="F158" s="2">
        <f t="shared" si="129"/>
        <v>1415921.7812872636</v>
      </c>
      <c r="G158" s="2">
        <f t="shared" ref="G158" si="154">(H157+F158)*((1+$B$3)^(1/12)-1)</f>
        <v>1633359.9874919686</v>
      </c>
      <c r="H158" s="2">
        <f t="shared" si="153"/>
        <v>188632323.01743692</v>
      </c>
      <c r="I158" s="2">
        <f t="shared" si="134"/>
        <v>229302254.09425864</v>
      </c>
      <c r="J158" s="5">
        <f t="shared" si="128"/>
        <v>0.82263614791983841</v>
      </c>
    </row>
    <row r="159" spans="1:10" x14ac:dyDescent="0.3">
      <c r="A159" s="1">
        <f t="shared" si="149"/>
        <v>13</v>
      </c>
      <c r="B159" s="1">
        <f t="shared" si="150"/>
        <v>4</v>
      </c>
      <c r="C159" s="2">
        <f t="shared" si="151"/>
        <v>188632323.01743692</v>
      </c>
      <c r="D159" s="2">
        <f t="shared" si="131"/>
        <v>14159217.812872635</v>
      </c>
      <c r="E159" s="2">
        <f t="shared" si="132"/>
        <v>4843936.1019408973</v>
      </c>
      <c r="F159" s="2">
        <f t="shared" si="129"/>
        <v>1415921.7812872636</v>
      </c>
      <c r="G159" s="2">
        <f t="shared" ref="G159" si="155">(H158+F159)*((1+$B$3)^(1/12)-1)</f>
        <v>1659994.2251958167</v>
      </c>
      <c r="H159" s="2">
        <f t="shared" si="153"/>
        <v>191708239.02392</v>
      </c>
      <c r="I159" s="2">
        <f t="shared" si="134"/>
        <v>229302254.09425864</v>
      </c>
      <c r="J159" s="5">
        <f t="shared" si="128"/>
        <v>0.83605039026400074</v>
      </c>
    </row>
    <row r="160" spans="1:10" x14ac:dyDescent="0.3">
      <c r="A160" s="1">
        <f t="shared" si="149"/>
        <v>13</v>
      </c>
      <c r="B160" s="1">
        <f t="shared" si="150"/>
        <v>5</v>
      </c>
      <c r="C160" s="2">
        <f t="shared" si="151"/>
        <v>191708239.02392</v>
      </c>
      <c r="D160" s="2">
        <f t="shared" si="131"/>
        <v>14159217.812872635</v>
      </c>
      <c r="E160" s="2">
        <f t="shared" si="132"/>
        <v>4843936.1019408973</v>
      </c>
      <c r="F160" s="2">
        <f t="shared" si="129"/>
        <v>1415921.7812872636</v>
      </c>
      <c r="G160" s="2">
        <f t="shared" ref="G160" si="156">(H159+F160)*((1+$B$3)^(1/12)-1)</f>
        <v>1686861.1021478083</v>
      </c>
      <c r="H160" s="2">
        <f t="shared" si="153"/>
        <v>194811021.90735507</v>
      </c>
      <c r="I160" s="2">
        <f t="shared" si="134"/>
        <v>229302254.09425864</v>
      </c>
      <c r="J160" s="5">
        <f t="shared" si="128"/>
        <v>0.84958180056649002</v>
      </c>
    </row>
    <row r="161" spans="1:10" x14ac:dyDescent="0.3">
      <c r="A161" s="1">
        <f t="shared" si="149"/>
        <v>13</v>
      </c>
      <c r="B161" s="1">
        <f t="shared" si="150"/>
        <v>6</v>
      </c>
      <c r="C161" s="2">
        <f t="shared" si="151"/>
        <v>194811021.90735507</v>
      </c>
      <c r="D161" s="2">
        <f t="shared" si="131"/>
        <v>14159217.812872635</v>
      </c>
      <c r="E161" s="2">
        <f t="shared" si="132"/>
        <v>4843936.1019408973</v>
      </c>
      <c r="F161" s="2">
        <f t="shared" si="129"/>
        <v>2831843.5625745272</v>
      </c>
      <c r="G161" s="2">
        <f t="shared" ref="G161" si="157">(H160+F161)*((1+$B$3)^(1/12)-1)</f>
        <v>1726330.1520027474</v>
      </c>
      <c r="H161" s="2">
        <f t="shared" si="153"/>
        <v>199369195.62193236</v>
      </c>
      <c r="I161" s="2">
        <f t="shared" si="134"/>
        <v>229302254.09425864</v>
      </c>
      <c r="J161" s="5">
        <f t="shared" si="128"/>
        <v>0.86946025196934273</v>
      </c>
    </row>
    <row r="162" spans="1:10" x14ac:dyDescent="0.3">
      <c r="A162" s="1">
        <f t="shared" si="149"/>
        <v>13</v>
      </c>
      <c r="B162" s="1">
        <f t="shared" si="150"/>
        <v>7</v>
      </c>
      <c r="C162" s="2">
        <f t="shared" si="151"/>
        <v>199369195.62193236</v>
      </c>
      <c r="D162" s="2">
        <f t="shared" si="131"/>
        <v>14159217.812872635</v>
      </c>
      <c r="E162" s="2">
        <f t="shared" si="132"/>
        <v>4843936.1019408973</v>
      </c>
      <c r="F162" s="2">
        <f t="shared" si="129"/>
        <v>1415921.7812872636</v>
      </c>
      <c r="G162" s="2">
        <f t="shared" ref="G162" si="158">(H161+F162)*((1+$B$3)^(1/12)-1)</f>
        <v>1753776.4463313064</v>
      </c>
      <c r="H162" s="2">
        <f t="shared" si="153"/>
        <v>202538893.8495509</v>
      </c>
      <c r="I162" s="2">
        <f t="shared" si="134"/>
        <v>229302254.09425864</v>
      </c>
      <c r="J162" s="5">
        <f t="shared" si="128"/>
        <v>0.88328348384352906</v>
      </c>
    </row>
    <row r="163" spans="1:10" x14ac:dyDescent="0.3">
      <c r="A163" s="1">
        <f t="shared" si="149"/>
        <v>13</v>
      </c>
      <c r="B163" s="1">
        <f t="shared" si="150"/>
        <v>8</v>
      </c>
      <c r="C163" s="2">
        <f t="shared" si="151"/>
        <v>202538893.8495509</v>
      </c>
      <c r="D163" s="2">
        <f t="shared" si="131"/>
        <v>14159217.812872635</v>
      </c>
      <c r="E163" s="2">
        <f t="shared" si="132"/>
        <v>4843936.1019408973</v>
      </c>
      <c r="F163" s="2">
        <f t="shared" si="129"/>
        <v>1415921.7812872636</v>
      </c>
      <c r="G163" s="2">
        <f t="shared" ref="G163" si="159">(H162+F163)*((1+$B$3)^(1/12)-1)</f>
        <v>1781462.4728927866</v>
      </c>
      <c r="H163" s="2">
        <f t="shared" si="153"/>
        <v>205736278.10373095</v>
      </c>
      <c r="I163" s="2">
        <f t="shared" si="134"/>
        <v>229302254.09425864</v>
      </c>
      <c r="J163" s="5">
        <f t="shared" si="128"/>
        <v>0.89722745603346543</v>
      </c>
    </row>
    <row r="164" spans="1:10" x14ac:dyDescent="0.3">
      <c r="A164" s="1">
        <f t="shared" si="149"/>
        <v>13</v>
      </c>
      <c r="B164" s="1">
        <f t="shared" si="150"/>
        <v>9</v>
      </c>
      <c r="C164" s="2">
        <f t="shared" si="151"/>
        <v>205736278.10373095</v>
      </c>
      <c r="D164" s="2">
        <f t="shared" si="131"/>
        <v>14159217.812872635</v>
      </c>
      <c r="E164" s="2">
        <f t="shared" si="132"/>
        <v>4843936.1019408973</v>
      </c>
      <c r="F164" s="2">
        <f t="shared" si="129"/>
        <v>1415921.7812872636</v>
      </c>
      <c r="G164" s="2">
        <f t="shared" ref="G164" si="160">(H163+F164)*((1+$B$3)^(1/12)-1)</f>
        <v>1809390.3256508699</v>
      </c>
      <c r="H164" s="2">
        <f t="shared" si="153"/>
        <v>208961590.21066907</v>
      </c>
      <c r="I164" s="2">
        <f t="shared" si="134"/>
        <v>229302254.09425864</v>
      </c>
      <c r="J164" s="5">
        <f t="shared" si="128"/>
        <v>0.91129322315676764</v>
      </c>
    </row>
    <row r="165" spans="1:10" x14ac:dyDescent="0.3">
      <c r="A165" s="1">
        <f t="shared" si="149"/>
        <v>13</v>
      </c>
      <c r="B165" s="1">
        <f t="shared" si="150"/>
        <v>10</v>
      </c>
      <c r="C165" s="2">
        <f t="shared" si="151"/>
        <v>208961590.21066907</v>
      </c>
      <c r="D165" s="2">
        <f t="shared" si="131"/>
        <v>14159217.812872635</v>
      </c>
      <c r="E165" s="2">
        <f t="shared" si="132"/>
        <v>4843936.1019408973</v>
      </c>
      <c r="F165" s="2">
        <f t="shared" si="129"/>
        <v>1415921.7812872636</v>
      </c>
      <c r="G165" s="2">
        <f t="shared" ref="G165" si="161">(H164+F165)*((1+$B$3)^(1/12)-1)</f>
        <v>1837562.1168591587</v>
      </c>
      <c r="H165" s="2">
        <f t="shared" si="153"/>
        <v>212215074.10881549</v>
      </c>
      <c r="I165" s="2">
        <f t="shared" si="134"/>
        <v>229302254.09425864</v>
      </c>
      <c r="J165" s="5">
        <f t="shared" si="128"/>
        <v>0.92548184904270869</v>
      </c>
    </row>
    <row r="166" spans="1:10" x14ac:dyDescent="0.3">
      <c r="A166" s="1">
        <f t="shared" si="149"/>
        <v>13</v>
      </c>
      <c r="B166" s="1">
        <f t="shared" si="150"/>
        <v>11</v>
      </c>
      <c r="C166" s="2">
        <f t="shared" si="151"/>
        <v>212215074.10881549</v>
      </c>
      <c r="D166" s="2">
        <f t="shared" si="131"/>
        <v>14159217.812872635</v>
      </c>
      <c r="E166" s="2">
        <f t="shared" si="132"/>
        <v>4843936.1019408973</v>
      </c>
      <c r="F166" s="2">
        <f t="shared" si="129"/>
        <v>1415921.7812872636</v>
      </c>
      <c r="G166" s="2">
        <f t="shared" ref="G166" si="162">(H165+F166)*((1+$B$3)^(1/12)-1)</f>
        <v>1865979.9772209341</v>
      </c>
      <c r="H166" s="2">
        <f t="shared" si="153"/>
        <v>215496975.86732367</v>
      </c>
      <c r="I166" s="2">
        <f t="shared" si="134"/>
        <v>229302254.09425864</v>
      </c>
      <c r="J166" s="5">
        <f t="shared" si="128"/>
        <v>0.93979440681267756</v>
      </c>
    </row>
    <row r="167" spans="1:10" x14ac:dyDescent="0.3">
      <c r="A167" s="1">
        <f t="shared" si="149"/>
        <v>13</v>
      </c>
      <c r="B167" s="1">
        <f t="shared" si="150"/>
        <v>12</v>
      </c>
      <c r="C167" s="2">
        <f t="shared" si="151"/>
        <v>215496975.86732367</v>
      </c>
      <c r="D167" s="2">
        <f t="shared" si="131"/>
        <v>14159217.812872635</v>
      </c>
      <c r="E167" s="2">
        <f t="shared" si="132"/>
        <v>4843936.1019408973</v>
      </c>
      <c r="F167" s="2">
        <f t="shared" si="129"/>
        <v>2831843.5625745272</v>
      </c>
      <c r="G167" s="2">
        <f t="shared" ref="G167" si="163">(H166+F167)*((1+$B$3)^(1/12)-1)</f>
        <v>1907013.5576957683</v>
      </c>
      <c r="H167" s="2">
        <f t="shared" si="153"/>
        <v>220235832.98759398</v>
      </c>
      <c r="I167" s="2">
        <f t="shared" si="134"/>
        <v>229302254.09425864</v>
      </c>
      <c r="J167" s="5">
        <f t="shared" si="128"/>
        <v>0.96046082868885474</v>
      </c>
    </row>
    <row r="168" spans="1:10" x14ac:dyDescent="0.3">
      <c r="A168" s="1">
        <f t="shared" si="149"/>
        <v>14</v>
      </c>
      <c r="B168" s="1">
        <f t="shared" si="150"/>
        <v>1</v>
      </c>
      <c r="C168" s="2">
        <f t="shared" si="151"/>
        <v>220235832.98759398</v>
      </c>
      <c r="D168" s="2">
        <f t="shared" si="131"/>
        <v>14963461.384643801</v>
      </c>
      <c r="E168" s="2">
        <f t="shared" si="132"/>
        <v>5214497.2137393756</v>
      </c>
      <c r="F168" s="2">
        <f t="shared" si="129"/>
        <v>1496346.1384643801</v>
      </c>
      <c r="G168" s="2">
        <f t="shared" ref="G168" si="164">(H167+F168)*((1+$B$3)^(1/12)-1)</f>
        <v>1936740.5222771743</v>
      </c>
      <c r="H168" s="2">
        <f t="shared" si="153"/>
        <v>223668919.64833555</v>
      </c>
      <c r="I168" s="2">
        <f t="shared" si="134"/>
        <v>237557135.24165195</v>
      </c>
      <c r="J168" s="5">
        <f t="shared" si="128"/>
        <v>0.94153736708775848</v>
      </c>
    </row>
    <row r="169" spans="1:10" x14ac:dyDescent="0.3">
      <c r="A169" s="1">
        <f t="shared" si="149"/>
        <v>14</v>
      </c>
      <c r="B169" s="1">
        <f t="shared" si="150"/>
        <v>2</v>
      </c>
      <c r="C169" s="2">
        <f t="shared" si="151"/>
        <v>223668919.64833555</v>
      </c>
      <c r="D169" s="2">
        <f t="shared" si="131"/>
        <v>14963461.384643801</v>
      </c>
      <c r="E169" s="2">
        <f t="shared" si="132"/>
        <v>5214497.2137393756</v>
      </c>
      <c r="F169" s="2">
        <f t="shared" si="129"/>
        <v>1496346.1384643801</v>
      </c>
      <c r="G169" s="2">
        <f t="shared" ref="G169" si="165">(H168+F169)*((1+$B$3)^(1/12)-1)</f>
        <v>1966727.139819806</v>
      </c>
      <c r="H169" s="2">
        <f t="shared" si="153"/>
        <v>227131992.92661974</v>
      </c>
      <c r="I169" s="2">
        <f t="shared" si="134"/>
        <v>237557135.24165195</v>
      </c>
      <c r="J169" s="5">
        <f t="shared" si="128"/>
        <v>0.95611522127328497</v>
      </c>
    </row>
    <row r="170" spans="1:10" x14ac:dyDescent="0.3">
      <c r="A170" s="1">
        <f t="shared" si="149"/>
        <v>14</v>
      </c>
      <c r="B170" s="1">
        <f t="shared" si="150"/>
        <v>3</v>
      </c>
      <c r="C170" s="2">
        <f t="shared" si="151"/>
        <v>227131992.92661974</v>
      </c>
      <c r="D170" s="2">
        <f t="shared" si="131"/>
        <v>14963461.384643801</v>
      </c>
      <c r="E170" s="2">
        <f t="shared" si="132"/>
        <v>5214497.2137393756</v>
      </c>
      <c r="F170" s="2">
        <f t="shared" si="129"/>
        <v>1496346.1384643801</v>
      </c>
      <c r="G170" s="2">
        <f t="shared" ref="G170" si="166">(H169+F170)*((1+$B$3)^(1/12)-1)</f>
        <v>1996975.6782868148</v>
      </c>
      <c r="H170" s="2">
        <f t="shared" si="153"/>
        <v>230625314.74337095</v>
      </c>
      <c r="I170" s="2">
        <f t="shared" si="134"/>
        <v>237557135.24165195</v>
      </c>
      <c r="J170" s="5">
        <f t="shared" si="128"/>
        <v>0.97082040709394102</v>
      </c>
    </row>
    <row r="171" spans="1:10" x14ac:dyDescent="0.3">
      <c r="A171" s="1">
        <f t="shared" si="149"/>
        <v>14</v>
      </c>
      <c r="B171" s="1">
        <f t="shared" si="150"/>
        <v>4</v>
      </c>
      <c r="C171" s="2">
        <f t="shared" si="151"/>
        <v>230625314.74337095</v>
      </c>
      <c r="D171" s="2">
        <f t="shared" si="131"/>
        <v>14963461.384643801</v>
      </c>
      <c r="E171" s="2">
        <f t="shared" si="132"/>
        <v>5214497.2137393756</v>
      </c>
      <c r="F171" s="2">
        <f t="shared" si="129"/>
        <v>1496346.1384643801</v>
      </c>
      <c r="G171" s="2">
        <f t="shared" ref="G171" si="167">(H170+F171)*((1+$B$3)^(1/12)-1)</f>
        <v>2027488.4254510892</v>
      </c>
      <c r="H171" s="2">
        <f t="shared" si="153"/>
        <v>234149149.30728644</v>
      </c>
      <c r="I171" s="2">
        <f t="shared" si="134"/>
        <v>237557135.24165195</v>
      </c>
      <c r="J171" s="5">
        <f t="shared" si="128"/>
        <v>0.98565403673984042</v>
      </c>
    </row>
    <row r="172" spans="1:10" x14ac:dyDescent="0.3">
      <c r="A172" s="1">
        <f t="shared" si="149"/>
        <v>14</v>
      </c>
      <c r="B172" s="1">
        <f t="shared" si="150"/>
        <v>5</v>
      </c>
      <c r="C172" s="2">
        <f t="shared" si="151"/>
        <v>234149149.30728644</v>
      </c>
      <c r="D172" s="2">
        <f t="shared" si="131"/>
        <v>14963461.384643801</v>
      </c>
      <c r="E172" s="2">
        <f t="shared" si="132"/>
        <v>5214497.2137393756</v>
      </c>
      <c r="F172" s="2">
        <f t="shared" si="129"/>
        <v>1496346.1384643801</v>
      </c>
      <c r="G172" s="2">
        <f t="shared" ref="G172" si="168">(H171+F172)*((1+$B$3)^(1/12)-1)</f>
        <v>2058267.6890682841</v>
      </c>
      <c r="H172" s="2">
        <f t="shared" si="153"/>
        <v>237703763.13481912</v>
      </c>
      <c r="I172" s="2">
        <f t="shared" si="134"/>
        <v>237557135.24165195</v>
      </c>
      <c r="J172" s="5">
        <f t="shared" si="128"/>
        <v>1.0006172321156257</v>
      </c>
    </row>
    <row r="173" spans="1:10" x14ac:dyDescent="0.3">
      <c r="A173" s="1">
        <f t="shared" si="149"/>
        <v>14</v>
      </c>
      <c r="B173" s="1">
        <f t="shared" si="150"/>
        <v>6</v>
      </c>
      <c r="C173" s="2">
        <f t="shared" si="151"/>
        <v>237703763.13481912</v>
      </c>
      <c r="D173" s="2">
        <f t="shared" si="131"/>
        <v>14963461.384643801</v>
      </c>
      <c r="E173" s="2">
        <f t="shared" si="132"/>
        <v>5214497.2137393756</v>
      </c>
      <c r="F173" s="2">
        <f t="shared" si="129"/>
        <v>2992692.2769287601</v>
      </c>
      <c r="G173" s="2">
        <f t="shared" ref="G173" si="169">(H172+F173)*((1+$B$3)^(1/12)-1)</f>
        <v>2102385.7727902899</v>
      </c>
      <c r="H173" s="2">
        <f t="shared" si="153"/>
        <v>242798841.18453816</v>
      </c>
      <c r="I173" s="2">
        <f t="shared" si="134"/>
        <v>237557135.24165195</v>
      </c>
      <c r="J173" s="5">
        <f t="shared" si="128"/>
        <v>1.022065032639639</v>
      </c>
    </row>
    <row r="174" spans="1:10" x14ac:dyDescent="0.3">
      <c r="A174" s="1">
        <f t="shared" si="149"/>
        <v>14</v>
      </c>
      <c r="B174" s="1">
        <f t="shared" si="150"/>
        <v>7</v>
      </c>
      <c r="C174" s="2">
        <f t="shared" si="151"/>
        <v>242798841.18453816</v>
      </c>
      <c r="D174" s="2">
        <f t="shared" si="131"/>
        <v>14963461.384643801</v>
      </c>
      <c r="E174" s="2">
        <f t="shared" si="132"/>
        <v>5214497.2137393756</v>
      </c>
      <c r="F174" s="2">
        <f t="shared" si="129"/>
        <v>1496346.1384643801</v>
      </c>
      <c r="G174" s="2">
        <f t="shared" ref="G174" si="170">(H173+F174)*((1+$B$3)^(1/12)-1)</f>
        <v>2133819.2343149539</v>
      </c>
      <c r="H174" s="2">
        <f t="shared" si="153"/>
        <v>246429006.5573175</v>
      </c>
      <c r="I174" s="2">
        <f t="shared" si="134"/>
        <v>237557135.24165195</v>
      </c>
      <c r="J174" s="5">
        <f t="shared" si="128"/>
        <v>1.0373462632753201</v>
      </c>
    </row>
    <row r="175" spans="1:10" x14ac:dyDescent="0.3">
      <c r="A175" s="1">
        <f t="shared" si="149"/>
        <v>14</v>
      </c>
      <c r="B175" s="1">
        <f t="shared" si="150"/>
        <v>8</v>
      </c>
      <c r="C175" s="2">
        <f t="shared" si="151"/>
        <v>246429006.5573175</v>
      </c>
      <c r="D175" s="2">
        <f t="shared" si="131"/>
        <v>14963461.384643801</v>
      </c>
      <c r="E175" s="2">
        <f t="shared" si="132"/>
        <v>5214497.2137393756</v>
      </c>
      <c r="F175" s="2">
        <f t="shared" si="129"/>
        <v>1496346.1384643801</v>
      </c>
      <c r="G175" s="2">
        <f t="shared" ref="G175" si="171">(H174+F175)*((1+$B$3)^(1/12)-1)</f>
        <v>2165527.2543585044</v>
      </c>
      <c r="H175" s="2">
        <f t="shared" si="153"/>
        <v>250090879.95014039</v>
      </c>
      <c r="I175" s="2">
        <f t="shared" si="134"/>
        <v>237557135.24165195</v>
      </c>
      <c r="J175" s="5">
        <f t="shared" si="128"/>
        <v>1.0527609692537276</v>
      </c>
    </row>
    <row r="176" spans="1:10" x14ac:dyDescent="0.3">
      <c r="A176" s="1">
        <f t="shared" si="149"/>
        <v>14</v>
      </c>
      <c r="B176" s="1">
        <f t="shared" si="150"/>
        <v>9</v>
      </c>
      <c r="C176" s="2">
        <f t="shared" si="151"/>
        <v>250090879.95014039</v>
      </c>
      <c r="D176" s="2">
        <f t="shared" si="131"/>
        <v>14963461.384643801</v>
      </c>
      <c r="E176" s="2">
        <f t="shared" si="132"/>
        <v>5214497.2137393756</v>
      </c>
      <c r="F176" s="2">
        <f t="shared" si="129"/>
        <v>1496346.1384643801</v>
      </c>
      <c r="G176" s="2">
        <f t="shared" ref="G176" si="172">(H175+F176)*((1+$B$3)^(1/12)-1)</f>
        <v>2197512.2310780841</v>
      </c>
      <c r="H176" s="2">
        <f t="shared" si="153"/>
        <v>253784738.31968287</v>
      </c>
      <c r="I176" s="2">
        <f t="shared" si="134"/>
        <v>237557135.24165195</v>
      </c>
      <c r="J176" s="5">
        <f t="shared" si="128"/>
        <v>1.0683103164277663</v>
      </c>
    </row>
    <row r="177" spans="1:10" x14ac:dyDescent="0.3">
      <c r="A177" s="1">
        <f t="shared" si="149"/>
        <v>14</v>
      </c>
      <c r="B177" s="1">
        <f t="shared" si="150"/>
        <v>10</v>
      </c>
      <c r="C177" s="2">
        <f t="shared" si="151"/>
        <v>253784738.31968287</v>
      </c>
      <c r="D177" s="2">
        <f t="shared" si="131"/>
        <v>14963461.384643801</v>
      </c>
      <c r="E177" s="2">
        <f t="shared" si="132"/>
        <v>5214497.2137393756</v>
      </c>
      <c r="F177" s="2">
        <f t="shared" si="129"/>
        <v>1496346.1384643801</v>
      </c>
      <c r="G177" s="2">
        <f t="shared" ref="G177" si="173">(H176+F177)*((1+$B$3)^(1/12)-1)</f>
        <v>2229776.5835777656</v>
      </c>
      <c r="H177" s="2">
        <f t="shared" si="153"/>
        <v>257510861.04172501</v>
      </c>
      <c r="I177" s="2">
        <f t="shared" si="134"/>
        <v>237557135.24165195</v>
      </c>
      <c r="J177" s="5">
        <f t="shared" si="128"/>
        <v>1.0839954808335914</v>
      </c>
    </row>
    <row r="178" spans="1:10" x14ac:dyDescent="0.3">
      <c r="A178" s="1">
        <f t="shared" si="149"/>
        <v>14</v>
      </c>
      <c r="B178" s="1">
        <f t="shared" si="150"/>
        <v>11</v>
      </c>
      <c r="C178" s="2">
        <f t="shared" si="151"/>
        <v>257510861.04172501</v>
      </c>
      <c r="D178" s="2">
        <f t="shared" si="131"/>
        <v>14963461.384643801</v>
      </c>
      <c r="E178" s="2">
        <f t="shared" si="132"/>
        <v>5214497.2137393756</v>
      </c>
      <c r="F178" s="2">
        <f t="shared" si="129"/>
        <v>1496346.1384643801</v>
      </c>
      <c r="G178" s="2">
        <f t="shared" ref="G178" si="174">(H177+F178)*((1+$B$3)^(1/12)-1)</f>
        <v>2262322.7520915112</v>
      </c>
      <c r="H178" s="2">
        <f t="shared" si="153"/>
        <v>261269529.9322809</v>
      </c>
      <c r="I178" s="2">
        <f t="shared" si="134"/>
        <v>237557135.24165195</v>
      </c>
      <c r="J178" s="5">
        <f t="shared" si="128"/>
        <v>1.099817648779557</v>
      </c>
    </row>
    <row r="179" spans="1:10" x14ac:dyDescent="0.3">
      <c r="A179" s="1">
        <f t="shared" si="149"/>
        <v>14</v>
      </c>
      <c r="B179" s="1">
        <f t="shared" si="150"/>
        <v>12</v>
      </c>
      <c r="C179" s="2">
        <f t="shared" si="151"/>
        <v>261269529.9322809</v>
      </c>
      <c r="D179" s="2">
        <f t="shared" si="131"/>
        <v>14963461.384643801</v>
      </c>
      <c r="E179" s="2">
        <f t="shared" si="132"/>
        <v>5214497.2137393756</v>
      </c>
      <c r="F179" s="2">
        <f t="shared" si="129"/>
        <v>2992692.2769287601</v>
      </c>
      <c r="G179" s="2">
        <f t="shared" ref="G179" si="175">(H178+F179)*((1+$B$3)^(1/12)-1)</f>
        <v>2308223.1739066639</v>
      </c>
      <c r="H179" s="2">
        <f t="shared" si="153"/>
        <v>266570445.3831163</v>
      </c>
      <c r="I179" s="2">
        <f t="shared" si="134"/>
        <v>237557135.24165195</v>
      </c>
      <c r="J179" s="5">
        <f t="shared" si="128"/>
        <v>1.122131924650257</v>
      </c>
    </row>
    <row r="180" spans="1:10" x14ac:dyDescent="0.3">
      <c r="A180" s="1">
        <f t="shared" si="149"/>
        <v>15</v>
      </c>
      <c r="B180" s="1">
        <f t="shared" si="150"/>
        <v>1</v>
      </c>
      <c r="C180" s="2">
        <f t="shared" si="151"/>
        <v>266570445.3831163</v>
      </c>
      <c r="D180" s="2">
        <f t="shared" si="131"/>
        <v>15813385.991291568</v>
      </c>
      <c r="E180" s="2">
        <f t="shared" si="132"/>
        <v>5613406.250590438</v>
      </c>
      <c r="F180" s="2">
        <f t="shared" si="129"/>
        <v>1581338.5991291569</v>
      </c>
      <c r="G180" s="2">
        <f t="shared" ref="G180" si="176">(H179+F180)*((1+$B$3)^(1/12)-1)</f>
        <v>2342196.9161457461</v>
      </c>
      <c r="H180" s="2">
        <f t="shared" si="153"/>
        <v>270493980.89839125</v>
      </c>
      <c r="I180" s="2">
        <f t="shared" si="134"/>
        <v>246109192.11035144</v>
      </c>
      <c r="J180" s="5">
        <f t="shared" si="128"/>
        <v>1.0990811784758776</v>
      </c>
    </row>
    <row r="181" spans="1:10" x14ac:dyDescent="0.3">
      <c r="A181" s="1">
        <f t="shared" si="149"/>
        <v>15</v>
      </c>
      <c r="B181" s="1">
        <f t="shared" si="150"/>
        <v>2</v>
      </c>
      <c r="C181" s="2">
        <f t="shared" si="151"/>
        <v>270493980.89839125</v>
      </c>
      <c r="D181" s="2">
        <f t="shared" si="131"/>
        <v>15813385.991291568</v>
      </c>
      <c r="E181" s="2">
        <f t="shared" si="132"/>
        <v>5613406.250590438</v>
      </c>
      <c r="F181" s="2">
        <f t="shared" si="129"/>
        <v>1581338.5991291569</v>
      </c>
      <c r="G181" s="2">
        <f t="shared" ref="G181" si="177">(H180+F181)*((1+$B$3)^(1/12)-1)</f>
        <v>2376467.4052239531</v>
      </c>
      <c r="H181" s="2">
        <f t="shared" si="153"/>
        <v>274451786.90274435</v>
      </c>
      <c r="I181" s="2">
        <f t="shared" si="134"/>
        <v>246109192.11035144</v>
      </c>
      <c r="J181" s="5">
        <f t="shared" si="128"/>
        <v>1.1151626826668244</v>
      </c>
    </row>
    <row r="182" spans="1:10" x14ac:dyDescent="0.3">
      <c r="A182" s="1">
        <f t="shared" si="149"/>
        <v>15</v>
      </c>
      <c r="B182" s="1">
        <f t="shared" si="150"/>
        <v>3</v>
      </c>
      <c r="C182" s="2">
        <f t="shared" si="151"/>
        <v>274451786.90274435</v>
      </c>
      <c r="D182" s="2">
        <f t="shared" si="131"/>
        <v>15813385.991291568</v>
      </c>
      <c r="E182" s="2">
        <f t="shared" si="132"/>
        <v>5613406.250590438</v>
      </c>
      <c r="F182" s="2">
        <f t="shared" si="129"/>
        <v>1581338.5991291569</v>
      </c>
      <c r="G182" s="2">
        <f t="shared" ref="G182" si="178">(H181+F182)*((1+$B$3)^(1/12)-1)</f>
        <v>2411037.2331043924</v>
      </c>
      <c r="H182" s="2">
        <f t="shared" si="153"/>
        <v>278444162.7349779</v>
      </c>
      <c r="I182" s="2">
        <f t="shared" si="134"/>
        <v>246109192.11035144</v>
      </c>
      <c r="J182" s="5">
        <f t="shared" si="128"/>
        <v>1.1313846522649507</v>
      </c>
    </row>
    <row r="183" spans="1:10" x14ac:dyDescent="0.3">
      <c r="A183" s="1">
        <f t="shared" si="149"/>
        <v>15</v>
      </c>
      <c r="B183" s="1">
        <f t="shared" si="150"/>
        <v>4</v>
      </c>
      <c r="C183" s="2">
        <f t="shared" si="151"/>
        <v>278444162.7349779</v>
      </c>
      <c r="D183" s="2">
        <f t="shared" si="131"/>
        <v>15813385.991291568</v>
      </c>
      <c r="E183" s="2">
        <f t="shared" si="132"/>
        <v>5613406.250590438</v>
      </c>
      <c r="F183" s="2">
        <f t="shared" si="129"/>
        <v>1581338.5991291569</v>
      </c>
      <c r="G183" s="2">
        <f t="shared" ref="G183" si="179">(H182+F183)*((1+$B$3)^(1/12)-1)</f>
        <v>2445909.0143899173</v>
      </c>
      <c r="H183" s="2">
        <f t="shared" si="153"/>
        <v>282471410.34849697</v>
      </c>
      <c r="I183" s="2">
        <f t="shared" si="134"/>
        <v>246109192.11035144</v>
      </c>
      <c r="J183" s="5">
        <f t="shared" si="128"/>
        <v>1.1477483141785345</v>
      </c>
    </row>
    <row r="184" spans="1:10" x14ac:dyDescent="0.3">
      <c r="A184" s="1">
        <f t="shared" si="149"/>
        <v>15</v>
      </c>
      <c r="B184" s="1">
        <f t="shared" si="150"/>
        <v>5</v>
      </c>
      <c r="C184" s="2">
        <f t="shared" si="151"/>
        <v>282471410.34849697</v>
      </c>
      <c r="D184" s="2">
        <f t="shared" si="131"/>
        <v>15813385.991291568</v>
      </c>
      <c r="E184" s="2">
        <f t="shared" si="132"/>
        <v>5613406.250590438</v>
      </c>
      <c r="F184" s="2">
        <f t="shared" si="129"/>
        <v>1581338.5991291569</v>
      </c>
      <c r="G184" s="2">
        <f t="shared" ref="G184" si="180">(H183+F184)*((1+$B$3)^(1/12)-1)</f>
        <v>2481085.3865208752</v>
      </c>
      <c r="H184" s="2">
        <f t="shared" si="153"/>
        <v>286533834.33414698</v>
      </c>
      <c r="I184" s="2">
        <f t="shared" si="134"/>
        <v>246109192.11035144</v>
      </c>
      <c r="J184" s="5">
        <f t="shared" si="128"/>
        <v>1.1642549060323995</v>
      </c>
    </row>
    <row r="185" spans="1:10" x14ac:dyDescent="0.3">
      <c r="A185" s="1">
        <f t="shared" si="149"/>
        <v>15</v>
      </c>
      <c r="B185" s="1">
        <f t="shared" si="150"/>
        <v>6</v>
      </c>
      <c r="C185" s="2">
        <f t="shared" si="151"/>
        <v>286533834.33414698</v>
      </c>
      <c r="D185" s="2">
        <f t="shared" si="131"/>
        <v>15813385.991291568</v>
      </c>
      <c r="E185" s="2">
        <f t="shared" si="132"/>
        <v>5613406.250590438</v>
      </c>
      <c r="F185" s="2">
        <f t="shared" si="129"/>
        <v>3162677.1982583138</v>
      </c>
      <c r="G185" s="2">
        <f t="shared" ref="G185" si="181">(H184+F185)*((1+$B$3)^(1/12)-1)</f>
        <v>2530381.3603354809</v>
      </c>
      <c r="H185" s="2">
        <f t="shared" si="153"/>
        <v>292226892.89274079</v>
      </c>
      <c r="I185" s="2">
        <f t="shared" si="134"/>
        <v>246109192.11035144</v>
      </c>
      <c r="J185" s="5">
        <f t="shared" si="128"/>
        <v>1.1873871527793685</v>
      </c>
    </row>
    <row r="186" spans="1:10" x14ac:dyDescent="0.3">
      <c r="A186" s="1">
        <f t="shared" si="149"/>
        <v>15</v>
      </c>
      <c r="B186" s="1">
        <f t="shared" si="150"/>
        <v>7</v>
      </c>
      <c r="C186" s="2">
        <f t="shared" si="151"/>
        <v>292226892.89274079</v>
      </c>
      <c r="D186" s="2">
        <f t="shared" si="131"/>
        <v>15813385.991291568</v>
      </c>
      <c r="E186" s="2">
        <f t="shared" si="132"/>
        <v>5613406.250590438</v>
      </c>
      <c r="F186" s="2">
        <f t="shared" si="129"/>
        <v>1581338.5991291569</v>
      </c>
      <c r="G186" s="2">
        <f t="shared" ref="G186" si="182">(H185+F186)*((1+$B$3)^(1/12)-1)</f>
        <v>2566295.5640975959</v>
      </c>
      <c r="H186" s="2">
        <f t="shared" si="153"/>
        <v>296374527.05596751</v>
      </c>
      <c r="I186" s="2">
        <f t="shared" si="134"/>
        <v>246109192.11035144</v>
      </c>
      <c r="J186" s="5">
        <f t="shared" si="128"/>
        <v>1.2042399737880489</v>
      </c>
    </row>
    <row r="187" spans="1:10" x14ac:dyDescent="0.3">
      <c r="A187" s="1">
        <f t="shared" si="149"/>
        <v>15</v>
      </c>
      <c r="B187" s="1">
        <f t="shared" si="150"/>
        <v>8</v>
      </c>
      <c r="C187" s="2">
        <f t="shared" si="151"/>
        <v>296374527.05596751</v>
      </c>
      <c r="D187" s="2">
        <f t="shared" si="131"/>
        <v>15813385.991291568</v>
      </c>
      <c r="E187" s="2">
        <f t="shared" si="132"/>
        <v>5613406.250590438</v>
      </c>
      <c r="F187" s="2">
        <f t="shared" si="129"/>
        <v>1581338.5991291569</v>
      </c>
      <c r="G187" s="2">
        <f t="shared" ref="G187" si="183">(H186+F187)*((1+$B$3)^(1/12)-1)</f>
        <v>2602523.4638420688</v>
      </c>
      <c r="H187" s="2">
        <f t="shared" si="153"/>
        <v>300558389.11893874</v>
      </c>
      <c r="I187" s="2">
        <f t="shared" si="134"/>
        <v>246109192.11035144</v>
      </c>
      <c r="J187" s="5">
        <f t="shared" si="128"/>
        <v>1.2212399973430215</v>
      </c>
    </row>
    <row r="188" spans="1:10" x14ac:dyDescent="0.3">
      <c r="A188" s="1">
        <f t="shared" si="149"/>
        <v>15</v>
      </c>
      <c r="B188" s="1">
        <f t="shared" si="150"/>
        <v>9</v>
      </c>
      <c r="C188" s="2">
        <f t="shared" si="151"/>
        <v>300558389.11893874</v>
      </c>
      <c r="D188" s="2">
        <f t="shared" si="131"/>
        <v>15813385.991291568</v>
      </c>
      <c r="E188" s="2">
        <f t="shared" si="132"/>
        <v>5613406.250590438</v>
      </c>
      <c r="F188" s="2">
        <f t="shared" si="129"/>
        <v>1581338.5991291569</v>
      </c>
      <c r="G188" s="2">
        <f t="shared" ref="G188" si="184">(H187+F188)*((1+$B$3)^(1/12)-1)</f>
        <v>2639067.7995758904</v>
      </c>
      <c r="H188" s="2">
        <f t="shared" si="153"/>
        <v>304778795.51764375</v>
      </c>
      <c r="I188" s="2">
        <f t="shared" si="134"/>
        <v>246109192.11035144</v>
      </c>
      <c r="J188" s="5">
        <f t="shared" si="128"/>
        <v>1.2383885091987372</v>
      </c>
    </row>
    <row r="189" spans="1:10" x14ac:dyDescent="0.3">
      <c r="A189" s="1">
        <f t="shared" si="149"/>
        <v>15</v>
      </c>
      <c r="B189" s="1">
        <f t="shared" si="150"/>
        <v>10</v>
      </c>
      <c r="C189" s="2">
        <f t="shared" si="151"/>
        <v>304778795.51764375</v>
      </c>
      <c r="D189" s="2">
        <f t="shared" si="131"/>
        <v>15813385.991291568</v>
      </c>
      <c r="E189" s="2">
        <f t="shared" si="132"/>
        <v>5613406.250590438</v>
      </c>
      <c r="F189" s="2">
        <f t="shared" si="129"/>
        <v>1581338.5991291569</v>
      </c>
      <c r="G189" s="2">
        <f t="shared" ref="G189" si="185">(H188+F189)*((1+$B$3)^(1/12)-1)</f>
        <v>2675931.3352388982</v>
      </c>
      <c r="H189" s="2">
        <f t="shared" si="153"/>
        <v>309036065.45201176</v>
      </c>
      <c r="I189" s="2">
        <f t="shared" si="134"/>
        <v>246109192.11035144</v>
      </c>
      <c r="J189" s="5">
        <f t="shared" si="128"/>
        <v>1.2556868063401911</v>
      </c>
    </row>
    <row r="190" spans="1:10" x14ac:dyDescent="0.3">
      <c r="A190" s="1">
        <f t="shared" si="149"/>
        <v>15</v>
      </c>
      <c r="B190" s="1">
        <f t="shared" si="150"/>
        <v>11</v>
      </c>
      <c r="C190" s="2">
        <f t="shared" si="151"/>
        <v>309036065.45201176</v>
      </c>
      <c r="D190" s="2">
        <f t="shared" si="131"/>
        <v>15813385.991291568</v>
      </c>
      <c r="E190" s="2">
        <f t="shared" si="132"/>
        <v>5613406.250590438</v>
      </c>
      <c r="F190" s="2">
        <f t="shared" si="129"/>
        <v>1581338.5991291569</v>
      </c>
      <c r="G190" s="2">
        <f t="shared" ref="G190" si="186">(H189+F190)*((1+$B$3)^(1/12)-1)</f>
        <v>2713116.8589128223</v>
      </c>
      <c r="H190" s="2">
        <f t="shared" si="153"/>
        <v>313330520.91005373</v>
      </c>
      <c r="I190" s="2">
        <f t="shared" si="134"/>
        <v>246109192.11035144</v>
      </c>
      <c r="J190" s="5">
        <f t="shared" si="128"/>
        <v>1.2731361970810149</v>
      </c>
    </row>
    <row r="191" spans="1:10" x14ac:dyDescent="0.3">
      <c r="A191" s="1">
        <f t="shared" si="149"/>
        <v>15</v>
      </c>
      <c r="B191" s="1">
        <f t="shared" si="150"/>
        <v>12</v>
      </c>
      <c r="C191" s="2">
        <f t="shared" si="151"/>
        <v>313330520.91005373</v>
      </c>
      <c r="D191" s="2">
        <f t="shared" si="131"/>
        <v>15813385.991291568</v>
      </c>
      <c r="E191" s="2">
        <f t="shared" si="132"/>
        <v>5613406.250590438</v>
      </c>
      <c r="F191" s="2">
        <f t="shared" si="129"/>
        <v>3162677.1982583138</v>
      </c>
      <c r="G191" s="2">
        <f t="shared" ref="G191" si="187">(H190+F191)*((1+$B$3)^(1/12)-1)</f>
        <v>2764439.5333930524</v>
      </c>
      <c r="H191" s="2">
        <f t="shared" si="153"/>
        <v>319257637.6417051</v>
      </c>
      <c r="I191" s="2">
        <f t="shared" si="134"/>
        <v>246109192.11035144</v>
      </c>
      <c r="J191" s="5">
        <f t="shared" si="128"/>
        <v>1.2972194776802772</v>
      </c>
    </row>
    <row r="192" spans="1:10" x14ac:dyDescent="0.3">
      <c r="A192" s="1">
        <f t="shared" si="149"/>
        <v>16</v>
      </c>
      <c r="B192" s="1">
        <f t="shared" si="150"/>
        <v>1</v>
      </c>
      <c r="C192" s="2">
        <f t="shared" si="151"/>
        <v>319257637.6417051</v>
      </c>
      <c r="D192" s="2">
        <f t="shared" si="131"/>
        <v>16711586.315596929</v>
      </c>
      <c r="E192" s="2">
        <f t="shared" si="132"/>
        <v>6042831.8287606062</v>
      </c>
      <c r="F192" s="2">
        <f t="shared" si="129"/>
        <v>1671158.631559693</v>
      </c>
      <c r="G192" s="2">
        <f t="shared" ref="G192" si="188">(H191+F192)*((1+$B$3)^(1/12)-1)</f>
        <v>2803182.6817284063</v>
      </c>
      <c r="H192" s="2">
        <f t="shared" si="153"/>
        <v>323731978.95499319</v>
      </c>
      <c r="I192" s="2">
        <f t="shared" si="134"/>
        <v>254969123.02632409</v>
      </c>
      <c r="J192" s="5">
        <f t="shared" si="128"/>
        <v>1.2696909143840516</v>
      </c>
    </row>
    <row r="193" spans="1:10" x14ac:dyDescent="0.3">
      <c r="A193" s="1">
        <f t="shared" si="149"/>
        <v>16</v>
      </c>
      <c r="B193" s="1">
        <f t="shared" si="150"/>
        <v>2</v>
      </c>
      <c r="C193" s="2">
        <f t="shared" si="151"/>
        <v>323731978.95499319</v>
      </c>
      <c r="D193" s="2">
        <f t="shared" si="131"/>
        <v>16711586.315596929</v>
      </c>
      <c r="E193" s="2">
        <f t="shared" si="132"/>
        <v>6042831.8287606062</v>
      </c>
      <c r="F193" s="2">
        <f t="shared" si="129"/>
        <v>1671158.631559693</v>
      </c>
      <c r="G193" s="2">
        <f t="shared" ref="G193" si="189">(H192+F193)*((1+$B$3)^(1/12)-1)</f>
        <v>2842264.2357279155</v>
      </c>
      <c r="H193" s="2">
        <f t="shared" si="153"/>
        <v>328245401.82228076</v>
      </c>
      <c r="I193" s="2">
        <f t="shared" si="134"/>
        <v>254969123.02632409</v>
      </c>
      <c r="J193" s="5">
        <f t="shared" si="128"/>
        <v>1.2873927553509736</v>
      </c>
    </row>
    <row r="194" spans="1:10" x14ac:dyDescent="0.3">
      <c r="A194" s="1">
        <f t="shared" si="149"/>
        <v>16</v>
      </c>
      <c r="B194" s="1">
        <f t="shared" si="150"/>
        <v>3</v>
      </c>
      <c r="C194" s="2">
        <f t="shared" si="151"/>
        <v>328245401.82228076</v>
      </c>
      <c r="D194" s="2">
        <f t="shared" si="131"/>
        <v>16711586.315596929</v>
      </c>
      <c r="E194" s="2">
        <f t="shared" si="132"/>
        <v>6042831.8287606062</v>
      </c>
      <c r="F194" s="2">
        <f t="shared" si="129"/>
        <v>1671158.631559693</v>
      </c>
      <c r="G194" s="2">
        <f t="shared" ref="G194" si="190">(H193+F194)*((1+$B$3)^(1/12)-1)</f>
        <v>2881687.1512276037</v>
      </c>
      <c r="H194" s="2">
        <f t="shared" si="153"/>
        <v>332798247.60506803</v>
      </c>
      <c r="I194" s="2">
        <f t="shared" si="134"/>
        <v>254969123.02632409</v>
      </c>
      <c r="J194" s="5">
        <f t="shared" si="128"/>
        <v>1.3052492147086709</v>
      </c>
    </row>
    <row r="195" spans="1:10" x14ac:dyDescent="0.3">
      <c r="A195" s="1">
        <f t="shared" si="149"/>
        <v>16</v>
      </c>
      <c r="B195" s="1">
        <f t="shared" si="150"/>
        <v>4</v>
      </c>
      <c r="C195" s="2">
        <f t="shared" si="151"/>
        <v>332798247.60506803</v>
      </c>
      <c r="D195" s="2">
        <f t="shared" si="131"/>
        <v>16711586.315596929</v>
      </c>
      <c r="E195" s="2">
        <f t="shared" si="132"/>
        <v>6042831.8287606062</v>
      </c>
      <c r="F195" s="2">
        <f t="shared" si="129"/>
        <v>1671158.631559693</v>
      </c>
      <c r="G195" s="2">
        <f t="shared" ref="G195" si="191">(H194+F195)*((1+$B$3)^(1/12)-1)</f>
        <v>2921454.4098815215</v>
      </c>
      <c r="H195" s="2">
        <f t="shared" si="153"/>
        <v>337390860.64650923</v>
      </c>
      <c r="I195" s="2">
        <f t="shared" si="134"/>
        <v>254969123.02632409</v>
      </c>
      <c r="J195" s="5">
        <f t="shared" si="128"/>
        <v>1.3232616429859845</v>
      </c>
    </row>
    <row r="196" spans="1:10" x14ac:dyDescent="0.3">
      <c r="A196" s="1">
        <f t="shared" si="149"/>
        <v>16</v>
      </c>
      <c r="B196" s="1">
        <f t="shared" si="150"/>
        <v>5</v>
      </c>
      <c r="C196" s="2">
        <f t="shared" si="151"/>
        <v>337390860.64650923</v>
      </c>
      <c r="D196" s="2">
        <f t="shared" si="131"/>
        <v>16711586.315596929</v>
      </c>
      <c r="E196" s="2">
        <f t="shared" si="132"/>
        <v>6042831.8287606062</v>
      </c>
      <c r="F196" s="2">
        <f t="shared" si="129"/>
        <v>1671158.631559693</v>
      </c>
      <c r="G196" s="2">
        <f t="shared" ref="G196" si="192">(H195+F196)*((1+$B$3)^(1/12)-1)</f>
        <v>2961569.0193872578</v>
      </c>
      <c r="H196" s="2">
        <f t="shared" si="153"/>
        <v>342023588.29745615</v>
      </c>
      <c r="I196" s="2">
        <f t="shared" si="134"/>
        <v>254969123.02632409</v>
      </c>
      <c r="J196" s="5">
        <f t="shared" si="128"/>
        <v>1.3414314025080762</v>
      </c>
    </row>
    <row r="197" spans="1:10" x14ac:dyDescent="0.3">
      <c r="A197" s="1">
        <f t="shared" si="149"/>
        <v>16</v>
      </c>
      <c r="B197" s="1">
        <f t="shared" si="150"/>
        <v>6</v>
      </c>
      <c r="C197" s="2">
        <f t="shared" si="151"/>
        <v>342023588.29745615</v>
      </c>
      <c r="D197" s="2">
        <f t="shared" si="131"/>
        <v>16711586.315596929</v>
      </c>
      <c r="E197" s="2">
        <f t="shared" si="132"/>
        <v>6042831.8287606062</v>
      </c>
      <c r="F197" s="2">
        <f t="shared" si="129"/>
        <v>3342317.263119386</v>
      </c>
      <c r="G197" s="2">
        <f t="shared" ref="G197" si="193">(H196+F197)*((1+$B$3)^(1/12)-1)</f>
        <v>3016630.905574814</v>
      </c>
      <c r="H197" s="2">
        <f t="shared" si="153"/>
        <v>348382536.46615034</v>
      </c>
      <c r="I197" s="2">
        <f t="shared" si="134"/>
        <v>254969123.02632409</v>
      </c>
      <c r="J197" s="5">
        <f t="shared" si="128"/>
        <v>1.3663714740477884</v>
      </c>
    </row>
    <row r="198" spans="1:10" x14ac:dyDescent="0.3">
      <c r="A198" s="1">
        <f t="shared" si="149"/>
        <v>16</v>
      </c>
      <c r="B198" s="1">
        <f t="shared" si="150"/>
        <v>7</v>
      </c>
      <c r="C198" s="2">
        <f t="shared" si="151"/>
        <v>348382536.46615034</v>
      </c>
      <c r="D198" s="2">
        <f t="shared" si="131"/>
        <v>16711586.315596929</v>
      </c>
      <c r="E198" s="2">
        <f t="shared" si="132"/>
        <v>6042831.8287606062</v>
      </c>
      <c r="F198" s="2">
        <f t="shared" si="129"/>
        <v>1671158.631559693</v>
      </c>
      <c r="G198" s="2">
        <f t="shared" ref="G198" si="194">(H197+F198)*((1+$B$3)^(1/12)-1)</f>
        <v>3057576.8431119802</v>
      </c>
      <c r="H198" s="2">
        <f t="shared" si="153"/>
        <v>353111271.94082201</v>
      </c>
      <c r="I198" s="2">
        <f t="shared" si="134"/>
        <v>254969123.02632409</v>
      </c>
      <c r="J198" s="5">
        <f t="shared" si="128"/>
        <v>1.3849177804340069</v>
      </c>
    </row>
    <row r="199" spans="1:10" x14ac:dyDescent="0.3">
      <c r="A199" s="1">
        <f t="shared" si="149"/>
        <v>16</v>
      </c>
      <c r="B199" s="1">
        <f t="shared" si="150"/>
        <v>8</v>
      </c>
      <c r="C199" s="2">
        <f t="shared" si="151"/>
        <v>353111271.94082201</v>
      </c>
      <c r="D199" s="2">
        <f t="shared" si="131"/>
        <v>16711586.315596929</v>
      </c>
      <c r="E199" s="2">
        <f t="shared" si="132"/>
        <v>6042831.8287606062</v>
      </c>
      <c r="F199" s="2">
        <f t="shared" si="129"/>
        <v>1671158.631559693</v>
      </c>
      <c r="G199" s="2">
        <f t="shared" ref="G199" si="195">(H198+F199)*((1+$B$3)^(1/12)-1)</f>
        <v>3098880.4267822579</v>
      </c>
      <c r="H199" s="2">
        <f t="shared" si="153"/>
        <v>357881310.99916393</v>
      </c>
      <c r="I199" s="2">
        <f t="shared" si="134"/>
        <v>254969123.02632409</v>
      </c>
      <c r="J199" s="5">
        <f t="shared" si="128"/>
        <v>1.4036260812734362</v>
      </c>
    </row>
    <row r="200" spans="1:10" x14ac:dyDescent="0.3">
      <c r="A200" s="1">
        <f t="shared" ref="A200:A263" si="196">IF(B200=1,A199+1,A199)</f>
        <v>16</v>
      </c>
      <c r="B200" s="1">
        <f t="shared" ref="B200:B263" si="197">IF(B199=12,1,B199+1)</f>
        <v>9</v>
      </c>
      <c r="C200" s="2">
        <f t="shared" ref="C200:C263" si="198">H199</f>
        <v>357881310.99916393</v>
      </c>
      <c r="D200" s="2">
        <f t="shared" si="131"/>
        <v>16711586.315596929</v>
      </c>
      <c r="E200" s="2">
        <f t="shared" si="132"/>
        <v>6042831.8287606062</v>
      </c>
      <c r="F200" s="2">
        <f t="shared" si="129"/>
        <v>1671158.631559693</v>
      </c>
      <c r="G200" s="2">
        <f t="shared" ref="G200" si="199">(H199+F200)*((1+$B$3)^(1/12)-1)</f>
        <v>3140544.7804793525</v>
      </c>
      <c r="H200" s="2">
        <f t="shared" ref="H200:H263" si="200">F200+C200+G200</f>
        <v>362693014.41120297</v>
      </c>
      <c r="I200" s="2">
        <f t="shared" si="134"/>
        <v>254969123.02632409</v>
      </c>
      <c r="J200" s="5">
        <f t="shared" si="128"/>
        <v>1.4224977915218266</v>
      </c>
    </row>
    <row r="201" spans="1:10" x14ac:dyDescent="0.3">
      <c r="A201" s="1">
        <f t="shared" si="196"/>
        <v>16</v>
      </c>
      <c r="B201" s="1">
        <f t="shared" si="197"/>
        <v>10</v>
      </c>
      <c r="C201" s="2">
        <f t="shared" si="198"/>
        <v>362693014.41120297</v>
      </c>
      <c r="D201" s="2">
        <f t="shared" si="131"/>
        <v>16711586.315596929</v>
      </c>
      <c r="E201" s="2">
        <f t="shared" si="132"/>
        <v>6042831.8287606062</v>
      </c>
      <c r="F201" s="2">
        <f t="shared" si="129"/>
        <v>1671158.631559693</v>
      </c>
      <c r="G201" s="2">
        <f t="shared" ref="G201" si="201">(H200+F201)*((1+$B$3)^(1/12)-1)</f>
        <v>3182573.0553829125</v>
      </c>
      <c r="H201" s="2">
        <f t="shared" si="200"/>
        <v>367546746.09814554</v>
      </c>
      <c r="I201" s="2">
        <f t="shared" si="134"/>
        <v>254969123.02632409</v>
      </c>
      <c r="J201" s="5">
        <f t="shared" si="128"/>
        <v>1.4415343384939927</v>
      </c>
    </row>
    <row r="202" spans="1:10" x14ac:dyDescent="0.3">
      <c r="A202" s="1">
        <f t="shared" si="196"/>
        <v>16</v>
      </c>
      <c r="B202" s="1">
        <f t="shared" si="197"/>
        <v>11</v>
      </c>
      <c r="C202" s="2">
        <f t="shared" si="198"/>
        <v>367546746.09814554</v>
      </c>
      <c r="D202" s="2">
        <f t="shared" si="131"/>
        <v>16711586.315596929</v>
      </c>
      <c r="E202" s="2">
        <f t="shared" si="132"/>
        <v>6042831.8287606062</v>
      </c>
      <c r="F202" s="2">
        <f t="shared" si="129"/>
        <v>1671158.631559693</v>
      </c>
      <c r="G202" s="2">
        <f t="shared" ref="G202" si="202">(H201+F202)*((1+$B$3)^(1/12)-1)</f>
        <v>3224968.4301968594</v>
      </c>
      <c r="H202" s="2">
        <f t="shared" si="200"/>
        <v>372442873.1599021</v>
      </c>
      <c r="I202" s="2">
        <f t="shared" si="134"/>
        <v>254969123.02632409</v>
      </c>
      <c r="J202" s="5">
        <f t="shared" si="128"/>
        <v>1.4607371619717635</v>
      </c>
    </row>
    <row r="203" spans="1:10" x14ac:dyDescent="0.3">
      <c r="A203" s="1">
        <f t="shared" si="196"/>
        <v>16</v>
      </c>
      <c r="B203" s="1">
        <f t="shared" si="197"/>
        <v>12</v>
      </c>
      <c r="C203" s="2">
        <f t="shared" si="198"/>
        <v>372442873.1599021</v>
      </c>
      <c r="D203" s="2">
        <f t="shared" si="131"/>
        <v>16711586.315596929</v>
      </c>
      <c r="E203" s="2">
        <f t="shared" si="132"/>
        <v>6042831.8287606062</v>
      </c>
      <c r="F203" s="2">
        <f t="shared" si="129"/>
        <v>3342317.263119386</v>
      </c>
      <c r="G203" s="2">
        <f t="shared" ref="G203" si="203">(H202+F203)*((1+$B$3)^(1/12)-1)</f>
        <v>3282331.0032512005</v>
      </c>
      <c r="H203" s="2">
        <f t="shared" si="200"/>
        <v>379067521.42627269</v>
      </c>
      <c r="I203" s="2">
        <f t="shared" si="134"/>
        <v>254969123.02632409</v>
      </c>
      <c r="J203" s="5">
        <f t="shared" si="128"/>
        <v>1.4867193208612015</v>
      </c>
    </row>
    <row r="204" spans="1:10" x14ac:dyDescent="0.3">
      <c r="A204" s="1">
        <f t="shared" si="196"/>
        <v>17</v>
      </c>
      <c r="B204" s="1">
        <f t="shared" si="197"/>
        <v>1</v>
      </c>
      <c r="C204" s="2">
        <f t="shared" si="198"/>
        <v>379067521.42627269</v>
      </c>
      <c r="D204" s="2">
        <f t="shared" si="131"/>
        <v>17660804.418322835</v>
      </c>
      <c r="E204" s="2">
        <f t="shared" si="132"/>
        <v>6505108.4636607924</v>
      </c>
      <c r="F204" s="2">
        <f t="shared" si="129"/>
        <v>1766080.4418322835</v>
      </c>
      <c r="G204" s="2">
        <f t="shared" ref="G204" si="204">(H203+F204)*((1+$B$3)^(1/12)-1)</f>
        <v>3326426.8266781755</v>
      </c>
      <c r="H204" s="2">
        <f t="shared" si="200"/>
        <v>384160028.69478315</v>
      </c>
      <c r="I204" s="2">
        <f t="shared" si="134"/>
        <v>264148011.45527178</v>
      </c>
      <c r="J204" s="5">
        <f t="shared" ref="J204:J267" si="205">(H204/I204)</f>
        <v>1.4543362510220261</v>
      </c>
    </row>
    <row r="205" spans="1:10" x14ac:dyDescent="0.3">
      <c r="A205" s="1">
        <f t="shared" si="196"/>
        <v>17</v>
      </c>
      <c r="B205" s="1">
        <f t="shared" si="197"/>
        <v>2</v>
      </c>
      <c r="C205" s="2">
        <f t="shared" si="198"/>
        <v>384160028.69478315</v>
      </c>
      <c r="D205" s="2">
        <f t="shared" si="131"/>
        <v>17660804.418322835</v>
      </c>
      <c r="E205" s="2">
        <f t="shared" si="132"/>
        <v>6505108.4636607924</v>
      </c>
      <c r="F205" s="2">
        <f t="shared" ref="F205:F268" si="206">IF(OR(B205=6,B205=12),D205*$B$2*2,D205*$B$2)</f>
        <v>1766080.4418322835</v>
      </c>
      <c r="G205" s="2">
        <f t="shared" ref="G205" si="207">(H204+F205)*((1+$B$3)^(1/12)-1)</f>
        <v>3370907.8092121002</v>
      </c>
      <c r="H205" s="2">
        <f t="shared" si="200"/>
        <v>389297016.94582754</v>
      </c>
      <c r="I205" s="2">
        <f t="shared" si="134"/>
        <v>264148011.45527178</v>
      </c>
      <c r="J205" s="5">
        <f t="shared" si="205"/>
        <v>1.4737836366856287</v>
      </c>
    </row>
    <row r="206" spans="1:10" x14ac:dyDescent="0.3">
      <c r="A206" s="1">
        <f t="shared" si="196"/>
        <v>17</v>
      </c>
      <c r="B206" s="1">
        <f t="shared" si="197"/>
        <v>3</v>
      </c>
      <c r="C206" s="2">
        <f t="shared" si="198"/>
        <v>389297016.94582754</v>
      </c>
      <c r="D206" s="2">
        <f t="shared" ref="D206:D269" si="208">IF(B206&lt;&gt;1,D205,IF(AND(A206=3,B206=1),D205*2,IF(AND(A206=10,B206=1),D205*2,D205*(1+IF(D205&gt;E205,$B$6,$B$4)))))</f>
        <v>17660804.418322835</v>
      </c>
      <c r="E206" s="2">
        <f t="shared" ref="E206:E269" si="209">IF(B206&lt;&gt;1,E205,E205*(1+$B$4))</f>
        <v>6505108.4636607924</v>
      </c>
      <c r="F206" s="2">
        <f t="shared" si="206"/>
        <v>1766080.4418322835</v>
      </c>
      <c r="G206" s="2">
        <f t="shared" ref="G206" si="210">(H205+F206)*((1+$B$3)^(1/12)-1)</f>
        <v>3415777.3150613313</v>
      </c>
      <c r="H206" s="2">
        <f t="shared" si="200"/>
        <v>394478874.70272118</v>
      </c>
      <c r="I206" s="2">
        <f t="shared" ref="I206:I269" si="211">IF(B206=1,I205*(1+$B$5),I205)</f>
        <v>264148011.45527178</v>
      </c>
      <c r="J206" s="5">
        <f t="shared" si="205"/>
        <v>1.4934008873639328</v>
      </c>
    </row>
    <row r="207" spans="1:10" x14ac:dyDescent="0.3">
      <c r="A207" s="1">
        <f t="shared" si="196"/>
        <v>17</v>
      </c>
      <c r="B207" s="1">
        <f t="shared" si="197"/>
        <v>4</v>
      </c>
      <c r="C207" s="2">
        <f t="shared" si="198"/>
        <v>394478874.70272118</v>
      </c>
      <c r="D207" s="2">
        <f t="shared" si="208"/>
        <v>17660804.418322835</v>
      </c>
      <c r="E207" s="2">
        <f t="shared" si="209"/>
        <v>6505108.4636607924</v>
      </c>
      <c r="F207" s="2">
        <f t="shared" si="206"/>
        <v>1766080.4418322835</v>
      </c>
      <c r="G207" s="2">
        <f t="shared" ref="G207" si="212">(H206+F207)*((1+$B$3)^(1/12)-1)</f>
        <v>3461038.737819219</v>
      </c>
      <c r="H207" s="2">
        <f t="shared" si="200"/>
        <v>399705993.88237268</v>
      </c>
      <c r="I207" s="2">
        <f t="shared" si="211"/>
        <v>264148011.45527178</v>
      </c>
      <c r="J207" s="5">
        <f t="shared" si="205"/>
        <v>1.5131894867588467</v>
      </c>
    </row>
    <row r="208" spans="1:10" x14ac:dyDescent="0.3">
      <c r="A208" s="1">
        <f t="shared" si="196"/>
        <v>17</v>
      </c>
      <c r="B208" s="1">
        <f t="shared" si="197"/>
        <v>5</v>
      </c>
      <c r="C208" s="2">
        <f t="shared" si="198"/>
        <v>399705993.88237268</v>
      </c>
      <c r="D208" s="2">
        <f t="shared" si="208"/>
        <v>17660804.418322835</v>
      </c>
      <c r="E208" s="2">
        <f t="shared" si="209"/>
        <v>6505108.4636607924</v>
      </c>
      <c r="F208" s="2">
        <f t="shared" si="206"/>
        <v>1766080.4418322835</v>
      </c>
      <c r="G208" s="2">
        <f t="shared" ref="G208" si="213">(H207+F208)*((1+$B$3)^(1/12)-1)</f>
        <v>3506695.5007207724</v>
      </c>
      <c r="H208" s="2">
        <f t="shared" si="200"/>
        <v>404978769.82492578</v>
      </c>
      <c r="I208" s="2">
        <f t="shared" si="211"/>
        <v>264148011.45527178</v>
      </c>
      <c r="J208" s="5">
        <f t="shared" si="205"/>
        <v>1.5331509315318124</v>
      </c>
    </row>
    <row r="209" spans="1:10" x14ac:dyDescent="0.3">
      <c r="A209" s="1">
        <f t="shared" si="196"/>
        <v>17</v>
      </c>
      <c r="B209" s="1">
        <f t="shared" si="197"/>
        <v>6</v>
      </c>
      <c r="C209" s="2">
        <f t="shared" si="198"/>
        <v>404978769.82492578</v>
      </c>
      <c r="D209" s="2">
        <f t="shared" si="208"/>
        <v>17660804.418322835</v>
      </c>
      <c r="E209" s="2">
        <f t="shared" si="209"/>
        <v>6505108.4636607924</v>
      </c>
      <c r="F209" s="2">
        <f t="shared" si="206"/>
        <v>3532160.883664567</v>
      </c>
      <c r="G209" s="2">
        <f t="shared" ref="G209" si="214">(H208+F209)*((1+$B$3)^(1/12)-1)</f>
        <v>3568177.0522206938</v>
      </c>
      <c r="H209" s="2">
        <f t="shared" si="200"/>
        <v>412079107.76081103</v>
      </c>
      <c r="I209" s="2">
        <f t="shared" si="211"/>
        <v>264148011.45527178</v>
      </c>
      <c r="J209" s="5">
        <f t="shared" si="205"/>
        <v>1.5600310806450588</v>
      </c>
    </row>
    <row r="210" spans="1:10" x14ac:dyDescent="0.3">
      <c r="A210" s="1">
        <f t="shared" si="196"/>
        <v>17</v>
      </c>
      <c r="B210" s="1">
        <f t="shared" si="197"/>
        <v>7</v>
      </c>
      <c r="C210" s="2">
        <f t="shared" si="198"/>
        <v>412079107.76081103</v>
      </c>
      <c r="D210" s="2">
        <f t="shared" si="208"/>
        <v>17660804.418322835</v>
      </c>
      <c r="E210" s="2">
        <f t="shared" si="209"/>
        <v>6505108.4636607924</v>
      </c>
      <c r="F210" s="2">
        <f t="shared" si="206"/>
        <v>1766080.4418322835</v>
      </c>
      <c r="G210" s="2">
        <f t="shared" ref="G210" si="215">(H209+F210)*((1+$B$3)^(1/12)-1)</f>
        <v>3614769.6247814847</v>
      </c>
      <c r="H210" s="2">
        <f t="shared" si="200"/>
        <v>417459957.82742482</v>
      </c>
      <c r="I210" s="2">
        <f t="shared" si="211"/>
        <v>264148011.45527178</v>
      </c>
      <c r="J210" s="5">
        <f t="shared" si="205"/>
        <v>1.5804016677146684</v>
      </c>
    </row>
    <row r="211" spans="1:10" x14ac:dyDescent="0.3">
      <c r="A211" s="1">
        <f t="shared" si="196"/>
        <v>17</v>
      </c>
      <c r="B211" s="1">
        <f t="shared" si="197"/>
        <v>8</v>
      </c>
      <c r="C211" s="2">
        <f t="shared" si="198"/>
        <v>417459957.82742482</v>
      </c>
      <c r="D211" s="2">
        <f t="shared" si="208"/>
        <v>17660804.418322835</v>
      </c>
      <c r="E211" s="2">
        <f t="shared" si="209"/>
        <v>6505108.4636607924</v>
      </c>
      <c r="F211" s="2">
        <f t="shared" si="206"/>
        <v>1766080.4418322835</v>
      </c>
      <c r="G211" s="2">
        <f t="shared" ref="G211" si="216">(H210+F211)*((1+$B$3)^(1/12)-1)</f>
        <v>3661769.1645387881</v>
      </c>
      <c r="H211" s="2">
        <f t="shared" si="200"/>
        <v>422887807.43379593</v>
      </c>
      <c r="I211" s="2">
        <f t="shared" si="211"/>
        <v>264148011.45527178</v>
      </c>
      <c r="J211" s="5">
        <f t="shared" si="205"/>
        <v>1.600950183588278</v>
      </c>
    </row>
    <row r="212" spans="1:10" x14ac:dyDescent="0.3">
      <c r="A212" s="1">
        <f t="shared" si="196"/>
        <v>17</v>
      </c>
      <c r="B212" s="1">
        <f t="shared" si="197"/>
        <v>9</v>
      </c>
      <c r="C212" s="2">
        <f t="shared" si="198"/>
        <v>422887807.43379593</v>
      </c>
      <c r="D212" s="2">
        <f t="shared" si="208"/>
        <v>17660804.418322835</v>
      </c>
      <c r="E212" s="2">
        <f t="shared" si="209"/>
        <v>6505108.4636607924</v>
      </c>
      <c r="F212" s="2">
        <f t="shared" si="206"/>
        <v>1766080.4418322835</v>
      </c>
      <c r="G212" s="2">
        <f t="shared" ref="G212" si="217">(H211+F212)*((1+$B$3)^(1/12)-1)</f>
        <v>3709179.226185766</v>
      </c>
      <c r="H212" s="2">
        <f t="shared" si="200"/>
        <v>428363067.10181397</v>
      </c>
      <c r="I212" s="2">
        <f t="shared" si="211"/>
        <v>264148011.45527178</v>
      </c>
      <c r="J212" s="5">
        <f t="shared" si="205"/>
        <v>1.6216781824017203</v>
      </c>
    </row>
    <row r="213" spans="1:10" x14ac:dyDescent="0.3">
      <c r="A213" s="1">
        <f t="shared" si="196"/>
        <v>17</v>
      </c>
      <c r="B213" s="1">
        <f t="shared" si="197"/>
        <v>10</v>
      </c>
      <c r="C213" s="2">
        <f t="shared" si="198"/>
        <v>428363067.10181397</v>
      </c>
      <c r="D213" s="2">
        <f t="shared" si="208"/>
        <v>17660804.418322835</v>
      </c>
      <c r="E213" s="2">
        <f t="shared" si="209"/>
        <v>6505108.4636607924</v>
      </c>
      <c r="F213" s="2">
        <f t="shared" si="206"/>
        <v>1766080.4418322835</v>
      </c>
      <c r="G213" s="2">
        <f t="shared" ref="G213" si="218">(H212+F213)*((1+$B$3)^(1/12)-1)</f>
        <v>3757003.3954643793</v>
      </c>
      <c r="H213" s="2">
        <f t="shared" si="200"/>
        <v>433886150.93911064</v>
      </c>
      <c r="I213" s="2">
        <f t="shared" si="211"/>
        <v>264148011.45527178</v>
      </c>
      <c r="J213" s="5">
        <f t="shared" si="205"/>
        <v>1.6425872318655734</v>
      </c>
    </row>
    <row r="214" spans="1:10" x14ac:dyDescent="0.3">
      <c r="A214" s="1">
        <f t="shared" si="196"/>
        <v>17</v>
      </c>
      <c r="B214" s="1">
        <f t="shared" si="197"/>
        <v>11</v>
      </c>
      <c r="C214" s="2">
        <f t="shared" si="198"/>
        <v>433886150.93911064</v>
      </c>
      <c r="D214" s="2">
        <f t="shared" si="208"/>
        <v>17660804.418322835</v>
      </c>
      <c r="E214" s="2">
        <f t="shared" si="209"/>
        <v>6505108.4636607924</v>
      </c>
      <c r="F214" s="2">
        <f t="shared" si="206"/>
        <v>1766080.4418322835</v>
      </c>
      <c r="G214" s="2">
        <f t="shared" ref="G214" si="219">(H213+F214)*((1+$B$3)^(1/12)-1)</f>
        <v>3805245.2894365899</v>
      </c>
      <c r="H214" s="2">
        <f t="shared" si="200"/>
        <v>439457476.67037952</v>
      </c>
      <c r="I214" s="2">
        <f t="shared" si="211"/>
        <v>264148011.45527178</v>
      </c>
      <c r="J214" s="5">
        <f t="shared" si="205"/>
        <v>1.6636789133837295</v>
      </c>
    </row>
    <row r="215" spans="1:10" x14ac:dyDescent="0.3">
      <c r="A215" s="1">
        <f t="shared" si="196"/>
        <v>17</v>
      </c>
      <c r="B215" s="1">
        <f t="shared" si="197"/>
        <v>12</v>
      </c>
      <c r="C215" s="2">
        <f t="shared" si="198"/>
        <v>439457476.67037952</v>
      </c>
      <c r="D215" s="2">
        <f t="shared" si="208"/>
        <v>17660804.418322835</v>
      </c>
      <c r="E215" s="2">
        <f t="shared" si="209"/>
        <v>6505108.4636607924</v>
      </c>
      <c r="F215" s="2">
        <f t="shared" si="206"/>
        <v>3532160.883664567</v>
      </c>
      <c r="G215" s="2">
        <f t="shared" ref="G215" si="220">(H214+F215)*((1+$B$3)^(1/12)-1)</f>
        <v>3869334.5520770508</v>
      </c>
      <c r="H215" s="2">
        <f t="shared" si="200"/>
        <v>446858972.10612112</v>
      </c>
      <c r="I215" s="2">
        <f t="shared" si="211"/>
        <v>264148011.45527178</v>
      </c>
      <c r="J215" s="5">
        <f t="shared" si="205"/>
        <v>1.6916991714010605</v>
      </c>
    </row>
    <row r="216" spans="1:10" x14ac:dyDescent="0.3">
      <c r="A216" s="1">
        <f t="shared" si="196"/>
        <v>18</v>
      </c>
      <c r="B216" s="1">
        <f t="shared" si="197"/>
        <v>1</v>
      </c>
      <c r="C216" s="2">
        <f t="shared" si="198"/>
        <v>446858972.10612112</v>
      </c>
      <c r="D216" s="2">
        <f t="shared" si="208"/>
        <v>18663938.10928357</v>
      </c>
      <c r="E216" s="2">
        <f t="shared" si="209"/>
        <v>7002749.2611308433</v>
      </c>
      <c r="F216" s="2">
        <f t="shared" si="206"/>
        <v>1866393.8109283571</v>
      </c>
      <c r="G216" s="2">
        <f t="shared" ref="G216" si="221">(H215+F216)*((1+$B$3)^(1/12)-1)</f>
        <v>3919433.8096101293</v>
      </c>
      <c r="H216" s="2">
        <f t="shared" si="200"/>
        <v>452644799.7266596</v>
      </c>
      <c r="I216" s="2">
        <f t="shared" si="211"/>
        <v>273657339.8676616</v>
      </c>
      <c r="J216" s="5">
        <f t="shared" si="205"/>
        <v>1.6540568579141888</v>
      </c>
    </row>
    <row r="217" spans="1:10" x14ac:dyDescent="0.3">
      <c r="A217" s="1">
        <f t="shared" si="196"/>
        <v>18</v>
      </c>
      <c r="B217" s="1">
        <f t="shared" si="197"/>
        <v>2</v>
      </c>
      <c r="C217" s="2">
        <f t="shared" si="198"/>
        <v>452644799.7266596</v>
      </c>
      <c r="D217" s="2">
        <f t="shared" si="208"/>
        <v>18663938.10928357</v>
      </c>
      <c r="E217" s="2">
        <f t="shared" si="209"/>
        <v>7002749.2611308433</v>
      </c>
      <c r="F217" s="2">
        <f t="shared" si="206"/>
        <v>1866393.8109283571</v>
      </c>
      <c r="G217" s="2">
        <f t="shared" ref="G217" si="222">(H216+F217)*((1+$B$3)^(1/12)-1)</f>
        <v>3969970.6638086205</v>
      </c>
      <c r="H217" s="2">
        <f t="shared" si="200"/>
        <v>458481164.20139658</v>
      </c>
      <c r="I217" s="2">
        <f t="shared" si="211"/>
        <v>273657339.8676616</v>
      </c>
      <c r="J217" s="5">
        <f t="shared" si="205"/>
        <v>1.6753841297409171</v>
      </c>
    </row>
    <row r="218" spans="1:10" x14ac:dyDescent="0.3">
      <c r="A218" s="1">
        <f t="shared" si="196"/>
        <v>18</v>
      </c>
      <c r="B218" s="1">
        <f t="shared" si="197"/>
        <v>3</v>
      </c>
      <c r="C218" s="2">
        <f t="shared" si="198"/>
        <v>458481164.20139658</v>
      </c>
      <c r="D218" s="2">
        <f t="shared" si="208"/>
        <v>18663938.10928357</v>
      </c>
      <c r="E218" s="2">
        <f t="shared" si="209"/>
        <v>7002749.2611308433</v>
      </c>
      <c r="F218" s="2">
        <f t="shared" si="206"/>
        <v>1866393.8109283571</v>
      </c>
      <c r="G218" s="2">
        <f t="shared" ref="G218" si="223">(H217+F218)*((1+$B$3)^(1/12)-1)</f>
        <v>4020948.936901656</v>
      </c>
      <c r="H218" s="2">
        <f t="shared" si="200"/>
        <v>464368506.94922656</v>
      </c>
      <c r="I218" s="2">
        <f t="shared" si="211"/>
        <v>273657339.8676616</v>
      </c>
      <c r="J218" s="5">
        <f t="shared" si="205"/>
        <v>1.6968976866244161</v>
      </c>
    </row>
    <row r="219" spans="1:10" x14ac:dyDescent="0.3">
      <c r="A219" s="1">
        <f t="shared" si="196"/>
        <v>18</v>
      </c>
      <c r="B219" s="1">
        <f t="shared" si="197"/>
        <v>4</v>
      </c>
      <c r="C219" s="2">
        <f t="shared" si="198"/>
        <v>464368506.94922656</v>
      </c>
      <c r="D219" s="2">
        <f t="shared" si="208"/>
        <v>18663938.10928357</v>
      </c>
      <c r="E219" s="2">
        <f t="shared" si="209"/>
        <v>7002749.2611308433</v>
      </c>
      <c r="F219" s="2">
        <f t="shared" si="206"/>
        <v>1866393.8109283571</v>
      </c>
      <c r="G219" s="2">
        <f t="shared" ref="G219" si="224">(H218+F219)*((1+$B$3)^(1/12)-1)</f>
        <v>4072372.4845039849</v>
      </c>
      <c r="H219" s="2">
        <f t="shared" si="200"/>
        <v>470307273.24465889</v>
      </c>
      <c r="I219" s="2">
        <f t="shared" si="211"/>
        <v>273657339.8676616</v>
      </c>
      <c r="J219" s="5">
        <f t="shared" si="205"/>
        <v>1.7185991556889926</v>
      </c>
    </row>
    <row r="220" spans="1:10" x14ac:dyDescent="0.3">
      <c r="A220" s="1">
        <f t="shared" si="196"/>
        <v>18</v>
      </c>
      <c r="B220" s="1">
        <f t="shared" si="197"/>
        <v>5</v>
      </c>
      <c r="C220" s="2">
        <f t="shared" si="198"/>
        <v>470307273.24465889</v>
      </c>
      <c r="D220" s="2">
        <f t="shared" si="208"/>
        <v>18663938.10928357</v>
      </c>
      <c r="E220" s="2">
        <f t="shared" si="209"/>
        <v>7002749.2611308433</v>
      </c>
      <c r="F220" s="2">
        <f t="shared" si="206"/>
        <v>1866393.8109283571</v>
      </c>
      <c r="G220" s="2">
        <f t="shared" ref="G220" si="225">(H219+F220)*((1+$B$3)^(1/12)-1)</f>
        <v>4124245.1959075863</v>
      </c>
      <c r="H220" s="2">
        <f t="shared" si="200"/>
        <v>476297912.25149482</v>
      </c>
      <c r="I220" s="2">
        <f t="shared" si="211"/>
        <v>273657339.8676616</v>
      </c>
      <c r="J220" s="5">
        <f t="shared" si="205"/>
        <v>1.7404901782712223</v>
      </c>
    </row>
    <row r="221" spans="1:10" x14ac:dyDescent="0.3">
      <c r="A221" s="1">
        <f t="shared" si="196"/>
        <v>18</v>
      </c>
      <c r="B221" s="1">
        <f t="shared" si="197"/>
        <v>6</v>
      </c>
      <c r="C221" s="2">
        <f t="shared" si="198"/>
        <v>476297912.25149482</v>
      </c>
      <c r="D221" s="2">
        <f t="shared" si="208"/>
        <v>18663938.10928357</v>
      </c>
      <c r="E221" s="2">
        <f t="shared" si="209"/>
        <v>7002749.2611308433</v>
      </c>
      <c r="F221" s="2">
        <f t="shared" si="206"/>
        <v>3732787.6218567141</v>
      </c>
      <c r="G221" s="2">
        <f t="shared" ref="G221" si="226">(H220+F221)*((1+$B$3)^(1/12)-1)</f>
        <v>4192873.1862290748</v>
      </c>
      <c r="H221" s="2">
        <f t="shared" si="200"/>
        <v>484223573.05958056</v>
      </c>
      <c r="I221" s="2">
        <f t="shared" si="211"/>
        <v>273657339.8676616</v>
      </c>
      <c r="J221" s="5">
        <f t="shared" si="205"/>
        <v>1.7694521670558774</v>
      </c>
    </row>
    <row r="222" spans="1:10" x14ac:dyDescent="0.3">
      <c r="A222" s="1">
        <f t="shared" si="196"/>
        <v>18</v>
      </c>
      <c r="B222" s="1">
        <f t="shared" si="197"/>
        <v>7</v>
      </c>
      <c r="C222" s="2">
        <f t="shared" si="198"/>
        <v>484223573.05958056</v>
      </c>
      <c r="D222" s="2">
        <f t="shared" si="208"/>
        <v>18663938.10928357</v>
      </c>
      <c r="E222" s="2">
        <f t="shared" si="209"/>
        <v>7002749.2611308433</v>
      </c>
      <c r="F222" s="2">
        <f t="shared" si="206"/>
        <v>1866393.8109283571</v>
      </c>
      <c r="G222" s="2">
        <f t="shared" ref="G222" si="227">(H221+F222)*((1+$B$3)^(1/12)-1)</f>
        <v>4245798.4223176977</v>
      </c>
      <c r="H222" s="2">
        <f t="shared" si="200"/>
        <v>490335765.29282659</v>
      </c>
      <c r="I222" s="2">
        <f t="shared" si="211"/>
        <v>273657339.8676616</v>
      </c>
      <c r="J222" s="5">
        <f t="shared" si="205"/>
        <v>1.7917873700371014</v>
      </c>
    </row>
    <row r="223" spans="1:10" x14ac:dyDescent="0.3">
      <c r="A223" s="1">
        <f t="shared" si="196"/>
        <v>18</v>
      </c>
      <c r="B223" s="1">
        <f t="shared" si="197"/>
        <v>8</v>
      </c>
      <c r="C223" s="2">
        <f t="shared" si="198"/>
        <v>490335765.29282659</v>
      </c>
      <c r="D223" s="2">
        <f t="shared" si="208"/>
        <v>18663938.10928357</v>
      </c>
      <c r="E223" s="2">
        <f t="shared" si="209"/>
        <v>7002749.2611308433</v>
      </c>
      <c r="F223" s="2">
        <f t="shared" si="206"/>
        <v>1866393.8109283571</v>
      </c>
      <c r="G223" s="2">
        <f t="shared" ref="G223" si="228">(H222+F223)*((1+$B$3)^(1/12)-1)</f>
        <v>4299185.9388465704</v>
      </c>
      <c r="H223" s="2">
        <f t="shared" si="200"/>
        <v>496501345.04260153</v>
      </c>
      <c r="I223" s="2">
        <f t="shared" si="211"/>
        <v>273657339.8676616</v>
      </c>
      <c r="J223" s="5">
        <f t="shared" si="205"/>
        <v>1.8143176619443331</v>
      </c>
    </row>
    <row r="224" spans="1:10" x14ac:dyDescent="0.3">
      <c r="A224" s="1">
        <f t="shared" si="196"/>
        <v>18</v>
      </c>
      <c r="B224" s="1">
        <f t="shared" si="197"/>
        <v>9</v>
      </c>
      <c r="C224" s="2">
        <f t="shared" si="198"/>
        <v>496501345.04260153</v>
      </c>
      <c r="D224" s="2">
        <f t="shared" si="208"/>
        <v>18663938.10928357</v>
      </c>
      <c r="E224" s="2">
        <f t="shared" si="209"/>
        <v>7002749.2611308433</v>
      </c>
      <c r="F224" s="2">
        <f t="shared" si="206"/>
        <v>1866393.8109283571</v>
      </c>
      <c r="G224" s="2">
        <f t="shared" ref="G224" si="229">(H223+F224)*((1+$B$3)^(1/12)-1)</f>
        <v>4353039.773647571</v>
      </c>
      <c r="H224" s="2">
        <f t="shared" si="200"/>
        <v>502720778.62717742</v>
      </c>
      <c r="I224" s="2">
        <f t="shared" si="211"/>
        <v>273657339.8676616</v>
      </c>
      <c r="J224" s="5">
        <f t="shared" si="205"/>
        <v>1.8370447468001003</v>
      </c>
    </row>
    <row r="225" spans="1:10" x14ac:dyDescent="0.3">
      <c r="A225" s="1">
        <f t="shared" si="196"/>
        <v>18</v>
      </c>
      <c r="B225" s="1">
        <f t="shared" si="197"/>
        <v>10</v>
      </c>
      <c r="C225" s="2">
        <f t="shared" si="198"/>
        <v>502720778.62717742</v>
      </c>
      <c r="D225" s="2">
        <f t="shared" si="208"/>
        <v>18663938.10928357</v>
      </c>
      <c r="E225" s="2">
        <f t="shared" si="209"/>
        <v>7002749.2611308433</v>
      </c>
      <c r="F225" s="2">
        <f t="shared" si="206"/>
        <v>1866393.8109283571</v>
      </c>
      <c r="G225" s="2">
        <f t="shared" ref="G225" si="230">(H224+F225)*((1+$B$3)^(1/12)-1)</f>
        <v>4407363.9998213993</v>
      </c>
      <c r="H225" s="2">
        <f t="shared" si="200"/>
        <v>508994536.43792719</v>
      </c>
      <c r="I225" s="2">
        <f t="shared" si="211"/>
        <v>273657339.8676616</v>
      </c>
      <c r="J225" s="5">
        <f t="shared" si="205"/>
        <v>1.8599703435108763</v>
      </c>
    </row>
    <row r="226" spans="1:10" x14ac:dyDescent="0.3">
      <c r="A226" s="1">
        <f t="shared" si="196"/>
        <v>18</v>
      </c>
      <c r="B226" s="1">
        <f t="shared" si="197"/>
        <v>11</v>
      </c>
      <c r="C226" s="2">
        <f t="shared" si="198"/>
        <v>508994536.43792719</v>
      </c>
      <c r="D226" s="2">
        <f t="shared" si="208"/>
        <v>18663938.10928357</v>
      </c>
      <c r="E226" s="2">
        <f t="shared" si="209"/>
        <v>7002749.2611308433</v>
      </c>
      <c r="F226" s="2">
        <f t="shared" si="206"/>
        <v>1866393.8109283571</v>
      </c>
      <c r="G226" s="2">
        <f t="shared" ref="G226" si="231">(H225+F226)*((1+$B$3)^(1/12)-1)</f>
        <v>4462162.7260456346</v>
      </c>
      <c r="H226" s="2">
        <f t="shared" si="200"/>
        <v>515323092.97490114</v>
      </c>
      <c r="I226" s="2">
        <f t="shared" si="211"/>
        <v>273657339.8676616</v>
      </c>
      <c r="J226" s="5">
        <f t="shared" si="205"/>
        <v>1.8830961859970834</v>
      </c>
    </row>
    <row r="227" spans="1:10" x14ac:dyDescent="0.3">
      <c r="A227" s="1">
        <f t="shared" si="196"/>
        <v>18</v>
      </c>
      <c r="B227" s="1">
        <f t="shared" si="197"/>
        <v>12</v>
      </c>
      <c r="C227" s="2">
        <f t="shared" si="198"/>
        <v>515323092.97490114</v>
      </c>
      <c r="D227" s="2">
        <f t="shared" si="208"/>
        <v>18663938.10928357</v>
      </c>
      <c r="E227" s="2">
        <f t="shared" si="209"/>
        <v>7002749.2611308433</v>
      </c>
      <c r="F227" s="2">
        <f t="shared" si="206"/>
        <v>3732787.6218567141</v>
      </c>
      <c r="G227" s="2">
        <f t="shared" ref="G227" si="232">(H226+F227)*((1+$B$3)^(1/12)-1)</f>
        <v>4533742.2887387369</v>
      </c>
      <c r="H227" s="2">
        <f t="shared" si="200"/>
        <v>523589622.88549656</v>
      </c>
      <c r="I227" s="2">
        <f t="shared" si="211"/>
        <v>273657339.8676616</v>
      </c>
      <c r="J227" s="5">
        <f t="shared" si="205"/>
        <v>1.9133037803360222</v>
      </c>
    </row>
    <row r="228" spans="1:10" x14ac:dyDescent="0.3">
      <c r="A228" s="1">
        <f t="shared" si="196"/>
        <v>19</v>
      </c>
      <c r="B228" s="1">
        <f t="shared" si="197"/>
        <v>1</v>
      </c>
      <c r="C228" s="2">
        <f t="shared" si="198"/>
        <v>523589622.88549656</v>
      </c>
      <c r="D228" s="2">
        <f t="shared" si="208"/>
        <v>19724049.793890875</v>
      </c>
      <c r="E228" s="2">
        <f t="shared" si="209"/>
        <v>7538459.5796073526</v>
      </c>
      <c r="F228" s="2">
        <f t="shared" si="206"/>
        <v>1972404.9793890875</v>
      </c>
      <c r="G228" s="2">
        <f t="shared" ref="G228" si="233">(H227+F228)*((1+$B$3)^(1/12)-1)</f>
        <v>4590570.8424820444</v>
      </c>
      <c r="H228" s="2">
        <f t="shared" si="200"/>
        <v>530152598.70736766</v>
      </c>
      <c r="I228" s="2">
        <f t="shared" si="211"/>
        <v>283509004.10289741</v>
      </c>
      <c r="J228" s="5">
        <f t="shared" si="205"/>
        <v>1.8699674120930314</v>
      </c>
    </row>
    <row r="229" spans="1:10" x14ac:dyDescent="0.3">
      <c r="A229" s="1">
        <f t="shared" si="196"/>
        <v>19</v>
      </c>
      <c r="B229" s="1">
        <f t="shared" si="197"/>
        <v>2</v>
      </c>
      <c r="C229" s="2">
        <f t="shared" si="198"/>
        <v>530152598.70736766</v>
      </c>
      <c r="D229" s="2">
        <f t="shared" si="208"/>
        <v>19724049.793890875</v>
      </c>
      <c r="E229" s="2">
        <f t="shared" si="209"/>
        <v>7538459.5796073526</v>
      </c>
      <c r="F229" s="2">
        <f t="shared" si="206"/>
        <v>1972404.9793890875</v>
      </c>
      <c r="G229" s="2">
        <f t="shared" ref="G229" si="234">(H228+F229)*((1+$B$3)^(1/12)-1)</f>
        <v>4647895.7705598809</v>
      </c>
      <c r="H229" s="2">
        <f t="shared" si="200"/>
        <v>536772899.45731664</v>
      </c>
      <c r="I229" s="2">
        <f t="shared" si="211"/>
        <v>283509004.10289741</v>
      </c>
      <c r="J229" s="5">
        <f t="shared" si="205"/>
        <v>1.8933187013083332</v>
      </c>
    </row>
    <row r="230" spans="1:10" x14ac:dyDescent="0.3">
      <c r="A230" s="1">
        <f t="shared" si="196"/>
        <v>19</v>
      </c>
      <c r="B230" s="1">
        <f t="shared" si="197"/>
        <v>3</v>
      </c>
      <c r="C230" s="2">
        <f t="shared" si="198"/>
        <v>536772899.45731664</v>
      </c>
      <c r="D230" s="2">
        <f t="shared" si="208"/>
        <v>19724049.793890875</v>
      </c>
      <c r="E230" s="2">
        <f t="shared" si="209"/>
        <v>7538459.5796073526</v>
      </c>
      <c r="F230" s="2">
        <f t="shared" si="206"/>
        <v>1972404.9793890875</v>
      </c>
      <c r="G230" s="2">
        <f t="shared" ref="G230" si="235">(H229+F230)*((1+$B$3)^(1/12)-1)</f>
        <v>4705721.4086004412</v>
      </c>
      <c r="H230" s="2">
        <f t="shared" si="200"/>
        <v>543451025.84530616</v>
      </c>
      <c r="I230" s="2">
        <f t="shared" si="211"/>
        <v>283509004.10289741</v>
      </c>
      <c r="J230" s="5">
        <f t="shared" si="205"/>
        <v>1.9168739545501872</v>
      </c>
    </row>
    <row r="231" spans="1:10" x14ac:dyDescent="0.3">
      <c r="A231" s="1">
        <f t="shared" si="196"/>
        <v>19</v>
      </c>
      <c r="B231" s="1">
        <f t="shared" si="197"/>
        <v>4</v>
      </c>
      <c r="C231" s="2">
        <f t="shared" si="198"/>
        <v>543451025.84530616</v>
      </c>
      <c r="D231" s="2">
        <f t="shared" si="208"/>
        <v>19724049.793890875</v>
      </c>
      <c r="E231" s="2">
        <f t="shared" si="209"/>
        <v>7538459.5796073526</v>
      </c>
      <c r="F231" s="2">
        <f t="shared" si="206"/>
        <v>1972404.9793890875</v>
      </c>
      <c r="G231" s="2">
        <f t="shared" ref="G231" si="236">(H230+F231)*((1+$B$3)^(1/12)-1)</f>
        <v>4764052.1301018735</v>
      </c>
      <c r="H231" s="2">
        <f t="shared" si="200"/>
        <v>550187482.95479715</v>
      </c>
      <c r="I231" s="2">
        <f t="shared" si="211"/>
        <v>283509004.10289741</v>
      </c>
      <c r="J231" s="5">
        <f t="shared" si="205"/>
        <v>1.9406349533615195</v>
      </c>
    </row>
    <row r="232" spans="1:10" x14ac:dyDescent="0.3">
      <c r="A232" s="1">
        <f t="shared" si="196"/>
        <v>19</v>
      </c>
      <c r="B232" s="1">
        <f t="shared" si="197"/>
        <v>5</v>
      </c>
      <c r="C232" s="2">
        <f t="shared" si="198"/>
        <v>550187482.95479715</v>
      </c>
      <c r="D232" s="2">
        <f t="shared" si="208"/>
        <v>19724049.793890875</v>
      </c>
      <c r="E232" s="2">
        <f t="shared" si="209"/>
        <v>7538459.5796073526</v>
      </c>
      <c r="F232" s="2">
        <f t="shared" si="206"/>
        <v>1972404.9793890875</v>
      </c>
      <c r="G232" s="2">
        <f t="shared" ref="G232" si="237">(H231+F232)*((1+$B$3)^(1/12)-1)</f>
        <v>4822892.3467630558</v>
      </c>
      <c r="H232" s="2">
        <f t="shared" si="200"/>
        <v>556982780.28094923</v>
      </c>
      <c r="I232" s="2">
        <f t="shared" si="211"/>
        <v>283509004.10289741</v>
      </c>
      <c r="J232" s="5">
        <f t="shared" si="205"/>
        <v>1.9646034948463105</v>
      </c>
    </row>
    <row r="233" spans="1:10" x14ac:dyDescent="0.3">
      <c r="A233" s="1">
        <f t="shared" si="196"/>
        <v>19</v>
      </c>
      <c r="B233" s="1">
        <f t="shared" si="197"/>
        <v>6</v>
      </c>
      <c r="C233" s="2">
        <f t="shared" si="198"/>
        <v>556982780.28094923</v>
      </c>
      <c r="D233" s="2">
        <f t="shared" si="208"/>
        <v>19724049.793890875</v>
      </c>
      <c r="E233" s="2">
        <f t="shared" si="209"/>
        <v>7538459.5796073526</v>
      </c>
      <c r="F233" s="2">
        <f t="shared" si="206"/>
        <v>3944809.9587781751</v>
      </c>
      <c r="G233" s="2">
        <f t="shared" ref="G233" si="238">(H232+F233)*((1+$B$3)^(1/12)-1)</f>
        <v>4899474.6651677769</v>
      </c>
      <c r="H233" s="2">
        <f t="shared" si="200"/>
        <v>565827064.90489519</v>
      </c>
      <c r="I233" s="2">
        <f t="shared" si="211"/>
        <v>283509004.10289741</v>
      </c>
      <c r="J233" s="5">
        <f t="shared" si="205"/>
        <v>1.995799275212905</v>
      </c>
    </row>
    <row r="234" spans="1:10" x14ac:dyDescent="0.3">
      <c r="A234" s="1">
        <f t="shared" si="196"/>
        <v>19</v>
      </c>
      <c r="B234" s="1">
        <f t="shared" si="197"/>
        <v>7</v>
      </c>
      <c r="C234" s="2">
        <f t="shared" si="198"/>
        <v>565827064.90489519</v>
      </c>
      <c r="D234" s="2">
        <f t="shared" si="208"/>
        <v>19724049.793890875</v>
      </c>
      <c r="E234" s="2">
        <f t="shared" si="209"/>
        <v>7538459.5796073526</v>
      </c>
      <c r="F234" s="2">
        <f t="shared" si="206"/>
        <v>1972404.9793890875</v>
      </c>
      <c r="G234" s="2">
        <f t="shared" ref="G234" si="239">(H233+F234)*((1+$B$3)^(1/12)-1)</f>
        <v>4959497.7426673155</v>
      </c>
      <c r="H234" s="2">
        <f t="shared" si="200"/>
        <v>572758967.62695158</v>
      </c>
      <c r="I234" s="2">
        <f t="shared" si="211"/>
        <v>283509004.10289741</v>
      </c>
      <c r="J234" s="5">
        <f t="shared" si="205"/>
        <v>2.0202496546426199</v>
      </c>
    </row>
    <row r="235" spans="1:10" x14ac:dyDescent="0.3">
      <c r="A235" s="1">
        <f t="shared" si="196"/>
        <v>19</v>
      </c>
      <c r="B235" s="1">
        <f t="shared" si="197"/>
        <v>8</v>
      </c>
      <c r="C235" s="2">
        <f t="shared" si="198"/>
        <v>572758967.62695158</v>
      </c>
      <c r="D235" s="2">
        <f t="shared" si="208"/>
        <v>19724049.793890875</v>
      </c>
      <c r="E235" s="2">
        <f t="shared" si="209"/>
        <v>7538459.5796073526</v>
      </c>
      <c r="F235" s="2">
        <f t="shared" si="206"/>
        <v>1972404.9793890875</v>
      </c>
      <c r="G235" s="2">
        <f t="shared" ref="G235" si="240">(H234+F235)*((1+$B$3)^(1/12)-1)</f>
        <v>5020045.0973688522</v>
      </c>
      <c r="H235" s="2">
        <f t="shared" si="200"/>
        <v>579751417.70370948</v>
      </c>
      <c r="I235" s="2">
        <f t="shared" si="211"/>
        <v>283509004.10289741</v>
      </c>
      <c r="J235" s="5">
        <f t="shared" si="205"/>
        <v>2.0449135982054849</v>
      </c>
    </row>
    <row r="236" spans="1:10" x14ac:dyDescent="0.3">
      <c r="A236" s="1">
        <f t="shared" si="196"/>
        <v>19</v>
      </c>
      <c r="B236" s="1">
        <f t="shared" si="197"/>
        <v>9</v>
      </c>
      <c r="C236" s="2">
        <f t="shared" si="198"/>
        <v>579751417.70370948</v>
      </c>
      <c r="D236" s="2">
        <f t="shared" si="208"/>
        <v>19724049.793890875</v>
      </c>
      <c r="E236" s="2">
        <f t="shared" si="209"/>
        <v>7538459.5796073526</v>
      </c>
      <c r="F236" s="2">
        <f t="shared" si="206"/>
        <v>1972404.9793890875</v>
      </c>
      <c r="G236" s="2">
        <f t="shared" ref="G236" si="241">(H235+F236)*((1+$B$3)^(1/12)-1)</f>
        <v>5081121.3086207965</v>
      </c>
      <c r="H236" s="2">
        <f t="shared" si="200"/>
        <v>586804943.99171937</v>
      </c>
      <c r="I236" s="2">
        <f t="shared" si="211"/>
        <v>283509004.10289741</v>
      </c>
      <c r="J236" s="5">
        <f t="shared" si="205"/>
        <v>2.0697929712974585</v>
      </c>
    </row>
    <row r="237" spans="1:10" x14ac:dyDescent="0.3">
      <c r="A237" s="1">
        <f t="shared" si="196"/>
        <v>19</v>
      </c>
      <c r="B237" s="1">
        <f t="shared" si="197"/>
        <v>10</v>
      </c>
      <c r="C237" s="2">
        <f t="shared" si="198"/>
        <v>586804943.99171937</v>
      </c>
      <c r="D237" s="2">
        <f t="shared" si="208"/>
        <v>19724049.793890875</v>
      </c>
      <c r="E237" s="2">
        <f t="shared" si="209"/>
        <v>7538459.5796073526</v>
      </c>
      <c r="F237" s="2">
        <f t="shared" si="206"/>
        <v>1972404.9793890875</v>
      </c>
      <c r="G237" s="2">
        <f t="shared" ref="G237" si="242">(H236+F237)*((1+$B$3)^(1/12)-1)</f>
        <v>5142730.9957703091</v>
      </c>
      <c r="H237" s="2">
        <f t="shared" si="200"/>
        <v>593920079.96687877</v>
      </c>
      <c r="I237" s="2">
        <f t="shared" si="211"/>
        <v>283509004.10289741</v>
      </c>
      <c r="J237" s="5">
        <f t="shared" si="205"/>
        <v>2.0948896556079752</v>
      </c>
    </row>
    <row r="238" spans="1:10" x14ac:dyDescent="0.3">
      <c r="A238" s="1">
        <f t="shared" si="196"/>
        <v>19</v>
      </c>
      <c r="B238" s="1">
        <f t="shared" si="197"/>
        <v>11</v>
      </c>
      <c r="C238" s="2">
        <f t="shared" si="198"/>
        <v>593920079.96687877</v>
      </c>
      <c r="D238" s="2">
        <f t="shared" si="208"/>
        <v>19724049.793890875</v>
      </c>
      <c r="E238" s="2">
        <f t="shared" si="209"/>
        <v>7538459.5796073526</v>
      </c>
      <c r="F238" s="2">
        <f t="shared" si="206"/>
        <v>1972404.9793890875</v>
      </c>
      <c r="G238" s="2">
        <f t="shared" ref="G238" si="243">(H237+F238)*((1+$B$3)^(1/12)-1)</f>
        <v>5204878.8185126679</v>
      </c>
      <c r="H238" s="2">
        <f t="shared" si="200"/>
        <v>601097363.76478052</v>
      </c>
      <c r="I238" s="2">
        <f t="shared" si="211"/>
        <v>283509004.10289741</v>
      </c>
      <c r="J238" s="5">
        <f t="shared" si="205"/>
        <v>2.1202055492622622</v>
      </c>
    </row>
    <row r="239" spans="1:10" x14ac:dyDescent="0.3">
      <c r="A239" s="1">
        <f t="shared" si="196"/>
        <v>19</v>
      </c>
      <c r="B239" s="1">
        <f t="shared" si="197"/>
        <v>12</v>
      </c>
      <c r="C239" s="2">
        <f t="shared" si="198"/>
        <v>601097363.76478052</v>
      </c>
      <c r="D239" s="2">
        <f t="shared" si="208"/>
        <v>19724049.793890875</v>
      </c>
      <c r="E239" s="2">
        <f t="shared" si="209"/>
        <v>7538459.5796073526</v>
      </c>
      <c r="F239" s="2">
        <f t="shared" si="206"/>
        <v>3944809.9587781751</v>
      </c>
      <c r="G239" s="2">
        <f t="shared" ref="G239" si="244">(H238+F239)*((1+$B$3)^(1/12)-1)</f>
        <v>5284797.6335942149</v>
      </c>
      <c r="H239" s="2">
        <f t="shared" si="200"/>
        <v>610326971.35715294</v>
      </c>
      <c r="I239" s="2">
        <f t="shared" si="211"/>
        <v>283509004.10289741</v>
      </c>
      <c r="J239" s="5">
        <f t="shared" si="205"/>
        <v>2.1527604503722904</v>
      </c>
    </row>
    <row r="240" spans="1:10" x14ac:dyDescent="0.3">
      <c r="A240" s="1">
        <f t="shared" si="196"/>
        <v>20</v>
      </c>
      <c r="B240" s="1">
        <f t="shared" si="197"/>
        <v>1</v>
      </c>
      <c r="C240" s="2">
        <f t="shared" si="198"/>
        <v>610326971.35715294</v>
      </c>
      <c r="D240" s="2">
        <f t="shared" si="208"/>
        <v>20844375.822183877</v>
      </c>
      <c r="E240" s="2">
        <f t="shared" si="209"/>
        <v>8115151.7374473149</v>
      </c>
      <c r="F240" s="2">
        <f t="shared" si="206"/>
        <v>2084437.5822183879</v>
      </c>
      <c r="G240" s="2">
        <f t="shared" ref="G240" si="245">(H239+F240)*((1+$B$3)^(1/12)-1)</f>
        <v>5349164.9099945538</v>
      </c>
      <c r="H240" s="2">
        <f t="shared" si="200"/>
        <v>617760573.84936595</v>
      </c>
      <c r="I240" s="2">
        <f t="shared" si="211"/>
        <v>293715328.25060171</v>
      </c>
      <c r="J240" s="5">
        <f t="shared" si="205"/>
        <v>2.103262970743851</v>
      </c>
    </row>
    <row r="241" spans="1:10" x14ac:dyDescent="0.3">
      <c r="A241" s="1">
        <f t="shared" si="196"/>
        <v>20</v>
      </c>
      <c r="B241" s="1">
        <f t="shared" si="197"/>
        <v>2</v>
      </c>
      <c r="C241" s="2">
        <f t="shared" si="198"/>
        <v>617760573.84936595</v>
      </c>
      <c r="D241" s="2">
        <f t="shared" si="208"/>
        <v>20844375.822183877</v>
      </c>
      <c r="E241" s="2">
        <f t="shared" si="209"/>
        <v>8115151.7374473149</v>
      </c>
      <c r="F241" s="2">
        <f t="shared" si="206"/>
        <v>2084437.5822183879</v>
      </c>
      <c r="G241" s="2">
        <f t="shared" ref="G241" si="246">(H240+F241)*((1+$B$3)^(1/12)-1)</f>
        <v>5414094.4084097771</v>
      </c>
      <c r="H241" s="2">
        <f t="shared" si="200"/>
        <v>625259105.83999419</v>
      </c>
      <c r="I241" s="2">
        <f t="shared" si="211"/>
        <v>293715328.25060171</v>
      </c>
      <c r="J241" s="5">
        <f t="shared" si="205"/>
        <v>2.1287929014944535</v>
      </c>
    </row>
    <row r="242" spans="1:10" x14ac:dyDescent="0.3">
      <c r="A242" s="1">
        <f t="shared" si="196"/>
        <v>20</v>
      </c>
      <c r="B242" s="1">
        <f t="shared" si="197"/>
        <v>3</v>
      </c>
      <c r="C242" s="2">
        <f t="shared" si="198"/>
        <v>625259105.83999419</v>
      </c>
      <c r="D242" s="2">
        <f t="shared" si="208"/>
        <v>20844375.822183877</v>
      </c>
      <c r="E242" s="2">
        <f t="shared" si="209"/>
        <v>8115151.7374473149</v>
      </c>
      <c r="F242" s="2">
        <f t="shared" si="206"/>
        <v>2084437.5822183879</v>
      </c>
      <c r="G242" s="2">
        <f t="shared" ref="G242" si="247">(H241+F242)*((1+$B$3)^(1/12)-1)</f>
        <v>5479591.0396208251</v>
      </c>
      <c r="H242" s="2">
        <f t="shared" si="200"/>
        <v>632823134.46183348</v>
      </c>
      <c r="I242" s="2">
        <f t="shared" si="211"/>
        <v>293715328.25060171</v>
      </c>
      <c r="J242" s="5">
        <f t="shared" si="205"/>
        <v>2.1545458258205055</v>
      </c>
    </row>
    <row r="243" spans="1:10" x14ac:dyDescent="0.3">
      <c r="A243" s="1">
        <f t="shared" si="196"/>
        <v>20</v>
      </c>
      <c r="B243" s="1">
        <f t="shared" si="197"/>
        <v>4</v>
      </c>
      <c r="C243" s="2">
        <f t="shared" si="198"/>
        <v>632823134.46183348</v>
      </c>
      <c r="D243" s="2">
        <f t="shared" si="208"/>
        <v>20844375.822183877</v>
      </c>
      <c r="E243" s="2">
        <f t="shared" si="209"/>
        <v>8115151.7374473149</v>
      </c>
      <c r="F243" s="2">
        <f t="shared" si="206"/>
        <v>2084437.5822183879</v>
      </c>
      <c r="G243" s="2">
        <f t="shared" ref="G243" si="248">(H242+F243)*((1+$B$3)^(1/12)-1)</f>
        <v>5545659.7573023122</v>
      </c>
      <c r="H243" s="2">
        <f t="shared" si="200"/>
        <v>640453231.80135417</v>
      </c>
      <c r="I243" s="2">
        <f t="shared" si="211"/>
        <v>293715328.25060171</v>
      </c>
      <c r="J243" s="5">
        <f t="shared" si="205"/>
        <v>2.1805236914803139</v>
      </c>
    </row>
    <row r="244" spans="1:10" x14ac:dyDescent="0.3">
      <c r="A244" s="1">
        <f t="shared" si="196"/>
        <v>20</v>
      </c>
      <c r="B244" s="1">
        <f t="shared" si="197"/>
        <v>5</v>
      </c>
      <c r="C244" s="2">
        <f t="shared" si="198"/>
        <v>640453231.80135417</v>
      </c>
      <c r="D244" s="2">
        <f t="shared" si="208"/>
        <v>20844375.822183877</v>
      </c>
      <c r="E244" s="2">
        <f t="shared" si="209"/>
        <v>8115151.7374473149</v>
      </c>
      <c r="F244" s="2">
        <f t="shared" si="206"/>
        <v>2084437.5822183879</v>
      </c>
      <c r="G244" s="2">
        <f t="shared" ref="G244" si="249">(H243+F244)*((1+$B$3)^(1/12)-1)</f>
        <v>5612305.5583971897</v>
      </c>
      <c r="H244" s="2">
        <f t="shared" si="200"/>
        <v>648149974.94196975</v>
      </c>
      <c r="I244" s="2">
        <f t="shared" si="211"/>
        <v>293715328.25060171</v>
      </c>
      <c r="J244" s="5">
        <f t="shared" si="205"/>
        <v>2.2067284632450637</v>
      </c>
    </row>
    <row r="245" spans="1:10" x14ac:dyDescent="0.3">
      <c r="A245" s="1">
        <f t="shared" si="196"/>
        <v>20</v>
      </c>
      <c r="B245" s="1">
        <f t="shared" si="197"/>
        <v>6</v>
      </c>
      <c r="C245" s="2">
        <f t="shared" si="198"/>
        <v>648149974.94196975</v>
      </c>
      <c r="D245" s="2">
        <f t="shared" si="208"/>
        <v>20844375.822183877</v>
      </c>
      <c r="E245" s="2">
        <f t="shared" si="209"/>
        <v>8115151.7374473149</v>
      </c>
      <c r="F245" s="2">
        <f t="shared" si="206"/>
        <v>4168875.1644367757</v>
      </c>
      <c r="G245" s="2">
        <f t="shared" ref="G245" si="250">(H244+F245)*((1+$B$3)^(1/12)-1)</f>
        <v>5697740.1991259009</v>
      </c>
      <c r="H245" s="2">
        <f t="shared" si="200"/>
        <v>658016590.30553246</v>
      </c>
      <c r="I245" s="2">
        <f t="shared" si="211"/>
        <v>293715328.25060171</v>
      </c>
      <c r="J245" s="5">
        <f t="shared" si="205"/>
        <v>2.2403209060444547</v>
      </c>
    </row>
    <row r="246" spans="1:10" x14ac:dyDescent="0.3">
      <c r="A246" s="1">
        <f t="shared" si="196"/>
        <v>20</v>
      </c>
      <c r="B246" s="1">
        <f t="shared" si="197"/>
        <v>7</v>
      </c>
      <c r="C246" s="2">
        <f t="shared" si="198"/>
        <v>658016590.30553246</v>
      </c>
      <c r="D246" s="2">
        <f t="shared" si="208"/>
        <v>20844375.822183877</v>
      </c>
      <c r="E246" s="2">
        <f t="shared" si="209"/>
        <v>8115151.7374473149</v>
      </c>
      <c r="F246" s="2">
        <f t="shared" si="206"/>
        <v>2084437.5822183879</v>
      </c>
      <c r="G246" s="2">
        <f t="shared" ref="G246" si="251">(H245+F246)*((1+$B$3)^(1/12)-1)</f>
        <v>5765714.3611086132</v>
      </c>
      <c r="H246" s="2">
        <f t="shared" si="200"/>
        <v>665866742.24885952</v>
      </c>
      <c r="I246" s="2">
        <f t="shared" si="211"/>
        <v>293715328.25060171</v>
      </c>
      <c r="J246" s="5">
        <f t="shared" si="205"/>
        <v>2.2670479821902023</v>
      </c>
    </row>
    <row r="247" spans="1:10" x14ac:dyDescent="0.3">
      <c r="A247" s="1">
        <f t="shared" si="196"/>
        <v>20</v>
      </c>
      <c r="B247" s="1">
        <f t="shared" si="197"/>
        <v>8</v>
      </c>
      <c r="C247" s="2">
        <f t="shared" si="198"/>
        <v>665866742.24885952</v>
      </c>
      <c r="D247" s="2">
        <f t="shared" si="208"/>
        <v>20844375.822183877</v>
      </c>
      <c r="E247" s="2">
        <f t="shared" si="209"/>
        <v>8115151.7374473149</v>
      </c>
      <c r="F247" s="2">
        <f t="shared" si="206"/>
        <v>2084437.5822183879</v>
      </c>
      <c r="G247" s="2">
        <f t="shared" ref="G247" si="252">(H246+F247)*((1+$B$3)^(1/12)-1)</f>
        <v>5834282.249786742</v>
      </c>
      <c r="H247" s="2">
        <f t="shared" si="200"/>
        <v>673785462.08086467</v>
      </c>
      <c r="I247" s="2">
        <f t="shared" si="211"/>
        <v>293715328.25060171</v>
      </c>
      <c r="J247" s="5">
        <f t="shared" si="205"/>
        <v>2.2940085084901738</v>
      </c>
    </row>
    <row r="248" spans="1:10" x14ac:dyDescent="0.3">
      <c r="A248" s="1">
        <f t="shared" si="196"/>
        <v>20</v>
      </c>
      <c r="B248" s="1">
        <f t="shared" si="197"/>
        <v>9</v>
      </c>
      <c r="C248" s="2">
        <f t="shared" si="198"/>
        <v>673785462.08086467</v>
      </c>
      <c r="D248" s="2">
        <f t="shared" si="208"/>
        <v>20844375.822183877</v>
      </c>
      <c r="E248" s="2">
        <f t="shared" si="209"/>
        <v>8115151.7374473149</v>
      </c>
      <c r="F248" s="2">
        <f t="shared" si="206"/>
        <v>2084437.5822183879</v>
      </c>
      <c r="G248" s="2">
        <f t="shared" ref="G248" si="253">(H247+F248)*((1+$B$3)^(1/12)-1)</f>
        <v>5903449.0511218123</v>
      </c>
      <c r="H248" s="2">
        <f t="shared" si="200"/>
        <v>681773348.71420491</v>
      </c>
      <c r="I248" s="2">
        <f t="shared" si="211"/>
        <v>293715328.25060171</v>
      </c>
      <c r="J248" s="5">
        <f t="shared" si="205"/>
        <v>2.321204524036645</v>
      </c>
    </row>
    <row r="249" spans="1:10" x14ac:dyDescent="0.3">
      <c r="A249" s="1">
        <f t="shared" si="196"/>
        <v>20</v>
      </c>
      <c r="B249" s="1">
        <f t="shared" si="197"/>
        <v>10</v>
      </c>
      <c r="C249" s="2">
        <f t="shared" si="198"/>
        <v>681773348.71420491</v>
      </c>
      <c r="D249" s="2">
        <f t="shared" si="208"/>
        <v>20844375.822183877</v>
      </c>
      <c r="E249" s="2">
        <f t="shared" si="209"/>
        <v>8115151.7374473149</v>
      </c>
      <c r="F249" s="2">
        <f t="shared" si="206"/>
        <v>2084437.5822183879</v>
      </c>
      <c r="G249" s="2">
        <f t="shared" ref="G249" si="254">(H248+F249)*((1+$B$3)^(1/12)-1)</f>
        <v>5973219.9963726187</v>
      </c>
      <c r="H249" s="2">
        <f t="shared" si="200"/>
        <v>689831006.2927959</v>
      </c>
      <c r="I249" s="2">
        <f t="shared" si="211"/>
        <v>293715328.25060171</v>
      </c>
      <c r="J249" s="5">
        <f t="shared" si="205"/>
        <v>2.3486380857325333</v>
      </c>
    </row>
    <row r="250" spans="1:10" x14ac:dyDescent="0.3">
      <c r="A250" s="1">
        <f t="shared" si="196"/>
        <v>20</v>
      </c>
      <c r="B250" s="1">
        <f t="shared" si="197"/>
        <v>11</v>
      </c>
      <c r="C250" s="2">
        <f t="shared" si="198"/>
        <v>689831006.2927959</v>
      </c>
      <c r="D250" s="2">
        <f t="shared" si="208"/>
        <v>20844375.822183877</v>
      </c>
      <c r="E250" s="2">
        <f t="shared" si="209"/>
        <v>8115151.7374473149</v>
      </c>
      <c r="F250" s="2">
        <f t="shared" si="206"/>
        <v>2084437.5822183879</v>
      </c>
      <c r="G250" s="2">
        <f t="shared" ref="G250" si="255">(H249+F250)*((1+$B$3)^(1/12)-1)</f>
        <v>6043600.3624908756</v>
      </c>
      <c r="H250" s="2">
        <f t="shared" si="200"/>
        <v>697959044.2375052</v>
      </c>
      <c r="I250" s="2">
        <f t="shared" si="211"/>
        <v>293715328.25060171</v>
      </c>
      <c r="J250" s="5">
        <f t="shared" si="205"/>
        <v>2.3763112684469689</v>
      </c>
    </row>
    <row r="251" spans="1:10" x14ac:dyDescent="0.3">
      <c r="A251" s="1">
        <f t="shared" si="196"/>
        <v>20</v>
      </c>
      <c r="B251" s="1">
        <f t="shared" si="197"/>
        <v>12</v>
      </c>
      <c r="C251" s="2">
        <f t="shared" si="198"/>
        <v>697959044.2375052</v>
      </c>
      <c r="D251" s="2">
        <f t="shared" si="208"/>
        <v>20844375.822183877</v>
      </c>
      <c r="E251" s="2">
        <f t="shared" si="209"/>
        <v>8115151.7374473149</v>
      </c>
      <c r="F251" s="2">
        <f t="shared" si="206"/>
        <v>4168875.1644367757</v>
      </c>
      <c r="G251" s="2">
        <f t="shared" ref="G251" si="256">(H250+F251)*((1+$B$3)^(1/12)-1)</f>
        <v>6132802.1881515533</v>
      </c>
      <c r="H251" s="2">
        <f t="shared" si="200"/>
        <v>708260721.59009361</v>
      </c>
      <c r="I251" s="2">
        <f t="shared" si="211"/>
        <v>293715328.25060171</v>
      </c>
      <c r="J251" s="5">
        <f t="shared" si="205"/>
        <v>2.4113849481692573</v>
      </c>
    </row>
    <row r="252" spans="1:10" x14ac:dyDescent="0.3">
      <c r="A252" s="1">
        <f t="shared" si="196"/>
        <v>21</v>
      </c>
      <c r="B252" s="1">
        <f t="shared" si="197"/>
        <v>1</v>
      </c>
      <c r="C252" s="2">
        <f t="shared" si="198"/>
        <v>708260721.59009361</v>
      </c>
      <c r="D252" s="2">
        <f t="shared" si="208"/>
        <v>22028336.368883919</v>
      </c>
      <c r="E252" s="2">
        <f t="shared" si="209"/>
        <v>8735960.8453620337</v>
      </c>
      <c r="F252" s="2">
        <f t="shared" si="206"/>
        <v>2202833.6368883918</v>
      </c>
      <c r="G252" s="2">
        <f t="shared" ref="G252" si="257">(H251+F252)*((1+$B$3)^(1/12)-1)</f>
        <v>6205610.5813443251</v>
      </c>
      <c r="H252" s="2">
        <f t="shared" si="200"/>
        <v>716669165.80832636</v>
      </c>
      <c r="I252" s="2">
        <f t="shared" si="211"/>
        <v>304289080.06762338</v>
      </c>
      <c r="J252" s="5">
        <f t="shared" si="205"/>
        <v>2.355224727910243</v>
      </c>
    </row>
    <row r="253" spans="1:10" x14ac:dyDescent="0.3">
      <c r="A253" s="1">
        <f t="shared" si="196"/>
        <v>21</v>
      </c>
      <c r="B253" s="1">
        <f t="shared" si="197"/>
        <v>2</v>
      </c>
      <c r="C253" s="2">
        <f t="shared" si="198"/>
        <v>716669165.80832636</v>
      </c>
      <c r="D253" s="2">
        <f t="shared" si="208"/>
        <v>22028336.368883919</v>
      </c>
      <c r="E253" s="2">
        <f t="shared" si="209"/>
        <v>8735960.8453620337</v>
      </c>
      <c r="F253" s="2">
        <f t="shared" si="206"/>
        <v>2202833.6368883918</v>
      </c>
      <c r="G253" s="2">
        <f t="shared" ref="G253" si="258">(H252+F253)*((1+$B$3)^(1/12)-1)</f>
        <v>6279054.9262785818</v>
      </c>
      <c r="H253" s="2">
        <f t="shared" si="200"/>
        <v>725151054.37149334</v>
      </c>
      <c r="I253" s="2">
        <f t="shared" si="211"/>
        <v>304289080.06762338</v>
      </c>
      <c r="J253" s="5">
        <f t="shared" si="205"/>
        <v>2.3830991707304783</v>
      </c>
    </row>
    <row r="254" spans="1:10" x14ac:dyDescent="0.3">
      <c r="A254" s="1">
        <f t="shared" si="196"/>
        <v>21</v>
      </c>
      <c r="B254" s="1">
        <f t="shared" si="197"/>
        <v>3</v>
      </c>
      <c r="C254" s="2">
        <f t="shared" si="198"/>
        <v>725151054.37149334</v>
      </c>
      <c r="D254" s="2">
        <f t="shared" si="208"/>
        <v>22028336.368883919</v>
      </c>
      <c r="E254" s="2">
        <f t="shared" si="209"/>
        <v>8735960.8453620337</v>
      </c>
      <c r="F254" s="2">
        <f t="shared" si="206"/>
        <v>2202833.6368883918</v>
      </c>
      <c r="G254" s="2">
        <f t="shared" ref="G254" si="259">(H253+F254)*((1+$B$3)^(1/12)-1)</f>
        <v>6353140.7777344761</v>
      </c>
      <c r="H254" s="2">
        <f t="shared" si="200"/>
        <v>733707028.78611624</v>
      </c>
      <c r="I254" s="2">
        <f t="shared" si="211"/>
        <v>304289080.06762338</v>
      </c>
      <c r="J254" s="5">
        <f t="shared" si="205"/>
        <v>2.4112170854868062</v>
      </c>
    </row>
    <row r="255" spans="1:10" x14ac:dyDescent="0.3">
      <c r="A255" s="1">
        <f t="shared" si="196"/>
        <v>21</v>
      </c>
      <c r="B255" s="1">
        <f t="shared" si="197"/>
        <v>4</v>
      </c>
      <c r="C255" s="2">
        <f t="shared" si="198"/>
        <v>733707028.78611624</v>
      </c>
      <c r="D255" s="2">
        <f t="shared" si="208"/>
        <v>22028336.368883919</v>
      </c>
      <c r="E255" s="2">
        <f t="shared" si="209"/>
        <v>8735960.8453620337</v>
      </c>
      <c r="F255" s="2">
        <f t="shared" si="206"/>
        <v>2202833.6368883918</v>
      </c>
      <c r="G255" s="2">
        <f t="shared" ref="G255" si="260">(H254+F255)*((1+$B$3)^(1/12)-1)</f>
        <v>6427873.7390109096</v>
      </c>
      <c r="H255" s="2">
        <f t="shared" si="200"/>
        <v>742337736.16201556</v>
      </c>
      <c r="I255" s="2">
        <f t="shared" si="211"/>
        <v>304289080.06762338</v>
      </c>
      <c r="J255" s="5">
        <f t="shared" si="205"/>
        <v>2.4395805988076957</v>
      </c>
    </row>
    <row r="256" spans="1:10" x14ac:dyDescent="0.3">
      <c r="A256" s="1">
        <f t="shared" si="196"/>
        <v>21</v>
      </c>
      <c r="B256" s="1">
        <f t="shared" si="197"/>
        <v>5</v>
      </c>
      <c r="C256" s="2">
        <f t="shared" si="198"/>
        <v>742337736.16201556</v>
      </c>
      <c r="D256" s="2">
        <f t="shared" si="208"/>
        <v>22028336.368883919</v>
      </c>
      <c r="E256" s="2">
        <f t="shared" si="209"/>
        <v>8735960.8453620337</v>
      </c>
      <c r="F256" s="2">
        <f t="shared" si="206"/>
        <v>2202833.6368883918</v>
      </c>
      <c r="G256" s="2">
        <f t="shared" ref="G256" si="261">(H255+F256)*((1+$B$3)^(1/12)-1)</f>
        <v>6503259.4623493236</v>
      </c>
      <c r="H256" s="2">
        <f t="shared" si="200"/>
        <v>751043829.26125324</v>
      </c>
      <c r="I256" s="2">
        <f t="shared" si="211"/>
        <v>304289080.06762338</v>
      </c>
      <c r="J256" s="5">
        <f t="shared" si="205"/>
        <v>2.4681918558968525</v>
      </c>
    </row>
    <row r="257" spans="1:10" x14ac:dyDescent="0.3">
      <c r="A257" s="1">
        <f t="shared" si="196"/>
        <v>21</v>
      </c>
      <c r="B257" s="1">
        <f t="shared" si="197"/>
        <v>6</v>
      </c>
      <c r="C257" s="2">
        <f t="shared" si="198"/>
        <v>751043829.26125324</v>
      </c>
      <c r="D257" s="2">
        <f t="shared" si="208"/>
        <v>22028336.368883919</v>
      </c>
      <c r="E257" s="2">
        <f t="shared" si="209"/>
        <v>8735960.8453620337</v>
      </c>
      <c r="F257" s="2">
        <f t="shared" si="206"/>
        <v>4405667.2737767836</v>
      </c>
      <c r="G257" s="2">
        <f t="shared" ref="G257" si="262">(H256+F257)*((1+$B$3)^(1/12)-1)</f>
        <v>6598544.5064402698</v>
      </c>
      <c r="H257" s="2">
        <f t="shared" si="200"/>
        <v>762048041.04147029</v>
      </c>
      <c r="I257" s="2">
        <f t="shared" si="211"/>
        <v>304289080.06762338</v>
      </c>
      <c r="J257" s="5">
        <f t="shared" si="205"/>
        <v>2.5043555321542175</v>
      </c>
    </row>
    <row r="258" spans="1:10" x14ac:dyDescent="0.3">
      <c r="A258" s="1">
        <f t="shared" si="196"/>
        <v>21</v>
      </c>
      <c r="B258" s="1">
        <f t="shared" si="197"/>
        <v>7</v>
      </c>
      <c r="C258" s="2">
        <f t="shared" si="198"/>
        <v>762048041.04147029</v>
      </c>
      <c r="D258" s="2">
        <f t="shared" si="208"/>
        <v>22028336.368883919</v>
      </c>
      <c r="E258" s="2">
        <f t="shared" si="209"/>
        <v>8735960.8453620337</v>
      </c>
      <c r="F258" s="2">
        <f t="shared" si="206"/>
        <v>2202833.6368883918</v>
      </c>
      <c r="G258" s="2">
        <f t="shared" ref="G258" si="263">(H257+F258)*((1+$B$3)^(1/12)-1)</f>
        <v>6675420.9696097337</v>
      </c>
      <c r="H258" s="2">
        <f t="shared" si="200"/>
        <v>770926295.64796841</v>
      </c>
      <c r="I258" s="2">
        <f t="shared" si="211"/>
        <v>304289080.06762338</v>
      </c>
      <c r="J258" s="5">
        <f t="shared" si="205"/>
        <v>2.5335325719761039</v>
      </c>
    </row>
    <row r="259" spans="1:10" x14ac:dyDescent="0.3">
      <c r="A259" s="1">
        <f t="shared" si="196"/>
        <v>21</v>
      </c>
      <c r="B259" s="1">
        <f t="shared" si="197"/>
        <v>8</v>
      </c>
      <c r="C259" s="2">
        <f t="shared" si="198"/>
        <v>770926295.64796841</v>
      </c>
      <c r="D259" s="2">
        <f t="shared" si="208"/>
        <v>22028336.368883919</v>
      </c>
      <c r="E259" s="2">
        <f t="shared" si="209"/>
        <v>8735960.8453620337</v>
      </c>
      <c r="F259" s="2">
        <f t="shared" si="206"/>
        <v>2202833.6368883918</v>
      </c>
      <c r="G259" s="2">
        <f t="shared" ref="G259" si="264">(H258+F259)*((1+$B$3)^(1/12)-1)</f>
        <v>6752968.9174595736</v>
      </c>
      <c r="H259" s="2">
        <f t="shared" si="200"/>
        <v>779882098.2023164</v>
      </c>
      <c r="I259" s="2">
        <f t="shared" si="211"/>
        <v>304289080.06762338</v>
      </c>
      <c r="J259" s="5">
        <f t="shared" si="205"/>
        <v>2.5629644613898077</v>
      </c>
    </row>
    <row r="260" spans="1:10" x14ac:dyDescent="0.3">
      <c r="A260" s="1">
        <f t="shared" si="196"/>
        <v>21</v>
      </c>
      <c r="B260" s="1">
        <f t="shared" si="197"/>
        <v>9</v>
      </c>
      <c r="C260" s="2">
        <f t="shared" si="198"/>
        <v>779882098.2023164</v>
      </c>
      <c r="D260" s="2">
        <f t="shared" si="208"/>
        <v>22028336.368883919</v>
      </c>
      <c r="E260" s="2">
        <f t="shared" si="209"/>
        <v>8735960.8453620337</v>
      </c>
      <c r="F260" s="2">
        <f t="shared" si="206"/>
        <v>2202833.6368883918</v>
      </c>
      <c r="G260" s="2">
        <f t="shared" ref="G260" si="265">(H259+F260)*((1+$B$3)^(1/12)-1)</f>
        <v>6831194.2151357317</v>
      </c>
      <c r="H260" s="2">
        <f t="shared" si="200"/>
        <v>788916126.05434048</v>
      </c>
      <c r="I260" s="2">
        <f t="shared" si="211"/>
        <v>304289080.06762338</v>
      </c>
      <c r="J260" s="5">
        <f t="shared" si="205"/>
        <v>2.5926534264029999</v>
      </c>
    </row>
    <row r="261" spans="1:10" x14ac:dyDescent="0.3">
      <c r="A261" s="1">
        <f t="shared" si="196"/>
        <v>21</v>
      </c>
      <c r="B261" s="1">
        <f t="shared" si="197"/>
        <v>10</v>
      </c>
      <c r="C261" s="2">
        <f t="shared" si="198"/>
        <v>788916126.05434048</v>
      </c>
      <c r="D261" s="2">
        <f t="shared" si="208"/>
        <v>22028336.368883919</v>
      </c>
      <c r="E261" s="2">
        <f t="shared" si="209"/>
        <v>8735960.8453620337</v>
      </c>
      <c r="F261" s="2">
        <f t="shared" si="206"/>
        <v>2202833.6368883918</v>
      </c>
      <c r="G261" s="2">
        <f t="shared" ref="G261" si="266">(H260+F261)*((1+$B$3)^(1/12)-1)</f>
        <v>6910102.7790138172</v>
      </c>
      <c r="H261" s="2">
        <f t="shared" si="200"/>
        <v>798029062.47024274</v>
      </c>
      <c r="I261" s="2">
        <f t="shared" si="211"/>
        <v>304289080.06762338</v>
      </c>
      <c r="J261" s="5">
        <f t="shared" si="205"/>
        <v>2.6226017124666239</v>
      </c>
    </row>
    <row r="262" spans="1:10" x14ac:dyDescent="0.3">
      <c r="A262" s="1">
        <f t="shared" si="196"/>
        <v>21</v>
      </c>
      <c r="B262" s="1">
        <f t="shared" si="197"/>
        <v>11</v>
      </c>
      <c r="C262" s="2">
        <f t="shared" si="198"/>
        <v>798029062.47024274</v>
      </c>
      <c r="D262" s="2">
        <f t="shared" si="208"/>
        <v>22028336.368883919</v>
      </c>
      <c r="E262" s="2">
        <f t="shared" si="209"/>
        <v>8735960.8453620337</v>
      </c>
      <c r="F262" s="2">
        <f t="shared" si="206"/>
        <v>2202833.6368883918</v>
      </c>
      <c r="G262" s="2">
        <f t="shared" ref="G262" si="267">(H261+F262)*((1+$B$3)^(1/12)-1)</f>
        <v>6989700.5771465776</v>
      </c>
      <c r="H262" s="2">
        <f t="shared" si="200"/>
        <v>807221596.68427765</v>
      </c>
      <c r="I262" s="2">
        <f t="shared" si="211"/>
        <v>304289080.06762338</v>
      </c>
      <c r="J262" s="5">
        <f t="shared" si="205"/>
        <v>2.6528115846447253</v>
      </c>
    </row>
    <row r="263" spans="1:10" x14ac:dyDescent="0.3">
      <c r="A263" s="1">
        <f t="shared" si="196"/>
        <v>21</v>
      </c>
      <c r="B263" s="1">
        <f t="shared" si="197"/>
        <v>12</v>
      </c>
      <c r="C263" s="2">
        <f t="shared" si="198"/>
        <v>807221596.68427765</v>
      </c>
      <c r="D263" s="2">
        <f t="shared" si="208"/>
        <v>22028336.368883919</v>
      </c>
      <c r="E263" s="2">
        <f t="shared" si="209"/>
        <v>8735960.8453620337</v>
      </c>
      <c r="F263" s="2">
        <f t="shared" si="206"/>
        <v>4405667.2737767836</v>
      </c>
      <c r="G263" s="2">
        <f t="shared" ref="G263" si="268">(H262+F263)*((1+$B$3)^(1/12)-1)</f>
        <v>7089234.4867943544</v>
      </c>
      <c r="H263" s="2">
        <f t="shared" si="200"/>
        <v>818716498.44484878</v>
      </c>
      <c r="I263" s="2">
        <f t="shared" si="211"/>
        <v>304289080.06762338</v>
      </c>
      <c r="J263" s="5">
        <f t="shared" si="205"/>
        <v>2.6905878392445177</v>
      </c>
    </row>
    <row r="264" spans="1:10" x14ac:dyDescent="0.3">
      <c r="A264" s="1">
        <f t="shared" ref="A264:A327" si="269">IF(B264=1,A263+1,A263)</f>
        <v>22</v>
      </c>
      <c r="B264" s="1">
        <f t="shared" ref="B264:B327" si="270">IF(B263=12,1,B263+1)</f>
        <v>1</v>
      </c>
      <c r="C264" s="2">
        <f t="shared" ref="C264:C327" si="271">H263</f>
        <v>818716498.44484878</v>
      </c>
      <c r="D264" s="2">
        <f t="shared" si="208"/>
        <v>23279545.874636523</v>
      </c>
      <c r="E264" s="2">
        <f t="shared" si="209"/>
        <v>9404261.850032229</v>
      </c>
      <c r="F264" s="2">
        <f t="shared" si="206"/>
        <v>2327954.5874636522</v>
      </c>
      <c r="G264" s="2">
        <f t="shared" ref="G264" si="272">(H263+F264)*((1+$B$3)^(1/12)-1)</f>
        <v>7171489.8083175886</v>
      </c>
      <c r="H264" s="2">
        <f t="shared" ref="H264:H327" si="273">F264+C264+G264</f>
        <v>828215942.84062994</v>
      </c>
      <c r="I264" s="2">
        <f t="shared" si="211"/>
        <v>315243486.9500578</v>
      </c>
      <c r="J264" s="5">
        <f t="shared" si="205"/>
        <v>2.6272261826993413</v>
      </c>
    </row>
    <row r="265" spans="1:10" x14ac:dyDescent="0.3">
      <c r="A265" s="1">
        <f t="shared" si="269"/>
        <v>22</v>
      </c>
      <c r="B265" s="1">
        <f t="shared" si="270"/>
        <v>2</v>
      </c>
      <c r="C265" s="2">
        <f t="shared" si="271"/>
        <v>828215942.84062994</v>
      </c>
      <c r="D265" s="2">
        <f t="shared" si="208"/>
        <v>23279545.874636523</v>
      </c>
      <c r="E265" s="2">
        <f t="shared" si="209"/>
        <v>9404261.850032229</v>
      </c>
      <c r="F265" s="2">
        <f t="shared" si="206"/>
        <v>2327954.5874636522</v>
      </c>
      <c r="G265" s="2">
        <f t="shared" ref="G265" si="274">(H264+F265)*((1+$B$3)^(1/12)-1)</f>
        <v>7254463.596664154</v>
      </c>
      <c r="H265" s="2">
        <f t="shared" si="273"/>
        <v>837798361.02475774</v>
      </c>
      <c r="I265" s="2">
        <f t="shared" si="211"/>
        <v>315243486.9500578</v>
      </c>
      <c r="J265" s="5">
        <f t="shared" si="205"/>
        <v>2.6576230618762482</v>
      </c>
    </row>
    <row r="266" spans="1:10" x14ac:dyDescent="0.3">
      <c r="A266" s="1">
        <f t="shared" si="269"/>
        <v>22</v>
      </c>
      <c r="B266" s="1">
        <f t="shared" si="270"/>
        <v>3</v>
      </c>
      <c r="C266" s="2">
        <f t="shared" si="271"/>
        <v>837798361.02475774</v>
      </c>
      <c r="D266" s="2">
        <f t="shared" si="208"/>
        <v>23279545.874636523</v>
      </c>
      <c r="E266" s="2">
        <f t="shared" si="209"/>
        <v>9404261.850032229</v>
      </c>
      <c r="F266" s="2">
        <f t="shared" si="206"/>
        <v>2327954.5874636522</v>
      </c>
      <c r="G266" s="2">
        <f t="shared" ref="G266" si="275">(H265+F266)*((1+$B$3)^(1/12)-1)</f>
        <v>7338162.127349928</v>
      </c>
      <c r="H266" s="2">
        <f t="shared" si="273"/>
        <v>847464477.73957133</v>
      </c>
      <c r="I266" s="2">
        <f t="shared" si="211"/>
        <v>315243486.9500578</v>
      </c>
      <c r="J266" s="5">
        <f t="shared" si="205"/>
        <v>2.6882854454462692</v>
      </c>
    </row>
    <row r="267" spans="1:10" x14ac:dyDescent="0.3">
      <c r="A267" s="1">
        <f t="shared" si="269"/>
        <v>22</v>
      </c>
      <c r="B267" s="1">
        <f t="shared" si="270"/>
        <v>4</v>
      </c>
      <c r="C267" s="2">
        <f t="shared" si="271"/>
        <v>847464477.73957133</v>
      </c>
      <c r="D267" s="2">
        <f t="shared" si="208"/>
        <v>23279545.874636523</v>
      </c>
      <c r="E267" s="2">
        <f t="shared" si="209"/>
        <v>9404261.850032229</v>
      </c>
      <c r="F267" s="2">
        <f t="shared" si="206"/>
        <v>2327954.5874636522</v>
      </c>
      <c r="G267" s="2">
        <f t="shared" ref="G267" si="276">(H266+F267)*((1+$B$3)^(1/12)-1)</f>
        <v>7422591.730704871</v>
      </c>
      <c r="H267" s="2">
        <f t="shared" si="273"/>
        <v>857215024.05773985</v>
      </c>
      <c r="I267" s="2">
        <f t="shared" si="211"/>
        <v>315243486.9500578</v>
      </c>
      <c r="J267" s="5">
        <f t="shared" si="205"/>
        <v>2.7192156524824362</v>
      </c>
    </row>
    <row r="268" spans="1:10" x14ac:dyDescent="0.3">
      <c r="A268" s="1">
        <f t="shared" si="269"/>
        <v>22</v>
      </c>
      <c r="B268" s="1">
        <f t="shared" si="270"/>
        <v>5</v>
      </c>
      <c r="C268" s="2">
        <f t="shared" si="271"/>
        <v>857215024.05773985</v>
      </c>
      <c r="D268" s="2">
        <f t="shared" si="208"/>
        <v>23279545.874636523</v>
      </c>
      <c r="E268" s="2">
        <f t="shared" si="209"/>
        <v>9404261.850032229</v>
      </c>
      <c r="F268" s="2">
        <f t="shared" si="206"/>
        <v>2327954.5874636522</v>
      </c>
      <c r="G268" s="2">
        <f t="shared" ref="G268" si="277">(H267+F268)*((1+$B$3)^(1/12)-1)</f>
        <v>7507758.7923518019</v>
      </c>
      <c r="H268" s="2">
        <f t="shared" si="273"/>
        <v>867050737.43755531</v>
      </c>
      <c r="I268" s="2">
        <f t="shared" si="211"/>
        <v>315243486.9500578</v>
      </c>
      <c r="J268" s="5">
        <f t="shared" ref="J268:J331" si="278">(H268/I268)</f>
        <v>2.7504160223139427</v>
      </c>
    </row>
    <row r="269" spans="1:10" x14ac:dyDescent="0.3">
      <c r="A269" s="1">
        <f t="shared" si="269"/>
        <v>22</v>
      </c>
      <c r="B269" s="1">
        <f t="shared" si="270"/>
        <v>6</v>
      </c>
      <c r="C269" s="2">
        <f t="shared" si="271"/>
        <v>867050737.43755531</v>
      </c>
      <c r="D269" s="2">
        <f t="shared" si="208"/>
        <v>23279545.874636523</v>
      </c>
      <c r="E269" s="2">
        <f t="shared" si="209"/>
        <v>9404261.850032229</v>
      </c>
      <c r="F269" s="2">
        <f t="shared" ref="F269:F332" si="279">IF(OR(B269=6,B269=12),D269*$B$2*2,D269*$B$2)</f>
        <v>4655909.1749273045</v>
      </c>
      <c r="G269" s="2">
        <f t="shared" ref="G269" si="280">(H268+F269)*((1+$B$3)^(1/12)-1)</f>
        <v>7614003.4914505351</v>
      </c>
      <c r="H269" s="2">
        <f t="shared" si="273"/>
        <v>879320650.10393322</v>
      </c>
      <c r="I269" s="2">
        <f t="shared" si="211"/>
        <v>315243486.9500578</v>
      </c>
      <c r="J269" s="5">
        <f t="shared" si="278"/>
        <v>2.7893380402914998</v>
      </c>
    </row>
    <row r="270" spans="1:10" x14ac:dyDescent="0.3">
      <c r="A270" s="1">
        <f t="shared" si="269"/>
        <v>22</v>
      </c>
      <c r="B270" s="1">
        <f t="shared" si="270"/>
        <v>7</v>
      </c>
      <c r="C270" s="2">
        <f t="shared" si="271"/>
        <v>879320650.10393322</v>
      </c>
      <c r="D270" s="2">
        <f t="shared" ref="D270:D333" si="281">IF(B270&lt;&gt;1,D269,IF(AND(A270=3,B270=1),D269*2,IF(AND(A270=10,B270=1),D269*2,D269*(1+IF(D269&gt;E269,$B$6,$B$4)))))</f>
        <v>23279545.874636523</v>
      </c>
      <c r="E270" s="2">
        <f t="shared" ref="E270:E333" si="282">IF(B270&lt;&gt;1,E269,E269*(1+$B$4))</f>
        <v>9404261.850032229</v>
      </c>
      <c r="F270" s="2">
        <f t="shared" si="279"/>
        <v>2327954.5874636522</v>
      </c>
      <c r="G270" s="2">
        <f t="shared" ref="G270" si="283">(H269+F270)*((1+$B$3)^(1/12)-1)</f>
        <v>7700842.4570806306</v>
      </c>
      <c r="H270" s="2">
        <f t="shared" si="273"/>
        <v>889349447.14847744</v>
      </c>
      <c r="I270" s="2">
        <f t="shared" ref="I270:I333" si="284">IF(B270=1,I269*(1+$B$5),I269)</f>
        <v>315243486.9500578</v>
      </c>
      <c r="J270" s="5">
        <f t="shared" si="278"/>
        <v>2.8211509006984556</v>
      </c>
    </row>
    <row r="271" spans="1:10" x14ac:dyDescent="0.3">
      <c r="A271" s="1">
        <f t="shared" si="269"/>
        <v>22</v>
      </c>
      <c r="B271" s="1">
        <f t="shared" si="270"/>
        <v>8</v>
      </c>
      <c r="C271" s="2">
        <f t="shared" si="271"/>
        <v>889349447.14847744</v>
      </c>
      <c r="D271" s="2">
        <f t="shared" si="281"/>
        <v>23279545.874636523</v>
      </c>
      <c r="E271" s="2">
        <f t="shared" si="282"/>
        <v>9404261.850032229</v>
      </c>
      <c r="F271" s="2">
        <f t="shared" si="279"/>
        <v>2327954.5874636522</v>
      </c>
      <c r="G271" s="2">
        <f t="shared" ref="G271" si="285">(H270+F271)*((1+$B$3)^(1/12)-1)</f>
        <v>7788439.9258035626</v>
      </c>
      <c r="H271" s="2">
        <f t="shared" si="273"/>
        <v>899465841.66174459</v>
      </c>
      <c r="I271" s="2">
        <f t="shared" si="284"/>
        <v>315243486.9500578</v>
      </c>
      <c r="J271" s="5">
        <f t="shared" si="278"/>
        <v>2.8532416335194317</v>
      </c>
    </row>
    <row r="272" spans="1:10" x14ac:dyDescent="0.3">
      <c r="A272" s="1">
        <f t="shared" si="269"/>
        <v>22</v>
      </c>
      <c r="B272" s="1">
        <f t="shared" si="270"/>
        <v>9</v>
      </c>
      <c r="C272" s="2">
        <f t="shared" si="271"/>
        <v>899465841.66174459</v>
      </c>
      <c r="D272" s="2">
        <f t="shared" si="281"/>
        <v>23279545.874636523</v>
      </c>
      <c r="E272" s="2">
        <f t="shared" si="282"/>
        <v>9404261.850032229</v>
      </c>
      <c r="F272" s="2">
        <f t="shared" si="279"/>
        <v>2327954.5874636522</v>
      </c>
      <c r="G272" s="2">
        <f t="shared" ref="G272" si="286">(H271+F272)*((1+$B$3)^(1/12)-1)</f>
        <v>7876802.5228357604</v>
      </c>
      <c r="H272" s="2">
        <f t="shared" si="273"/>
        <v>909670598.77204394</v>
      </c>
      <c r="I272" s="2">
        <f t="shared" si="284"/>
        <v>315243486.9500578</v>
      </c>
      <c r="J272" s="5">
        <f t="shared" si="278"/>
        <v>2.8856126658570993</v>
      </c>
    </row>
    <row r="273" spans="1:10" x14ac:dyDescent="0.3">
      <c r="A273" s="1">
        <f t="shared" si="269"/>
        <v>22</v>
      </c>
      <c r="B273" s="1">
        <f t="shared" si="270"/>
        <v>10</v>
      </c>
      <c r="C273" s="2">
        <f t="shared" si="271"/>
        <v>909670598.77204394</v>
      </c>
      <c r="D273" s="2">
        <f t="shared" si="281"/>
        <v>23279545.874636523</v>
      </c>
      <c r="E273" s="2">
        <f t="shared" si="282"/>
        <v>9404261.850032229</v>
      </c>
      <c r="F273" s="2">
        <f t="shared" si="279"/>
        <v>2327954.5874636522</v>
      </c>
      <c r="G273" s="2">
        <f t="shared" ref="G273" si="287">(H272+F273)*((1+$B$3)^(1/12)-1)</f>
        <v>7965936.9312622277</v>
      </c>
      <c r="H273" s="2">
        <f t="shared" si="273"/>
        <v>919964490.29076982</v>
      </c>
      <c r="I273" s="2">
        <f t="shared" si="284"/>
        <v>315243486.9500578</v>
      </c>
      <c r="J273" s="5">
        <f t="shared" si="278"/>
        <v>2.9182664460138854</v>
      </c>
    </row>
    <row r="274" spans="1:10" x14ac:dyDescent="0.3">
      <c r="A274" s="1">
        <f t="shared" si="269"/>
        <v>22</v>
      </c>
      <c r="B274" s="1">
        <f t="shared" si="270"/>
        <v>11</v>
      </c>
      <c r="C274" s="2">
        <f t="shared" si="271"/>
        <v>919964490.29076982</v>
      </c>
      <c r="D274" s="2">
        <f t="shared" si="281"/>
        <v>23279545.874636523</v>
      </c>
      <c r="E274" s="2">
        <f t="shared" si="282"/>
        <v>9404261.850032229</v>
      </c>
      <c r="F274" s="2">
        <f t="shared" si="279"/>
        <v>2327954.5874636522</v>
      </c>
      <c r="G274" s="2">
        <f t="shared" ref="G274" si="288">(H273+F274)*((1+$B$3)^(1/12)-1)</f>
        <v>8055849.8925420046</v>
      </c>
      <c r="H274" s="2">
        <f t="shared" si="273"/>
        <v>930348294.77077544</v>
      </c>
      <c r="I274" s="2">
        <f t="shared" si="284"/>
        <v>315243486.9500578</v>
      </c>
      <c r="J274" s="5">
        <f t="shared" si="278"/>
        <v>2.9512054436771447</v>
      </c>
    </row>
    <row r="275" spans="1:10" x14ac:dyDescent="0.3">
      <c r="A275" s="1">
        <f t="shared" si="269"/>
        <v>22</v>
      </c>
      <c r="B275" s="1">
        <f t="shared" si="270"/>
        <v>12</v>
      </c>
      <c r="C275" s="2">
        <f t="shared" si="271"/>
        <v>930348294.77077544</v>
      </c>
      <c r="D275" s="2">
        <f t="shared" si="281"/>
        <v>23279545.874636523</v>
      </c>
      <c r="E275" s="2">
        <f t="shared" si="282"/>
        <v>9404261.850032229</v>
      </c>
      <c r="F275" s="2">
        <f t="shared" si="279"/>
        <v>4655909.1749273045</v>
      </c>
      <c r="G275" s="2">
        <f t="shared" ref="G275" si="289">(H274+F275)*((1+$B$3)^(1/12)-1)</f>
        <v>8166881.9447792023</v>
      </c>
      <c r="H275" s="2">
        <f t="shared" si="273"/>
        <v>943171085.89048195</v>
      </c>
      <c r="I275" s="2">
        <f t="shared" si="284"/>
        <v>315243486.9500578</v>
      </c>
      <c r="J275" s="5">
        <f t="shared" si="278"/>
        <v>2.9918812756943747</v>
      </c>
    </row>
    <row r="276" spans="1:10" x14ac:dyDescent="0.3">
      <c r="A276" s="1">
        <f t="shared" si="269"/>
        <v>23</v>
      </c>
      <c r="B276" s="1">
        <f t="shared" si="270"/>
        <v>1</v>
      </c>
      <c r="C276" s="2">
        <f t="shared" si="271"/>
        <v>943171085.89048195</v>
      </c>
      <c r="D276" s="2">
        <f t="shared" si="281"/>
        <v>24601824.080315877</v>
      </c>
      <c r="E276" s="2">
        <f t="shared" si="282"/>
        <v>10123687.881559694</v>
      </c>
      <c r="F276" s="2">
        <f t="shared" si="279"/>
        <v>2460182.408031588</v>
      </c>
      <c r="G276" s="2">
        <f t="shared" ref="G276" si="290">(H275+F276)*((1+$B$3)^(1/12)-1)</f>
        <v>8259705.0354377516</v>
      </c>
      <c r="H276" s="2">
        <f t="shared" si="273"/>
        <v>953890973.33395123</v>
      </c>
      <c r="I276" s="2">
        <f t="shared" si="284"/>
        <v>326592252.4802599</v>
      </c>
      <c r="J276" s="5">
        <f t="shared" si="278"/>
        <v>2.9207397483858162</v>
      </c>
    </row>
    <row r="277" spans="1:10" x14ac:dyDescent="0.3">
      <c r="A277" s="1">
        <f t="shared" si="269"/>
        <v>23</v>
      </c>
      <c r="B277" s="1">
        <f t="shared" si="270"/>
        <v>2</v>
      </c>
      <c r="C277" s="2">
        <f t="shared" si="271"/>
        <v>953890973.33395123</v>
      </c>
      <c r="D277" s="2">
        <f t="shared" si="281"/>
        <v>24601824.080315877</v>
      </c>
      <c r="E277" s="2">
        <f t="shared" si="282"/>
        <v>10123687.881559694</v>
      </c>
      <c r="F277" s="2">
        <f t="shared" si="279"/>
        <v>2460182.408031588</v>
      </c>
      <c r="G277" s="2">
        <f t="shared" ref="G277" si="291">(H276+F277)*((1+$B$3)^(1/12)-1)</f>
        <v>8353338.8980906503</v>
      </c>
      <c r="H277" s="2">
        <f t="shared" si="273"/>
        <v>964704494.64007342</v>
      </c>
      <c r="I277" s="2">
        <f t="shared" si="284"/>
        <v>326592252.4802599</v>
      </c>
      <c r="J277" s="5">
        <f t="shared" si="278"/>
        <v>2.9538499070745186</v>
      </c>
    </row>
    <row r="278" spans="1:10" x14ac:dyDescent="0.3">
      <c r="A278" s="1">
        <f t="shared" si="269"/>
        <v>23</v>
      </c>
      <c r="B278" s="1">
        <f t="shared" si="270"/>
        <v>3</v>
      </c>
      <c r="C278" s="2">
        <f t="shared" si="271"/>
        <v>964704494.64007342</v>
      </c>
      <c r="D278" s="2">
        <f t="shared" si="281"/>
        <v>24601824.080315877</v>
      </c>
      <c r="E278" s="2">
        <f t="shared" si="282"/>
        <v>10123687.881559694</v>
      </c>
      <c r="F278" s="2">
        <f t="shared" si="279"/>
        <v>2460182.408031588</v>
      </c>
      <c r="G278" s="2">
        <f t="shared" ref="G278" si="292">(H277+F278)*((1+$B$3)^(1/12)-1)</f>
        <v>8447790.6145019513</v>
      </c>
      <c r="H278" s="2">
        <f t="shared" si="273"/>
        <v>975612467.66260695</v>
      </c>
      <c r="I278" s="2">
        <f t="shared" si="284"/>
        <v>326592252.4802599</v>
      </c>
      <c r="J278" s="5">
        <f t="shared" si="278"/>
        <v>2.9872492695508006</v>
      </c>
    </row>
    <row r="279" spans="1:10" x14ac:dyDescent="0.3">
      <c r="A279" s="1">
        <f t="shared" si="269"/>
        <v>23</v>
      </c>
      <c r="B279" s="1">
        <f t="shared" si="270"/>
        <v>4</v>
      </c>
      <c r="C279" s="2">
        <f t="shared" si="271"/>
        <v>975612467.66260695</v>
      </c>
      <c r="D279" s="2">
        <f t="shared" si="281"/>
        <v>24601824.080315877</v>
      </c>
      <c r="E279" s="2">
        <f t="shared" si="282"/>
        <v>10123687.881559694</v>
      </c>
      <c r="F279" s="2">
        <f t="shared" si="279"/>
        <v>2460182.408031588</v>
      </c>
      <c r="G279" s="2">
        <f t="shared" ref="G279" si="293">(H278+F279)*((1+$B$3)^(1/12)-1)</f>
        <v>8543067.3282920439</v>
      </c>
      <c r="H279" s="2">
        <f t="shared" si="273"/>
        <v>986615717.39893055</v>
      </c>
      <c r="I279" s="2">
        <f t="shared" si="284"/>
        <v>326592252.4802599</v>
      </c>
      <c r="J279" s="5">
        <f t="shared" si="278"/>
        <v>3.0209403618922779</v>
      </c>
    </row>
    <row r="280" spans="1:10" x14ac:dyDescent="0.3">
      <c r="A280" s="1">
        <f t="shared" si="269"/>
        <v>23</v>
      </c>
      <c r="B280" s="1">
        <f t="shared" si="270"/>
        <v>5</v>
      </c>
      <c r="C280" s="2">
        <f t="shared" si="271"/>
        <v>986615717.39893055</v>
      </c>
      <c r="D280" s="2">
        <f t="shared" si="281"/>
        <v>24601824.080315877</v>
      </c>
      <c r="E280" s="2">
        <f t="shared" si="282"/>
        <v>10123687.881559694</v>
      </c>
      <c r="F280" s="2">
        <f t="shared" si="279"/>
        <v>2460182.408031588</v>
      </c>
      <c r="G280" s="2">
        <f t="shared" ref="G280" si="294">(H279+F280)*((1+$B$3)^(1/12)-1)</f>
        <v>8639176.2454779353</v>
      </c>
      <c r="H280" s="2">
        <f t="shared" si="273"/>
        <v>997715076.05244005</v>
      </c>
      <c r="I280" s="2">
        <f t="shared" si="284"/>
        <v>326592252.4802599</v>
      </c>
      <c r="J280" s="5">
        <f t="shared" si="278"/>
        <v>3.0549257322408301</v>
      </c>
    </row>
    <row r="281" spans="1:10" x14ac:dyDescent="0.3">
      <c r="A281" s="1">
        <f t="shared" si="269"/>
        <v>23</v>
      </c>
      <c r="B281" s="1">
        <f t="shared" si="270"/>
        <v>6</v>
      </c>
      <c r="C281" s="2">
        <f t="shared" si="271"/>
        <v>997715076.05244005</v>
      </c>
      <c r="D281" s="2">
        <f t="shared" si="281"/>
        <v>24601824.080315877</v>
      </c>
      <c r="E281" s="2">
        <f t="shared" si="282"/>
        <v>10123687.881559694</v>
      </c>
      <c r="F281" s="2">
        <f t="shared" si="279"/>
        <v>4920364.8160631759</v>
      </c>
      <c r="G281" s="2">
        <f t="shared" ref="G281" si="295">(H280+F281)*((1+$B$3)^(1/12)-1)</f>
        <v>8757613.3290842697</v>
      </c>
      <c r="H281" s="2">
        <f t="shared" si="273"/>
        <v>1011393054.1975875</v>
      </c>
      <c r="I281" s="2">
        <f t="shared" si="284"/>
        <v>326592252.4802599</v>
      </c>
      <c r="J281" s="5">
        <f t="shared" si="278"/>
        <v>3.0968066343175695</v>
      </c>
    </row>
    <row r="282" spans="1:10" x14ac:dyDescent="0.3">
      <c r="A282" s="1">
        <f t="shared" si="269"/>
        <v>23</v>
      </c>
      <c r="B282" s="1">
        <f t="shared" si="270"/>
        <v>7</v>
      </c>
      <c r="C282" s="2">
        <f t="shared" si="271"/>
        <v>1011393054.1975875</v>
      </c>
      <c r="D282" s="2">
        <f t="shared" si="281"/>
        <v>24601824.080315877</v>
      </c>
      <c r="E282" s="2">
        <f t="shared" si="282"/>
        <v>10123687.881559694</v>
      </c>
      <c r="F282" s="2">
        <f t="shared" si="279"/>
        <v>2460182.408031588</v>
      </c>
      <c r="G282" s="2">
        <f t="shared" ref="G282" si="296">(H281+F282)*((1+$B$3)^(1/12)-1)</f>
        <v>8855596.2184435502</v>
      </c>
      <c r="H282" s="2">
        <f t="shared" si="273"/>
        <v>1022708832.8240626</v>
      </c>
      <c r="I282" s="2">
        <f t="shared" si="284"/>
        <v>326592252.4802599</v>
      </c>
      <c r="J282" s="5">
        <f t="shared" si="278"/>
        <v>3.1314546657406632</v>
      </c>
    </row>
    <row r="283" spans="1:10" x14ac:dyDescent="0.3">
      <c r="A283" s="1">
        <f t="shared" si="269"/>
        <v>23</v>
      </c>
      <c r="B283" s="1">
        <f t="shared" si="270"/>
        <v>8</v>
      </c>
      <c r="C283" s="2">
        <f t="shared" si="271"/>
        <v>1022708832.8240626</v>
      </c>
      <c r="D283" s="2">
        <f t="shared" si="281"/>
        <v>24601824.080315877</v>
      </c>
      <c r="E283" s="2">
        <f t="shared" si="282"/>
        <v>10123687.881559694</v>
      </c>
      <c r="F283" s="2">
        <f t="shared" si="279"/>
        <v>2460182.408031588</v>
      </c>
      <c r="G283" s="2">
        <f t="shared" ref="G283" si="297">(H282+F283)*((1+$B$3)^(1/12)-1)</f>
        <v>8954434.9485430401</v>
      </c>
      <c r="H283" s="2">
        <f t="shared" si="273"/>
        <v>1034123450.1806372</v>
      </c>
      <c r="I283" s="2">
        <f t="shared" si="284"/>
        <v>326592252.4802599</v>
      </c>
      <c r="J283" s="5">
        <f t="shared" si="278"/>
        <v>3.1664053336450242</v>
      </c>
    </row>
    <row r="284" spans="1:10" x14ac:dyDescent="0.3">
      <c r="A284" s="1">
        <f t="shared" si="269"/>
        <v>23</v>
      </c>
      <c r="B284" s="1">
        <f t="shared" si="270"/>
        <v>9</v>
      </c>
      <c r="C284" s="2">
        <f t="shared" si="271"/>
        <v>1034123450.1806372</v>
      </c>
      <c r="D284" s="2">
        <f t="shared" si="281"/>
        <v>24601824.080315877</v>
      </c>
      <c r="E284" s="2">
        <f t="shared" si="282"/>
        <v>10123687.881559694</v>
      </c>
      <c r="F284" s="2">
        <f t="shared" si="279"/>
        <v>2460182.408031588</v>
      </c>
      <c r="G284" s="2">
        <f t="shared" ref="G284" si="298">(H283+F284)*((1+$B$3)^(1/12)-1)</f>
        <v>9054136.9948039856</v>
      </c>
      <c r="H284" s="2">
        <f t="shared" si="273"/>
        <v>1045637769.5834728</v>
      </c>
      <c r="I284" s="2">
        <f t="shared" si="284"/>
        <v>326592252.4802599</v>
      </c>
      <c r="J284" s="5">
        <f t="shared" si="278"/>
        <v>3.2016612814373913</v>
      </c>
    </row>
    <row r="285" spans="1:10" x14ac:dyDescent="0.3">
      <c r="A285" s="1">
        <f t="shared" si="269"/>
        <v>23</v>
      </c>
      <c r="B285" s="1">
        <f t="shared" si="270"/>
        <v>10</v>
      </c>
      <c r="C285" s="2">
        <f t="shared" si="271"/>
        <v>1045637769.5834728</v>
      </c>
      <c r="D285" s="2">
        <f t="shared" si="281"/>
        <v>24601824.080315877</v>
      </c>
      <c r="E285" s="2">
        <f t="shared" si="282"/>
        <v>10123687.881559694</v>
      </c>
      <c r="F285" s="2">
        <f t="shared" si="279"/>
        <v>2460182.408031588</v>
      </c>
      <c r="G285" s="2">
        <f t="shared" ref="G285" si="299">(H284+F285)*((1+$B$3)^(1/12)-1)</f>
        <v>9154709.8979423959</v>
      </c>
      <c r="H285" s="2">
        <f t="shared" si="273"/>
        <v>1057252661.8894469</v>
      </c>
      <c r="I285" s="2">
        <f t="shared" si="284"/>
        <v>326592252.4802599</v>
      </c>
      <c r="J285" s="5">
        <f t="shared" si="278"/>
        <v>3.2372251756135886</v>
      </c>
    </row>
    <row r="286" spans="1:10" x14ac:dyDescent="0.3">
      <c r="A286" s="1">
        <f t="shared" si="269"/>
        <v>23</v>
      </c>
      <c r="B286" s="1">
        <f t="shared" si="270"/>
        <v>11</v>
      </c>
      <c r="C286" s="2">
        <f t="shared" si="271"/>
        <v>1057252661.8894469</v>
      </c>
      <c r="D286" s="2">
        <f t="shared" si="281"/>
        <v>24601824.080315877</v>
      </c>
      <c r="E286" s="2">
        <f t="shared" si="282"/>
        <v>10123687.881559694</v>
      </c>
      <c r="F286" s="2">
        <f t="shared" si="279"/>
        <v>2460182.408031588</v>
      </c>
      <c r="G286" s="2">
        <f t="shared" ref="G286" si="300">(H285+F286)*((1+$B$3)^(1/12)-1)</f>
        <v>9256161.2645393778</v>
      </c>
      <c r="H286" s="2">
        <f t="shared" si="273"/>
        <v>1068969005.5620178</v>
      </c>
      <c r="I286" s="2">
        <f t="shared" si="284"/>
        <v>326592252.4802599</v>
      </c>
      <c r="J286" s="5">
        <f t="shared" si="278"/>
        <v>3.2730997059601994</v>
      </c>
    </row>
    <row r="287" spans="1:10" x14ac:dyDescent="0.3">
      <c r="A287" s="1">
        <f t="shared" si="269"/>
        <v>23</v>
      </c>
      <c r="B287" s="1">
        <f t="shared" si="270"/>
        <v>12</v>
      </c>
      <c r="C287" s="2">
        <f t="shared" si="271"/>
        <v>1068969005.5620178</v>
      </c>
      <c r="D287" s="2">
        <f t="shared" si="281"/>
        <v>24601824.080315877</v>
      </c>
      <c r="E287" s="2">
        <f t="shared" si="282"/>
        <v>10123687.881559694</v>
      </c>
      <c r="F287" s="2">
        <f t="shared" si="279"/>
        <v>4920364.8160631759</v>
      </c>
      <c r="G287" s="2">
        <f t="shared" ref="G287" si="301">(H286+F287)*((1+$B$3)^(1/12)-1)</f>
        <v>9379987.4616824314</v>
      </c>
      <c r="H287" s="2">
        <f t="shared" si="273"/>
        <v>1083269357.8397634</v>
      </c>
      <c r="I287" s="2">
        <f t="shared" si="284"/>
        <v>326592252.4802599</v>
      </c>
      <c r="J287" s="5">
        <f t="shared" si="278"/>
        <v>3.3168862690802472</v>
      </c>
    </row>
    <row r="288" spans="1:10" x14ac:dyDescent="0.3">
      <c r="A288" s="1">
        <f t="shared" si="269"/>
        <v>24</v>
      </c>
      <c r="B288" s="1">
        <f t="shared" si="270"/>
        <v>1</v>
      </c>
      <c r="C288" s="2">
        <f t="shared" si="271"/>
        <v>1083269357.8397634</v>
      </c>
      <c r="D288" s="2">
        <f t="shared" si="281"/>
        <v>25999207.688077819</v>
      </c>
      <c r="E288" s="2">
        <f t="shared" si="282"/>
        <v>10898150.004499011</v>
      </c>
      <c r="F288" s="2">
        <f t="shared" si="279"/>
        <v>2599920.7688077819</v>
      </c>
      <c r="G288" s="2">
        <f t="shared" ref="G288" si="302">(H287+F288)*((1+$B$3)^(1/12)-1)</f>
        <v>9484627.0941191912</v>
      </c>
      <c r="H288" s="2">
        <f t="shared" si="273"/>
        <v>1095353905.7026906</v>
      </c>
      <c r="I288" s="2">
        <f t="shared" si="284"/>
        <v>338349573.56954926</v>
      </c>
      <c r="J288" s="5">
        <f t="shared" si="278"/>
        <v>3.2373438339136422</v>
      </c>
    </row>
    <row r="289" spans="1:10" x14ac:dyDescent="0.3">
      <c r="A289" s="1">
        <f t="shared" si="269"/>
        <v>24</v>
      </c>
      <c r="B289" s="1">
        <f t="shared" si="270"/>
        <v>2</v>
      </c>
      <c r="C289" s="2">
        <f t="shared" si="271"/>
        <v>1095353905.7026906</v>
      </c>
      <c r="D289" s="2">
        <f t="shared" si="281"/>
        <v>25999207.688077819</v>
      </c>
      <c r="E289" s="2">
        <f t="shared" si="282"/>
        <v>10898150.004499011</v>
      </c>
      <c r="F289" s="2">
        <f t="shared" si="279"/>
        <v>2599920.7688077819</v>
      </c>
      <c r="G289" s="2">
        <f t="shared" ref="G289" si="303">(H288+F289)*((1+$B$3)^(1/12)-1)</f>
        <v>9590180.7112431321</v>
      </c>
      <c r="H289" s="2">
        <f t="shared" si="273"/>
        <v>1107544007.1827416</v>
      </c>
      <c r="I289" s="2">
        <f t="shared" si="284"/>
        <v>338349573.56954926</v>
      </c>
      <c r="J289" s="5">
        <f t="shared" si="278"/>
        <v>3.2733719611296661</v>
      </c>
    </row>
    <row r="290" spans="1:10" x14ac:dyDescent="0.3">
      <c r="A290" s="1">
        <f t="shared" si="269"/>
        <v>24</v>
      </c>
      <c r="B290" s="1">
        <f t="shared" si="270"/>
        <v>3</v>
      </c>
      <c r="C290" s="2">
        <f t="shared" si="271"/>
        <v>1107544007.1827416</v>
      </c>
      <c r="D290" s="2">
        <f t="shared" si="281"/>
        <v>25999207.688077819</v>
      </c>
      <c r="E290" s="2">
        <f t="shared" si="282"/>
        <v>10898150.004499011</v>
      </c>
      <c r="F290" s="2">
        <f t="shared" si="279"/>
        <v>2599920.7688077819</v>
      </c>
      <c r="G290" s="2">
        <f t="shared" ref="G290" si="304">(H289+F290)*((1+$B$3)^(1/12)-1)</f>
        <v>9696656.2963392567</v>
      </c>
      <c r="H290" s="2">
        <f t="shared" si="273"/>
        <v>1119840584.2478888</v>
      </c>
      <c r="I290" s="2">
        <f t="shared" si="284"/>
        <v>338349573.56954926</v>
      </c>
      <c r="J290" s="5">
        <f t="shared" si="278"/>
        <v>3.3097147794031447</v>
      </c>
    </row>
    <row r="291" spans="1:10" x14ac:dyDescent="0.3">
      <c r="A291" s="1">
        <f t="shared" si="269"/>
        <v>24</v>
      </c>
      <c r="B291" s="1">
        <f t="shared" si="270"/>
        <v>4</v>
      </c>
      <c r="C291" s="2">
        <f t="shared" si="271"/>
        <v>1119840584.2478888</v>
      </c>
      <c r="D291" s="2">
        <f t="shared" si="281"/>
        <v>25999207.688077819</v>
      </c>
      <c r="E291" s="2">
        <f t="shared" si="282"/>
        <v>10898150.004499011</v>
      </c>
      <c r="F291" s="2">
        <f t="shared" si="279"/>
        <v>2599920.7688077819</v>
      </c>
      <c r="G291" s="2">
        <f t="shared" ref="G291" si="305">(H290+F291)*((1+$B$3)^(1/12)-1)</f>
        <v>9804061.9024233203</v>
      </c>
      <c r="H291" s="2">
        <f t="shared" si="273"/>
        <v>1132244566.9191201</v>
      </c>
      <c r="I291" s="2">
        <f t="shared" si="284"/>
        <v>338349573.56954926</v>
      </c>
      <c r="J291" s="5">
        <f t="shared" si="278"/>
        <v>3.3463750374326455</v>
      </c>
    </row>
    <row r="292" spans="1:10" x14ac:dyDescent="0.3">
      <c r="A292" s="1">
        <f t="shared" si="269"/>
        <v>24</v>
      </c>
      <c r="B292" s="1">
        <f t="shared" si="270"/>
        <v>5</v>
      </c>
      <c r="C292" s="2">
        <f t="shared" si="271"/>
        <v>1132244566.9191201</v>
      </c>
      <c r="D292" s="2">
        <f t="shared" si="281"/>
        <v>25999207.688077819</v>
      </c>
      <c r="E292" s="2">
        <f t="shared" si="282"/>
        <v>10898150.004499011</v>
      </c>
      <c r="F292" s="2">
        <f t="shared" si="279"/>
        <v>2599920.7688077819</v>
      </c>
      <c r="G292" s="2">
        <f t="shared" ref="G292" si="306">(H291+F292)*((1+$B$3)^(1/12)-1)</f>
        <v>9912405.6528509036</v>
      </c>
      <c r="H292" s="2">
        <f t="shared" si="273"/>
        <v>1144756893.3407788</v>
      </c>
      <c r="I292" s="2">
        <f t="shared" si="284"/>
        <v>338349573.56954926</v>
      </c>
      <c r="J292" s="5">
        <f t="shared" si="278"/>
        <v>3.3833555079255007</v>
      </c>
    </row>
    <row r="293" spans="1:10" x14ac:dyDescent="0.3">
      <c r="A293" s="1">
        <f t="shared" si="269"/>
        <v>24</v>
      </c>
      <c r="B293" s="1">
        <f t="shared" si="270"/>
        <v>6</v>
      </c>
      <c r="C293" s="2">
        <f t="shared" si="271"/>
        <v>1144756893.3407788</v>
      </c>
      <c r="D293" s="2">
        <f t="shared" si="281"/>
        <v>25999207.688077819</v>
      </c>
      <c r="E293" s="2">
        <f t="shared" si="282"/>
        <v>10898150.004499011</v>
      </c>
      <c r="F293" s="2">
        <f t="shared" si="279"/>
        <v>5199841.5376155637</v>
      </c>
      <c r="G293" s="2">
        <f t="shared" ref="G293" si="307">(H292+F293)*((1+$B$3)^(1/12)-1)</f>
        <v>10044404.99382074</v>
      </c>
      <c r="H293" s="2">
        <f t="shared" si="273"/>
        <v>1160001139.872215</v>
      </c>
      <c r="I293" s="2">
        <f t="shared" si="284"/>
        <v>338349573.56954926</v>
      </c>
      <c r="J293" s="5">
        <f t="shared" si="278"/>
        <v>3.428410231567121</v>
      </c>
    </row>
    <row r="294" spans="1:10" x14ac:dyDescent="0.3">
      <c r="A294" s="1">
        <f t="shared" si="269"/>
        <v>24</v>
      </c>
      <c r="B294" s="1">
        <f t="shared" si="270"/>
        <v>7</v>
      </c>
      <c r="C294" s="2">
        <f t="shared" si="271"/>
        <v>1160001139.872215</v>
      </c>
      <c r="D294" s="2">
        <f t="shared" si="281"/>
        <v>25999207.688077819</v>
      </c>
      <c r="E294" s="2">
        <f t="shared" si="282"/>
        <v>10898150.004499011</v>
      </c>
      <c r="F294" s="2">
        <f t="shared" si="279"/>
        <v>2599920.7688077819</v>
      </c>
      <c r="G294" s="2">
        <f t="shared" ref="G294" si="308">(H293+F294)*((1+$B$3)^(1/12)-1)</f>
        <v>10154848.043529974</v>
      </c>
      <c r="H294" s="2">
        <f t="shared" si="273"/>
        <v>1172755908.6845529</v>
      </c>
      <c r="I294" s="2">
        <f t="shared" si="284"/>
        <v>338349573.56954926</v>
      </c>
      <c r="J294" s="5">
        <f t="shared" si="278"/>
        <v>3.4661072461599769</v>
      </c>
    </row>
    <row r="295" spans="1:10" x14ac:dyDescent="0.3">
      <c r="A295" s="1">
        <f t="shared" si="269"/>
        <v>24</v>
      </c>
      <c r="B295" s="1">
        <f t="shared" si="270"/>
        <v>8</v>
      </c>
      <c r="C295" s="2">
        <f t="shared" si="271"/>
        <v>1172755908.6845529</v>
      </c>
      <c r="D295" s="2">
        <f t="shared" si="281"/>
        <v>25999207.688077819</v>
      </c>
      <c r="E295" s="2">
        <f t="shared" si="282"/>
        <v>10898150.004499011</v>
      </c>
      <c r="F295" s="2">
        <f t="shared" si="279"/>
        <v>2599920.7688077819</v>
      </c>
      <c r="G295" s="2">
        <f t="shared" ref="G295" si="309">(H294+F295)*((1+$B$3)^(1/12)-1)</f>
        <v>10266255.768419053</v>
      </c>
      <c r="H295" s="2">
        <f t="shared" si="273"/>
        <v>1185622085.2217798</v>
      </c>
      <c r="I295" s="2">
        <f t="shared" si="284"/>
        <v>338349573.56954926</v>
      </c>
      <c r="J295" s="5">
        <f t="shared" si="278"/>
        <v>3.5041335288636617</v>
      </c>
    </row>
    <row r="296" spans="1:10" x14ac:dyDescent="0.3">
      <c r="A296" s="1">
        <f t="shared" si="269"/>
        <v>24</v>
      </c>
      <c r="B296" s="1">
        <f t="shared" si="270"/>
        <v>9</v>
      </c>
      <c r="C296" s="2">
        <f t="shared" si="271"/>
        <v>1185622085.2217798</v>
      </c>
      <c r="D296" s="2">
        <f t="shared" si="281"/>
        <v>25999207.688077819</v>
      </c>
      <c r="E296" s="2">
        <f t="shared" si="282"/>
        <v>10898150.004499011</v>
      </c>
      <c r="F296" s="2">
        <f t="shared" si="279"/>
        <v>2599920.7688077819</v>
      </c>
      <c r="G296" s="2">
        <f t="shared" ref="G296" si="310">(H295+F296)*((1+$B$3)^(1/12)-1)</f>
        <v>10378636.594533844</v>
      </c>
      <c r="H296" s="2">
        <f t="shared" si="273"/>
        <v>1198600642.5851216</v>
      </c>
      <c r="I296" s="2">
        <f t="shared" si="284"/>
        <v>338349573.56954926</v>
      </c>
      <c r="J296" s="5">
        <f t="shared" si="278"/>
        <v>3.5424919557013834</v>
      </c>
    </row>
    <row r="297" spans="1:10" x14ac:dyDescent="0.3">
      <c r="A297" s="1">
        <f t="shared" si="269"/>
        <v>24</v>
      </c>
      <c r="B297" s="1">
        <f t="shared" si="270"/>
        <v>10</v>
      </c>
      <c r="C297" s="2">
        <f t="shared" si="271"/>
        <v>1198600642.5851216</v>
      </c>
      <c r="D297" s="2">
        <f t="shared" si="281"/>
        <v>25999207.688077819</v>
      </c>
      <c r="E297" s="2">
        <f t="shared" si="282"/>
        <v>10898150.004499011</v>
      </c>
      <c r="F297" s="2">
        <f t="shared" si="279"/>
        <v>2599920.7688077819</v>
      </c>
      <c r="G297" s="2">
        <f t="shared" ref="G297" si="311">(H296+F297)*((1+$B$3)^(1/12)-1)</f>
        <v>10491999.021518303</v>
      </c>
      <c r="H297" s="2">
        <f t="shared" si="273"/>
        <v>1211692562.3754478</v>
      </c>
      <c r="I297" s="2">
        <f t="shared" si="284"/>
        <v>338349573.56954926</v>
      </c>
      <c r="J297" s="5">
        <f t="shared" si="278"/>
        <v>3.5811854278172421</v>
      </c>
    </row>
    <row r="298" spans="1:10" x14ac:dyDescent="0.3">
      <c r="A298" s="1">
        <f t="shared" si="269"/>
        <v>24</v>
      </c>
      <c r="B298" s="1">
        <f t="shared" si="270"/>
        <v>11</v>
      </c>
      <c r="C298" s="2">
        <f t="shared" si="271"/>
        <v>1211692562.3754478</v>
      </c>
      <c r="D298" s="2">
        <f t="shared" si="281"/>
        <v>25999207.688077819</v>
      </c>
      <c r="E298" s="2">
        <f t="shared" si="282"/>
        <v>10898150.004499011</v>
      </c>
      <c r="F298" s="2">
        <f t="shared" si="279"/>
        <v>2599920.7688077819</v>
      </c>
      <c r="G298" s="2">
        <f t="shared" ref="G298" si="312">(H297+F298)*((1+$B$3)^(1/12)-1)</f>
        <v>10606351.623257322</v>
      </c>
      <c r="H298" s="2">
        <f t="shared" si="273"/>
        <v>1224898834.767513</v>
      </c>
      <c r="I298" s="2">
        <f t="shared" si="284"/>
        <v>338349573.56954926</v>
      </c>
      <c r="J298" s="5">
        <f t="shared" si="278"/>
        <v>3.6202168716956566</v>
      </c>
    </row>
    <row r="299" spans="1:10" x14ac:dyDescent="0.3">
      <c r="A299" s="1">
        <f t="shared" si="269"/>
        <v>24</v>
      </c>
      <c r="B299" s="1">
        <f t="shared" si="270"/>
        <v>12</v>
      </c>
      <c r="C299" s="2">
        <f t="shared" si="271"/>
        <v>1224898834.767513</v>
      </c>
      <c r="D299" s="2">
        <f t="shared" si="281"/>
        <v>25999207.688077819</v>
      </c>
      <c r="E299" s="2">
        <f t="shared" si="282"/>
        <v>10898150.004499011</v>
      </c>
      <c r="F299" s="2">
        <f t="shared" si="279"/>
        <v>5199841.5376155637</v>
      </c>
      <c r="G299" s="2">
        <f t="shared" ref="G299" si="313">(H298+F299)*((1+$B$3)^(1/12)-1)</f>
        <v>10744412.300414151</v>
      </c>
      <c r="H299" s="2">
        <f t="shared" si="273"/>
        <v>1240843088.6055427</v>
      </c>
      <c r="I299" s="2">
        <f t="shared" si="284"/>
        <v>338349573.56954926</v>
      </c>
      <c r="J299" s="5">
        <f t="shared" si="278"/>
        <v>3.667340483142302</v>
      </c>
    </row>
    <row r="300" spans="1:10" x14ac:dyDescent="0.3">
      <c r="A300" s="1">
        <f t="shared" si="269"/>
        <v>25</v>
      </c>
      <c r="B300" s="1">
        <f t="shared" si="270"/>
        <v>1</v>
      </c>
      <c r="C300" s="2">
        <f t="shared" si="271"/>
        <v>1240843088.6055427</v>
      </c>
      <c r="D300" s="2">
        <f t="shared" si="281"/>
        <v>27475962.684760638</v>
      </c>
      <c r="E300" s="2">
        <f t="shared" si="282"/>
        <v>11731858.479843184</v>
      </c>
      <c r="F300" s="2">
        <f t="shared" si="279"/>
        <v>2747596.2684760639</v>
      </c>
      <c r="G300" s="2">
        <f t="shared" ref="G300" si="314">(H299+F300)*((1+$B$3)^(1/12)-1)</f>
        <v>10862259.515127288</v>
      </c>
      <c r="H300" s="2">
        <f t="shared" si="273"/>
        <v>1254452944.3891459</v>
      </c>
      <c r="I300" s="2">
        <f t="shared" si="284"/>
        <v>350530158.21805304</v>
      </c>
      <c r="J300" s="5">
        <f t="shared" si="278"/>
        <v>3.5787304315447597</v>
      </c>
    </row>
    <row r="301" spans="1:10" x14ac:dyDescent="0.3">
      <c r="A301" s="1">
        <f t="shared" si="269"/>
        <v>25</v>
      </c>
      <c r="B301" s="1">
        <f t="shared" si="270"/>
        <v>2</v>
      </c>
      <c r="C301" s="2">
        <f t="shared" si="271"/>
        <v>1254452944.3891459</v>
      </c>
      <c r="D301" s="2">
        <f t="shared" si="281"/>
        <v>27475962.684760638</v>
      </c>
      <c r="E301" s="2">
        <f t="shared" si="282"/>
        <v>11731858.479843184</v>
      </c>
      <c r="F301" s="2">
        <f t="shared" si="279"/>
        <v>2747596.2684760639</v>
      </c>
      <c r="G301" s="2">
        <f t="shared" ref="G301" si="315">(H300+F301)*((1+$B$3)^(1/12)-1)</f>
        <v>10981136.07739418</v>
      </c>
      <c r="H301" s="2">
        <f t="shared" si="273"/>
        <v>1268181676.7350161</v>
      </c>
      <c r="I301" s="2">
        <f t="shared" si="284"/>
        <v>350530158.21805304</v>
      </c>
      <c r="J301" s="5">
        <f t="shared" si="278"/>
        <v>3.6178960554547288</v>
      </c>
    </row>
    <row r="302" spans="1:10" x14ac:dyDescent="0.3">
      <c r="A302" s="1">
        <f t="shared" si="269"/>
        <v>25</v>
      </c>
      <c r="B302" s="1">
        <f t="shared" si="270"/>
        <v>3</v>
      </c>
      <c r="C302" s="2">
        <f t="shared" si="271"/>
        <v>1268181676.7350161</v>
      </c>
      <c r="D302" s="2">
        <f t="shared" si="281"/>
        <v>27475962.684760638</v>
      </c>
      <c r="E302" s="2">
        <f t="shared" si="282"/>
        <v>11731858.479843184</v>
      </c>
      <c r="F302" s="2">
        <f t="shared" si="279"/>
        <v>2747596.2684760639</v>
      </c>
      <c r="G302" s="2">
        <f t="shared" ref="G302" si="316">(H301+F302)*((1+$B$3)^(1/12)-1)</f>
        <v>11101050.978147617</v>
      </c>
      <c r="H302" s="2">
        <f t="shared" si="273"/>
        <v>1282030323.9816396</v>
      </c>
      <c r="I302" s="2">
        <f t="shared" si="284"/>
        <v>350530158.21805304</v>
      </c>
      <c r="J302" s="5">
        <f t="shared" si="278"/>
        <v>3.6574037751813973</v>
      </c>
    </row>
    <row r="303" spans="1:10" x14ac:dyDescent="0.3">
      <c r="A303" s="1">
        <f t="shared" si="269"/>
        <v>25</v>
      </c>
      <c r="B303" s="1">
        <f t="shared" si="270"/>
        <v>4</v>
      </c>
      <c r="C303" s="2">
        <f t="shared" si="271"/>
        <v>1282030323.9816396</v>
      </c>
      <c r="D303" s="2">
        <f t="shared" si="281"/>
        <v>27475962.684760638</v>
      </c>
      <c r="E303" s="2">
        <f t="shared" si="282"/>
        <v>11731858.479843184</v>
      </c>
      <c r="F303" s="2">
        <f t="shared" si="279"/>
        <v>2747596.2684760639</v>
      </c>
      <c r="G303" s="2">
        <f t="shared" ref="G303" si="317">(H302+F303)*((1+$B$3)^(1/12)-1)</f>
        <v>11222013.286852524</v>
      </c>
      <c r="H303" s="2">
        <f t="shared" si="273"/>
        <v>1295999933.5369682</v>
      </c>
      <c r="I303" s="2">
        <f t="shared" si="284"/>
        <v>350530158.21805304</v>
      </c>
      <c r="J303" s="5">
        <f t="shared" si="278"/>
        <v>3.6972565787927731</v>
      </c>
    </row>
    <row r="304" spans="1:10" x14ac:dyDescent="0.3">
      <c r="A304" s="1">
        <f t="shared" si="269"/>
        <v>25</v>
      </c>
      <c r="B304" s="1">
        <f t="shared" si="270"/>
        <v>5</v>
      </c>
      <c r="C304" s="2">
        <f t="shared" si="271"/>
        <v>1295999933.5369682</v>
      </c>
      <c r="D304" s="2">
        <f t="shared" si="281"/>
        <v>27475962.684760638</v>
      </c>
      <c r="E304" s="2">
        <f t="shared" si="282"/>
        <v>11731858.479843184</v>
      </c>
      <c r="F304" s="2">
        <f t="shared" si="279"/>
        <v>2747596.2684760639</v>
      </c>
      <c r="G304" s="2">
        <f t="shared" ref="G304" si="318">(H303+F304)*((1+$B$3)^(1/12)-1)</f>
        <v>11344032.152191928</v>
      </c>
      <c r="H304" s="2">
        <f t="shared" si="273"/>
        <v>1310091561.9576361</v>
      </c>
      <c r="I304" s="2">
        <f t="shared" si="284"/>
        <v>350530158.21805304</v>
      </c>
      <c r="J304" s="5">
        <f t="shared" si="278"/>
        <v>3.7374574804564236</v>
      </c>
    </row>
    <row r="305" spans="1:10" x14ac:dyDescent="0.3">
      <c r="A305" s="1">
        <f t="shared" si="269"/>
        <v>25</v>
      </c>
      <c r="B305" s="1">
        <f t="shared" si="270"/>
        <v>6</v>
      </c>
      <c r="C305" s="2">
        <f t="shared" si="271"/>
        <v>1310091561.9576361</v>
      </c>
      <c r="D305" s="2">
        <f t="shared" si="281"/>
        <v>27475962.684760638</v>
      </c>
      <c r="E305" s="2">
        <f t="shared" si="282"/>
        <v>11731858.479843184</v>
      </c>
      <c r="F305" s="2">
        <f t="shared" si="279"/>
        <v>5495192.5369521277</v>
      </c>
      <c r="G305" s="2">
        <f t="shared" ref="G305" si="319">(H304+F305)*((1+$B$3)^(1/12)-1)</f>
        <v>11491115.940155128</v>
      </c>
      <c r="H305" s="2">
        <f t="shared" si="273"/>
        <v>1327077870.4347432</v>
      </c>
      <c r="I305" s="2">
        <f t="shared" si="284"/>
        <v>350530158.21805304</v>
      </c>
      <c r="J305" s="5">
        <f t="shared" si="278"/>
        <v>3.785916387853888</v>
      </c>
    </row>
    <row r="306" spans="1:10" x14ac:dyDescent="0.3">
      <c r="A306" s="1">
        <f t="shared" si="269"/>
        <v>25</v>
      </c>
      <c r="B306" s="1">
        <f t="shared" si="270"/>
        <v>7</v>
      </c>
      <c r="C306" s="2">
        <f t="shared" si="271"/>
        <v>1327077870.4347432</v>
      </c>
      <c r="D306" s="2">
        <f t="shared" si="281"/>
        <v>27475962.684760638</v>
      </c>
      <c r="E306" s="2">
        <f t="shared" si="282"/>
        <v>11731858.479843184</v>
      </c>
      <c r="F306" s="2">
        <f t="shared" si="279"/>
        <v>2747596.2684760639</v>
      </c>
      <c r="G306" s="2">
        <f t="shared" ref="G306" si="320">(H305+F306)*((1+$B$3)^(1/12)-1)</f>
        <v>11615485.307867968</v>
      </c>
      <c r="H306" s="2">
        <f t="shared" si="273"/>
        <v>1341440952.0110872</v>
      </c>
      <c r="I306" s="2">
        <f t="shared" si="284"/>
        <v>350530158.21805304</v>
      </c>
      <c r="J306" s="5">
        <f t="shared" si="278"/>
        <v>3.8268916969381612</v>
      </c>
    </row>
    <row r="307" spans="1:10" x14ac:dyDescent="0.3">
      <c r="A307" s="1">
        <f t="shared" si="269"/>
        <v>25</v>
      </c>
      <c r="B307" s="1">
        <f t="shared" si="270"/>
        <v>8</v>
      </c>
      <c r="C307" s="2">
        <f t="shared" si="271"/>
        <v>1341440952.0110872</v>
      </c>
      <c r="D307" s="2">
        <f t="shared" si="281"/>
        <v>27475962.684760638</v>
      </c>
      <c r="E307" s="2">
        <f t="shared" si="282"/>
        <v>11731858.479843184</v>
      </c>
      <c r="F307" s="2">
        <f t="shared" si="279"/>
        <v>2747596.2684760639</v>
      </c>
      <c r="G307" s="2">
        <f t="shared" ref="G307" si="321">(H306+F307)*((1+$B$3)^(1/12)-1)</f>
        <v>11740940.991491877</v>
      </c>
      <c r="H307" s="2">
        <f t="shared" si="273"/>
        <v>1355929489.271055</v>
      </c>
      <c r="I307" s="2">
        <f t="shared" si="284"/>
        <v>350530158.21805304</v>
      </c>
      <c r="J307" s="5">
        <f t="shared" si="278"/>
        <v>3.8682249087040801</v>
      </c>
    </row>
    <row r="308" spans="1:10" x14ac:dyDescent="0.3">
      <c r="A308" s="1">
        <f t="shared" si="269"/>
        <v>25</v>
      </c>
      <c r="B308" s="1">
        <f t="shared" si="270"/>
        <v>9</v>
      </c>
      <c r="C308" s="2">
        <f t="shared" si="271"/>
        <v>1355929489.271055</v>
      </c>
      <c r="D308" s="2">
        <f t="shared" si="281"/>
        <v>27475962.684760638</v>
      </c>
      <c r="E308" s="2">
        <f t="shared" si="282"/>
        <v>11731858.479843184</v>
      </c>
      <c r="F308" s="2">
        <f t="shared" si="279"/>
        <v>2747596.2684760639</v>
      </c>
      <c r="G308" s="2">
        <f t="shared" ref="G308" si="322">(H307+F308)*((1+$B$3)^(1/12)-1)</f>
        <v>11867492.479555093</v>
      </c>
      <c r="H308" s="2">
        <f t="shared" si="273"/>
        <v>1370544578.0190861</v>
      </c>
      <c r="I308" s="2">
        <f t="shared" si="284"/>
        <v>350530158.21805304</v>
      </c>
      <c r="J308" s="5">
        <f t="shared" si="278"/>
        <v>3.9099191492861975</v>
      </c>
    </row>
    <row r="309" spans="1:10" x14ac:dyDescent="0.3">
      <c r="A309" s="1">
        <f t="shared" si="269"/>
        <v>25</v>
      </c>
      <c r="B309" s="1">
        <f t="shared" si="270"/>
        <v>10</v>
      </c>
      <c r="C309" s="2">
        <f t="shared" si="271"/>
        <v>1370544578.0190861</v>
      </c>
      <c r="D309" s="2">
        <f t="shared" si="281"/>
        <v>27475962.684760638</v>
      </c>
      <c r="E309" s="2">
        <f t="shared" si="282"/>
        <v>11731858.479843184</v>
      </c>
      <c r="F309" s="2">
        <f t="shared" si="279"/>
        <v>2747596.2684760639</v>
      </c>
      <c r="G309" s="2">
        <f t="shared" ref="G309" si="323">(H308+F309)*((1+$B$3)^(1/12)-1)</f>
        <v>11995149.343464307</v>
      </c>
      <c r="H309" s="2">
        <f t="shared" si="273"/>
        <v>1385287323.6310265</v>
      </c>
      <c r="I309" s="2">
        <f t="shared" si="284"/>
        <v>350530158.21805304</v>
      </c>
      <c r="J309" s="5">
        <f t="shared" si="278"/>
        <v>3.9519775721245809</v>
      </c>
    </row>
    <row r="310" spans="1:10" x14ac:dyDescent="0.3">
      <c r="A310" s="1">
        <f t="shared" si="269"/>
        <v>25</v>
      </c>
      <c r="B310" s="1">
        <f t="shared" si="270"/>
        <v>11</v>
      </c>
      <c r="C310" s="2">
        <f t="shared" si="271"/>
        <v>1385287323.6310265</v>
      </c>
      <c r="D310" s="2">
        <f t="shared" si="281"/>
        <v>27475962.684760638</v>
      </c>
      <c r="E310" s="2">
        <f t="shared" si="282"/>
        <v>11731858.479843184</v>
      </c>
      <c r="F310" s="2">
        <f t="shared" si="279"/>
        <v>2747596.2684760639</v>
      </c>
      <c r="G310" s="2">
        <f t="shared" ref="G310" si="324">(H309+F310)*((1+$B$3)^(1/12)-1)</f>
        <v>12123921.238228559</v>
      </c>
      <c r="H310" s="2">
        <f t="shared" si="273"/>
        <v>1400158841.1377311</v>
      </c>
      <c r="I310" s="2">
        <f t="shared" si="284"/>
        <v>350530158.21805304</v>
      </c>
      <c r="J310" s="5">
        <f t="shared" si="278"/>
        <v>3.9944033582033169</v>
      </c>
    </row>
    <row r="311" spans="1:10" x14ac:dyDescent="0.3">
      <c r="A311" s="1">
        <f t="shared" si="269"/>
        <v>25</v>
      </c>
      <c r="B311" s="1">
        <f t="shared" si="270"/>
        <v>12</v>
      </c>
      <c r="C311" s="2">
        <f t="shared" si="271"/>
        <v>1400158841.1377311</v>
      </c>
      <c r="D311" s="2">
        <f t="shared" si="281"/>
        <v>27475962.684760638</v>
      </c>
      <c r="E311" s="2">
        <f t="shared" si="282"/>
        <v>11731858.479843184</v>
      </c>
      <c r="F311" s="2">
        <f t="shared" si="279"/>
        <v>5495192.5369521277</v>
      </c>
      <c r="G311" s="2">
        <f t="shared" ref="G311" si="325">(H310+F311)*((1+$B$3)^(1/12)-1)</f>
        <v>12277817.04058571</v>
      </c>
      <c r="H311" s="2">
        <f t="shared" si="273"/>
        <v>1417931850.7152689</v>
      </c>
      <c r="I311" s="2">
        <f t="shared" si="284"/>
        <v>350530158.21805304</v>
      </c>
      <c r="J311" s="5">
        <f t="shared" si="278"/>
        <v>4.0451065834775362</v>
      </c>
    </row>
    <row r="312" spans="1:10" x14ac:dyDescent="0.3">
      <c r="A312" s="1">
        <f t="shared" si="269"/>
        <v>26</v>
      </c>
      <c r="B312" s="1">
        <f t="shared" si="270"/>
        <v>1</v>
      </c>
      <c r="C312" s="2">
        <f t="shared" si="271"/>
        <v>1417931850.7152689</v>
      </c>
      <c r="D312" s="2">
        <f t="shared" si="281"/>
        <v>29036597.365255039</v>
      </c>
      <c r="E312" s="2">
        <f t="shared" si="282"/>
        <v>12629345.653551187</v>
      </c>
      <c r="F312" s="2">
        <f t="shared" si="279"/>
        <v>2903659.7365255039</v>
      </c>
      <c r="G312" s="2">
        <f t="shared" ref="G312" si="326">(H311+F312)*((1+$B$3)^(1/12)-1)</f>
        <v>12410421.073875463</v>
      </c>
      <c r="H312" s="2">
        <f t="shared" si="273"/>
        <v>1433245931.5256698</v>
      </c>
      <c r="I312" s="2">
        <f t="shared" si="284"/>
        <v>363149243.91390294</v>
      </c>
      <c r="J312" s="5">
        <f t="shared" si="278"/>
        <v>3.9467132468144976</v>
      </c>
    </row>
    <row r="313" spans="1:10" x14ac:dyDescent="0.3">
      <c r="A313" s="1">
        <f t="shared" si="269"/>
        <v>26</v>
      </c>
      <c r="B313" s="1">
        <f t="shared" si="270"/>
        <v>2</v>
      </c>
      <c r="C313" s="2">
        <f t="shared" si="271"/>
        <v>1433245931.5256698</v>
      </c>
      <c r="D313" s="2">
        <f t="shared" si="281"/>
        <v>29036597.365255039</v>
      </c>
      <c r="E313" s="2">
        <f t="shared" si="282"/>
        <v>12629345.653551187</v>
      </c>
      <c r="F313" s="2">
        <f t="shared" si="279"/>
        <v>2903659.7365255039</v>
      </c>
      <c r="G313" s="2">
        <f t="shared" ref="G313" si="327">(H312+F313)*((1+$B$3)^(1/12)-1)</f>
        <v>12544183.349535367</v>
      </c>
      <c r="H313" s="2">
        <f t="shared" si="273"/>
        <v>1448693774.6117308</v>
      </c>
      <c r="I313" s="2">
        <f t="shared" si="284"/>
        <v>363149243.91390294</v>
      </c>
      <c r="J313" s="5">
        <f t="shared" si="278"/>
        <v>3.9892517990625191</v>
      </c>
    </row>
    <row r="314" spans="1:10" x14ac:dyDescent="0.3">
      <c r="A314" s="1">
        <f t="shared" si="269"/>
        <v>26</v>
      </c>
      <c r="B314" s="1">
        <f t="shared" si="270"/>
        <v>3</v>
      </c>
      <c r="C314" s="2">
        <f t="shared" si="271"/>
        <v>1448693774.6117308</v>
      </c>
      <c r="D314" s="2">
        <f t="shared" si="281"/>
        <v>29036597.365255039</v>
      </c>
      <c r="E314" s="2">
        <f t="shared" si="282"/>
        <v>12629345.653551187</v>
      </c>
      <c r="F314" s="2">
        <f t="shared" si="279"/>
        <v>2903659.7365255039</v>
      </c>
      <c r="G314" s="2">
        <f t="shared" ref="G314" si="328">(H313+F314)*((1+$B$3)^(1/12)-1)</f>
        <v>12679113.984342074</v>
      </c>
      <c r="H314" s="2">
        <f t="shared" si="273"/>
        <v>1464276548.3325984</v>
      </c>
      <c r="I314" s="2">
        <f t="shared" si="284"/>
        <v>363149243.91390294</v>
      </c>
      <c r="J314" s="5">
        <f t="shared" si="278"/>
        <v>4.0321619082862687</v>
      </c>
    </row>
    <row r="315" spans="1:10" x14ac:dyDescent="0.3">
      <c r="A315" s="1">
        <f t="shared" si="269"/>
        <v>26</v>
      </c>
      <c r="B315" s="1">
        <f t="shared" si="270"/>
        <v>4</v>
      </c>
      <c r="C315" s="2">
        <f t="shared" si="271"/>
        <v>1464276548.3325984</v>
      </c>
      <c r="D315" s="2">
        <f t="shared" si="281"/>
        <v>29036597.365255039</v>
      </c>
      <c r="E315" s="2">
        <f t="shared" si="282"/>
        <v>12629345.653551187</v>
      </c>
      <c r="F315" s="2">
        <f t="shared" si="279"/>
        <v>2903659.7365255039</v>
      </c>
      <c r="G315" s="2">
        <f t="shared" ref="G315" si="329">(H314+F315)*((1+$B$3)^(1/12)-1)</f>
        <v>12815223.183438171</v>
      </c>
      <c r="H315" s="2">
        <f t="shared" si="273"/>
        <v>1479995431.252562</v>
      </c>
      <c r="I315" s="2">
        <f t="shared" si="284"/>
        <v>363149243.91390294</v>
      </c>
      <c r="J315" s="5">
        <f t="shared" si="278"/>
        <v>4.0754468198850118</v>
      </c>
    </row>
    <row r="316" spans="1:10" x14ac:dyDescent="0.3">
      <c r="A316" s="1">
        <f t="shared" si="269"/>
        <v>26</v>
      </c>
      <c r="B316" s="1">
        <f t="shared" si="270"/>
        <v>5</v>
      </c>
      <c r="C316" s="2">
        <f t="shared" si="271"/>
        <v>1479995431.252562</v>
      </c>
      <c r="D316" s="2">
        <f t="shared" si="281"/>
        <v>29036597.365255039</v>
      </c>
      <c r="E316" s="2">
        <f t="shared" si="282"/>
        <v>12629345.653551187</v>
      </c>
      <c r="F316" s="2">
        <f t="shared" si="279"/>
        <v>2903659.7365255039</v>
      </c>
      <c r="G316" s="2">
        <f t="shared" ref="G316" si="330">(H315+F316)*((1+$B$3)^(1/12)-1)</f>
        <v>12952521.24110402</v>
      </c>
      <c r="H316" s="2">
        <f t="shared" si="273"/>
        <v>1495851612.2301917</v>
      </c>
      <c r="I316" s="2">
        <f t="shared" si="284"/>
        <v>363149243.91390294</v>
      </c>
      <c r="J316" s="5">
        <f t="shared" si="278"/>
        <v>4.1191098076052581</v>
      </c>
    </row>
    <row r="317" spans="1:10" x14ac:dyDescent="0.3">
      <c r="A317" s="1">
        <f t="shared" si="269"/>
        <v>26</v>
      </c>
      <c r="B317" s="1">
        <f t="shared" si="270"/>
        <v>6</v>
      </c>
      <c r="C317" s="2">
        <f t="shared" si="271"/>
        <v>1495851612.2301917</v>
      </c>
      <c r="D317" s="2">
        <f t="shared" si="281"/>
        <v>29036597.365255039</v>
      </c>
      <c r="E317" s="2">
        <f t="shared" si="282"/>
        <v>12629345.653551187</v>
      </c>
      <c r="F317" s="2">
        <f t="shared" si="279"/>
        <v>5807319.4730510078</v>
      </c>
      <c r="G317" s="2">
        <f t="shared" ref="G317" si="331">(H316+F317)*((1+$B$3)^(1/12)-1)</f>
        <v>13116380.829936698</v>
      </c>
      <c r="H317" s="2">
        <f t="shared" si="273"/>
        <v>1514775312.5331795</v>
      </c>
      <c r="I317" s="2">
        <f t="shared" si="284"/>
        <v>363149243.91390294</v>
      </c>
      <c r="J317" s="5">
        <f t="shared" si="278"/>
        <v>4.1712197888874289</v>
      </c>
    </row>
    <row r="318" spans="1:10" x14ac:dyDescent="0.3">
      <c r="A318" s="1">
        <f t="shared" si="269"/>
        <v>26</v>
      </c>
      <c r="B318" s="1">
        <f t="shared" si="270"/>
        <v>7</v>
      </c>
      <c r="C318" s="2">
        <f t="shared" si="271"/>
        <v>1514775312.5331795</v>
      </c>
      <c r="D318" s="2">
        <f t="shared" si="281"/>
        <v>29036597.365255039</v>
      </c>
      <c r="E318" s="2">
        <f t="shared" si="282"/>
        <v>12629345.653551187</v>
      </c>
      <c r="F318" s="2">
        <f t="shared" si="279"/>
        <v>2903659.7365255039</v>
      </c>
      <c r="G318" s="2">
        <f t="shared" ref="G318" si="332">(H317+F318)*((1+$B$3)^(1/12)-1)</f>
        <v>13256309.377321571</v>
      </c>
      <c r="H318" s="2">
        <f t="shared" si="273"/>
        <v>1530935281.6470265</v>
      </c>
      <c r="I318" s="2">
        <f t="shared" si="284"/>
        <v>363149243.91390294</v>
      </c>
      <c r="J318" s="5">
        <f t="shared" si="278"/>
        <v>4.2157193145911869</v>
      </c>
    </row>
    <row r="319" spans="1:10" x14ac:dyDescent="0.3">
      <c r="A319" s="1">
        <f t="shared" si="269"/>
        <v>26</v>
      </c>
      <c r="B319" s="1">
        <f t="shared" si="270"/>
        <v>8</v>
      </c>
      <c r="C319" s="2">
        <f t="shared" si="271"/>
        <v>1530935281.6470265</v>
      </c>
      <c r="D319" s="2">
        <f t="shared" si="281"/>
        <v>29036597.365255039</v>
      </c>
      <c r="E319" s="2">
        <f t="shared" si="282"/>
        <v>12629345.653551187</v>
      </c>
      <c r="F319" s="2">
        <f t="shared" si="279"/>
        <v>2903659.7365255039</v>
      </c>
      <c r="G319" s="2">
        <f t="shared" ref="G319" si="333">(H318+F319)*((1+$B$3)^(1/12)-1)</f>
        <v>13397460.143732168</v>
      </c>
      <c r="H319" s="2">
        <f t="shared" si="273"/>
        <v>1547236401.5272841</v>
      </c>
      <c r="I319" s="2">
        <f t="shared" si="284"/>
        <v>363149243.91390294</v>
      </c>
      <c r="J319" s="5">
        <f t="shared" si="278"/>
        <v>4.2606075255773073</v>
      </c>
    </row>
    <row r="320" spans="1:10" x14ac:dyDescent="0.3">
      <c r="A320" s="1">
        <f t="shared" si="269"/>
        <v>26</v>
      </c>
      <c r="B320" s="1">
        <f t="shared" si="270"/>
        <v>9</v>
      </c>
      <c r="C320" s="2">
        <f t="shared" si="271"/>
        <v>1547236401.5272841</v>
      </c>
      <c r="D320" s="2">
        <f t="shared" si="281"/>
        <v>29036597.365255039</v>
      </c>
      <c r="E320" s="2">
        <f t="shared" si="282"/>
        <v>12629345.653551187</v>
      </c>
      <c r="F320" s="2">
        <f t="shared" si="279"/>
        <v>2903659.7365255039</v>
      </c>
      <c r="G320" s="2">
        <f t="shared" ref="G320" si="334">(H319+F320)*((1+$B$3)^(1/12)-1)</f>
        <v>13539843.804755244</v>
      </c>
      <c r="H320" s="2">
        <f t="shared" si="273"/>
        <v>1563679905.0685649</v>
      </c>
      <c r="I320" s="2">
        <f t="shared" si="284"/>
        <v>363149243.91390294</v>
      </c>
      <c r="J320" s="5">
        <f t="shared" si="278"/>
        <v>4.3058878168538586</v>
      </c>
    </row>
    <row r="321" spans="1:10" x14ac:dyDescent="0.3">
      <c r="A321" s="1">
        <f t="shared" si="269"/>
        <v>26</v>
      </c>
      <c r="B321" s="1">
        <f t="shared" si="270"/>
        <v>10</v>
      </c>
      <c r="C321" s="2">
        <f t="shared" si="271"/>
        <v>1563679905.0685649</v>
      </c>
      <c r="D321" s="2">
        <f t="shared" si="281"/>
        <v>29036597.365255039</v>
      </c>
      <c r="E321" s="2">
        <f t="shared" si="282"/>
        <v>12629345.653551187</v>
      </c>
      <c r="F321" s="2">
        <f t="shared" si="279"/>
        <v>2903659.7365255039</v>
      </c>
      <c r="G321" s="2">
        <f t="shared" ref="G321" si="335">(H320+F321)*((1+$B$3)^(1/12)-1)</f>
        <v>13683471.12922447</v>
      </c>
      <c r="H321" s="2">
        <f t="shared" si="273"/>
        <v>1580267035.934315</v>
      </c>
      <c r="I321" s="2">
        <f t="shared" si="284"/>
        <v>363149243.91390294</v>
      </c>
      <c r="J321" s="5">
        <f t="shared" si="278"/>
        <v>4.3515636130829227</v>
      </c>
    </row>
    <row r="322" spans="1:10" x14ac:dyDescent="0.3">
      <c r="A322" s="1">
        <f t="shared" si="269"/>
        <v>26</v>
      </c>
      <c r="B322" s="1">
        <f t="shared" si="270"/>
        <v>11</v>
      </c>
      <c r="C322" s="2">
        <f t="shared" si="271"/>
        <v>1580267035.934315</v>
      </c>
      <c r="D322" s="2">
        <f t="shared" si="281"/>
        <v>29036597.365255039</v>
      </c>
      <c r="E322" s="2">
        <f t="shared" si="282"/>
        <v>12629345.653551187</v>
      </c>
      <c r="F322" s="2">
        <f t="shared" si="279"/>
        <v>2903659.7365255039</v>
      </c>
      <c r="G322" s="2">
        <f t="shared" ref="G322" si="336">(H321+F322)*((1+$B$3)^(1/12)-1)</f>
        <v>13828352.980034897</v>
      </c>
      <c r="H322" s="2">
        <f t="shared" si="273"/>
        <v>1596999048.6508753</v>
      </c>
      <c r="I322" s="2">
        <f t="shared" si="284"/>
        <v>363149243.91390294</v>
      </c>
      <c r="J322" s="5">
        <f t="shared" si="278"/>
        <v>4.3976383688396146</v>
      </c>
    </row>
    <row r="323" spans="1:10" x14ac:dyDescent="0.3">
      <c r="A323" s="1">
        <f t="shared" si="269"/>
        <v>26</v>
      </c>
      <c r="B323" s="1">
        <f t="shared" si="270"/>
        <v>12</v>
      </c>
      <c r="C323" s="2">
        <f t="shared" si="271"/>
        <v>1596999048.6508753</v>
      </c>
      <c r="D323" s="2">
        <f t="shared" si="281"/>
        <v>29036597.365255039</v>
      </c>
      <c r="E323" s="2">
        <f t="shared" si="282"/>
        <v>12629345.653551187</v>
      </c>
      <c r="F323" s="2">
        <f t="shared" si="279"/>
        <v>5807319.4730510078</v>
      </c>
      <c r="G323" s="2">
        <f t="shared" ref="G323" si="337">(H322+F323)*((1+$B$3)^(1/12)-1)</f>
        <v>13999862.603364911</v>
      </c>
      <c r="H323" s="2">
        <f t="shared" si="273"/>
        <v>1616806230.7272913</v>
      </c>
      <c r="I323" s="2">
        <f t="shared" si="284"/>
        <v>363149243.91390294</v>
      </c>
      <c r="J323" s="5">
        <f t="shared" si="278"/>
        <v>4.4521811839724252</v>
      </c>
    </row>
    <row r="324" spans="1:10" x14ac:dyDescent="0.3">
      <c r="A324" s="1">
        <f t="shared" si="269"/>
        <v>27</v>
      </c>
      <c r="B324" s="1">
        <f t="shared" si="270"/>
        <v>1</v>
      </c>
      <c r="C324" s="2">
        <f t="shared" si="271"/>
        <v>1616806230.7272913</v>
      </c>
      <c r="D324" s="2">
        <f t="shared" si="281"/>
        <v>30685876.095601525</v>
      </c>
      <c r="E324" s="2">
        <f t="shared" si="282"/>
        <v>13595490.596047854</v>
      </c>
      <c r="F324" s="2">
        <f t="shared" si="279"/>
        <v>3068587.6095601525</v>
      </c>
      <c r="G324" s="2">
        <f t="shared" ref="G324" si="338">(H323+F324)*((1+$B$3)^(1/12)-1)</f>
        <v>14148948.583172331</v>
      </c>
      <c r="H324" s="2">
        <f t="shared" si="273"/>
        <v>1634023766.9200239</v>
      </c>
      <c r="I324" s="2">
        <f t="shared" si="284"/>
        <v>376222616.69480348</v>
      </c>
      <c r="J324" s="5">
        <f t="shared" si="278"/>
        <v>4.3432364095366562</v>
      </c>
    </row>
    <row r="325" spans="1:10" x14ac:dyDescent="0.3">
      <c r="A325" s="1">
        <f t="shared" si="269"/>
        <v>27</v>
      </c>
      <c r="B325" s="1">
        <f t="shared" si="270"/>
        <v>2</v>
      </c>
      <c r="C325" s="2">
        <f t="shared" si="271"/>
        <v>1634023766.9200239</v>
      </c>
      <c r="D325" s="2">
        <f t="shared" si="281"/>
        <v>30685876.095601525</v>
      </c>
      <c r="E325" s="2">
        <f t="shared" si="282"/>
        <v>13595490.596047854</v>
      </c>
      <c r="F325" s="2">
        <f t="shared" si="279"/>
        <v>3068587.6095601525</v>
      </c>
      <c r="G325" s="2">
        <f t="shared" ref="G325" si="339">(H324+F325)*((1+$B$3)^(1/12)-1)</f>
        <v>14299336.768458154</v>
      </c>
      <c r="H325" s="2">
        <f t="shared" si="273"/>
        <v>1651391691.2980423</v>
      </c>
      <c r="I325" s="2">
        <f t="shared" si="284"/>
        <v>376222616.69480348</v>
      </c>
      <c r="J325" s="5">
        <f t="shared" si="278"/>
        <v>4.3894003656820875</v>
      </c>
    </row>
    <row r="326" spans="1:10" x14ac:dyDescent="0.3">
      <c r="A326" s="1">
        <f t="shared" si="269"/>
        <v>27</v>
      </c>
      <c r="B326" s="1">
        <f t="shared" si="270"/>
        <v>3</v>
      </c>
      <c r="C326" s="2">
        <f t="shared" si="271"/>
        <v>1651391691.2980423</v>
      </c>
      <c r="D326" s="2">
        <f t="shared" si="281"/>
        <v>30685876.095601525</v>
      </c>
      <c r="E326" s="2">
        <f t="shared" si="282"/>
        <v>13595490.596047854</v>
      </c>
      <c r="F326" s="2">
        <f t="shared" si="279"/>
        <v>3068587.6095601525</v>
      </c>
      <c r="G326" s="2">
        <f t="shared" ref="G326" si="340">(H325+F326)*((1+$B$3)^(1/12)-1)</f>
        <v>14451038.533458309</v>
      </c>
      <c r="H326" s="2">
        <f t="shared" si="273"/>
        <v>1668911317.4410608</v>
      </c>
      <c r="I326" s="2">
        <f t="shared" si="284"/>
        <v>376222616.69480348</v>
      </c>
      <c r="J326" s="5">
        <f t="shared" si="278"/>
        <v>4.4359675452337379</v>
      </c>
    </row>
    <row r="327" spans="1:10" x14ac:dyDescent="0.3">
      <c r="A327" s="1">
        <f t="shared" si="269"/>
        <v>27</v>
      </c>
      <c r="B327" s="1">
        <f t="shared" si="270"/>
        <v>4</v>
      </c>
      <c r="C327" s="2">
        <f t="shared" si="271"/>
        <v>1668911317.4410608</v>
      </c>
      <c r="D327" s="2">
        <f t="shared" si="281"/>
        <v>30685876.095601525</v>
      </c>
      <c r="E327" s="2">
        <f t="shared" si="282"/>
        <v>13595490.596047854</v>
      </c>
      <c r="F327" s="2">
        <f t="shared" si="279"/>
        <v>3068587.6095601525</v>
      </c>
      <c r="G327" s="2">
        <f t="shared" ref="G327" si="341">(H326+F327)*((1+$B$3)^(1/12)-1)</f>
        <v>14604065.351758057</v>
      </c>
      <c r="H327" s="2">
        <f t="shared" si="273"/>
        <v>1686583970.402379</v>
      </c>
      <c r="I327" s="2">
        <f t="shared" si="284"/>
        <v>376222616.69480348</v>
      </c>
      <c r="J327" s="5">
        <f t="shared" si="278"/>
        <v>4.4829414701842794</v>
      </c>
    </row>
    <row r="328" spans="1:10" x14ac:dyDescent="0.3">
      <c r="A328" s="1">
        <f t="shared" ref="A328:A391" si="342">IF(B328=1,A327+1,A327)</f>
        <v>27</v>
      </c>
      <c r="B328" s="1">
        <f t="shared" ref="B328:B391" si="343">IF(B327=12,1,B327+1)</f>
        <v>5</v>
      </c>
      <c r="C328" s="2">
        <f t="shared" ref="C328:C391" si="344">H327</f>
        <v>1686583970.402379</v>
      </c>
      <c r="D328" s="2">
        <f t="shared" si="281"/>
        <v>30685876.095601525</v>
      </c>
      <c r="E328" s="2">
        <f t="shared" si="282"/>
        <v>13595490.596047854</v>
      </c>
      <c r="F328" s="2">
        <f t="shared" si="279"/>
        <v>3068587.6095601525</v>
      </c>
      <c r="G328" s="2">
        <f t="shared" ref="G328" si="345">(H327+F328)*((1+$B$3)^(1/12)-1)</f>
        <v>14758428.797159763</v>
      </c>
      <c r="H328" s="2">
        <f t="shared" ref="H328:H391" si="346">F328+C328+G328</f>
        <v>1704410986.809099</v>
      </c>
      <c r="I328" s="2">
        <f t="shared" si="284"/>
        <v>376222616.69480348</v>
      </c>
      <c r="J328" s="5">
        <f t="shared" si="278"/>
        <v>4.530325693289563</v>
      </c>
    </row>
    <row r="329" spans="1:10" x14ac:dyDescent="0.3">
      <c r="A329" s="1">
        <f t="shared" si="342"/>
        <v>27</v>
      </c>
      <c r="B329" s="1">
        <f t="shared" si="343"/>
        <v>6</v>
      </c>
      <c r="C329" s="2">
        <f t="shared" si="344"/>
        <v>1704410986.809099</v>
      </c>
      <c r="D329" s="2">
        <f t="shared" si="281"/>
        <v>30685876.095601525</v>
      </c>
      <c r="E329" s="2">
        <f t="shared" si="282"/>
        <v>13595490.596047854</v>
      </c>
      <c r="F329" s="2">
        <f t="shared" si="279"/>
        <v>6137175.219120305</v>
      </c>
      <c r="G329" s="2">
        <f t="shared" ref="G329" si="347">(H328+F329)*((1+$B$3)^(1/12)-1)</f>
        <v>14940943.410939749</v>
      </c>
      <c r="H329" s="2">
        <f t="shared" si="346"/>
        <v>1725489105.4391589</v>
      </c>
      <c r="I329" s="2">
        <f t="shared" si="284"/>
        <v>376222616.69480348</v>
      </c>
      <c r="J329" s="5">
        <f t="shared" si="278"/>
        <v>4.5863513485657812</v>
      </c>
    </row>
    <row r="330" spans="1:10" x14ac:dyDescent="0.3">
      <c r="A330" s="1">
        <f t="shared" si="342"/>
        <v>27</v>
      </c>
      <c r="B330" s="1">
        <f t="shared" si="343"/>
        <v>7</v>
      </c>
      <c r="C330" s="2">
        <f t="shared" si="344"/>
        <v>1725489105.4391589</v>
      </c>
      <c r="D330" s="2">
        <f t="shared" si="281"/>
        <v>30685876.095601525</v>
      </c>
      <c r="E330" s="2">
        <f t="shared" si="282"/>
        <v>13595490.596047854</v>
      </c>
      <c r="F330" s="2">
        <f t="shared" si="279"/>
        <v>3068587.6095601525</v>
      </c>
      <c r="G330" s="2">
        <f t="shared" ref="G330" si="348">(H329+F330)*((1+$B$3)^(1/12)-1)</f>
        <v>15098249.349356474</v>
      </c>
      <c r="H330" s="2">
        <f t="shared" si="346"/>
        <v>1743655942.3980756</v>
      </c>
      <c r="I330" s="2">
        <f t="shared" si="284"/>
        <v>376222616.69480348</v>
      </c>
      <c r="J330" s="5">
        <f t="shared" si="278"/>
        <v>4.6346388149560696</v>
      </c>
    </row>
    <row r="331" spans="1:10" x14ac:dyDescent="0.3">
      <c r="A331" s="1">
        <f t="shared" si="342"/>
        <v>27</v>
      </c>
      <c r="B331" s="1">
        <f t="shared" si="343"/>
        <v>8</v>
      </c>
      <c r="C331" s="2">
        <f t="shared" si="344"/>
        <v>1743655942.3980756</v>
      </c>
      <c r="D331" s="2">
        <f t="shared" si="281"/>
        <v>30685876.095601525</v>
      </c>
      <c r="E331" s="2">
        <f t="shared" si="282"/>
        <v>13595490.596047854</v>
      </c>
      <c r="F331" s="2">
        <f t="shared" si="279"/>
        <v>3068587.6095601525</v>
      </c>
      <c r="G331" s="2">
        <f t="shared" ref="G331" si="349">(H330+F331)*((1+$B$3)^(1/12)-1)</f>
        <v>15256929.291251302</v>
      </c>
      <c r="H331" s="2">
        <f t="shared" si="346"/>
        <v>1761981459.2988873</v>
      </c>
      <c r="I331" s="2">
        <f t="shared" si="284"/>
        <v>376222616.69480348</v>
      </c>
      <c r="J331" s="5">
        <f t="shared" si="278"/>
        <v>4.6833480527520459</v>
      </c>
    </row>
    <row r="332" spans="1:10" x14ac:dyDescent="0.3">
      <c r="A332" s="1">
        <f t="shared" si="342"/>
        <v>27</v>
      </c>
      <c r="B332" s="1">
        <f t="shared" si="343"/>
        <v>9</v>
      </c>
      <c r="C332" s="2">
        <f t="shared" si="344"/>
        <v>1761981459.2988873</v>
      </c>
      <c r="D332" s="2">
        <f t="shared" si="281"/>
        <v>30685876.095601525</v>
      </c>
      <c r="E332" s="2">
        <f t="shared" si="282"/>
        <v>13595490.596047854</v>
      </c>
      <c r="F332" s="2">
        <f t="shared" si="279"/>
        <v>3068587.6095601525</v>
      </c>
      <c r="G332" s="2">
        <f t="shared" ref="G332" si="350">(H331+F332)*((1+$B$3)^(1/12)-1)</f>
        <v>15416995.237986527</v>
      </c>
      <c r="H332" s="2">
        <f t="shared" si="346"/>
        <v>1780467042.1464341</v>
      </c>
      <c r="I332" s="2">
        <f t="shared" si="284"/>
        <v>376222616.69480348</v>
      </c>
      <c r="J332" s="5">
        <f t="shared" ref="J332:J395" si="351">(H332/I332)</f>
        <v>4.7324827459556245</v>
      </c>
    </row>
    <row r="333" spans="1:10" x14ac:dyDescent="0.3">
      <c r="A333" s="1">
        <f t="shared" si="342"/>
        <v>27</v>
      </c>
      <c r="B333" s="1">
        <f t="shared" si="343"/>
        <v>10</v>
      </c>
      <c r="C333" s="2">
        <f t="shared" si="344"/>
        <v>1780467042.1464341</v>
      </c>
      <c r="D333" s="2">
        <f t="shared" si="281"/>
        <v>30685876.095601525</v>
      </c>
      <c r="E333" s="2">
        <f t="shared" si="282"/>
        <v>13595490.596047854</v>
      </c>
      <c r="F333" s="2">
        <f t="shared" ref="F333:F395" si="352">IF(OR(B333=6,B333=12),D333*$B$2*2,D333*$B$2)</f>
        <v>3068587.6095601525</v>
      </c>
      <c r="G333" s="2">
        <f t="shared" ref="G333" si="353">(H332+F333)*((1+$B$3)^(1/12)-1)</f>
        <v>15578459.295751467</v>
      </c>
      <c r="H333" s="2">
        <f t="shared" si="346"/>
        <v>1799114089.0517459</v>
      </c>
      <c r="I333" s="2">
        <f t="shared" si="284"/>
        <v>376222616.69480348</v>
      </c>
      <c r="J333" s="5">
        <f t="shared" si="351"/>
        <v>4.7820466107469821</v>
      </c>
    </row>
    <row r="334" spans="1:10" x14ac:dyDescent="0.3">
      <c r="A334" s="1">
        <f t="shared" si="342"/>
        <v>27</v>
      </c>
      <c r="B334" s="1">
        <f t="shared" si="343"/>
        <v>11</v>
      </c>
      <c r="C334" s="2">
        <f t="shared" si="344"/>
        <v>1799114089.0517459</v>
      </c>
      <c r="D334" s="2">
        <f t="shared" ref="D334:D395" si="354">IF(B334&lt;&gt;1,D333,IF(AND(A334=3,B334=1),D333*2,IF(AND(A334=10,B334=1),D333*2,D333*(1+IF(D333&gt;E333,$B$6,$B$4)))))</f>
        <v>30685876.095601525</v>
      </c>
      <c r="E334" s="2">
        <f t="shared" ref="E334:E395" si="355">IF(B334&lt;&gt;1,E333,E333*(1+$B$4))</f>
        <v>13595490.596047854</v>
      </c>
      <c r="F334" s="2">
        <f t="shared" si="352"/>
        <v>3068587.6095601525</v>
      </c>
      <c r="G334" s="2">
        <f t="shared" ref="G334" si="356">(H333+F334)*((1+$B$3)^(1/12)-1)</f>
        <v>15741333.676478086</v>
      </c>
      <c r="H334" s="2">
        <f t="shared" si="346"/>
        <v>1817924010.3377843</v>
      </c>
      <c r="I334" s="2">
        <f t="shared" ref="I334:I395" si="357">IF(B334=1,I333*(1+$B$5),I333)</f>
        <v>376222616.69480348</v>
      </c>
      <c r="J334" s="5">
        <f t="shared" si="351"/>
        <v>4.8320433957656173</v>
      </c>
    </row>
    <row r="335" spans="1:10" x14ac:dyDescent="0.3">
      <c r="A335" s="1">
        <f t="shared" si="342"/>
        <v>27</v>
      </c>
      <c r="B335" s="1">
        <f t="shared" si="343"/>
        <v>12</v>
      </c>
      <c r="C335" s="2">
        <f t="shared" si="344"/>
        <v>1817924010.3377843</v>
      </c>
      <c r="D335" s="2">
        <f t="shared" si="354"/>
        <v>30685876.095601525</v>
      </c>
      <c r="E335" s="2">
        <f t="shared" si="355"/>
        <v>13595490.596047854</v>
      </c>
      <c r="F335" s="2">
        <f t="shared" si="352"/>
        <v>6137175.219120305</v>
      </c>
      <c r="G335" s="2">
        <f t="shared" ref="G335" si="358">(H334+F335)*((1+$B$3)^(1/12)-1)</f>
        <v>15932433.565146105</v>
      </c>
      <c r="H335" s="2">
        <f t="shared" si="346"/>
        <v>1839993619.1220508</v>
      </c>
      <c r="I335" s="2">
        <f t="shared" si="357"/>
        <v>376222616.69480348</v>
      </c>
      <c r="J335" s="5">
        <f t="shared" si="351"/>
        <v>4.8907044326223392</v>
      </c>
    </row>
    <row r="336" spans="1:10" x14ac:dyDescent="0.3">
      <c r="A336" s="1">
        <f t="shared" si="342"/>
        <v>28</v>
      </c>
      <c r="B336" s="1">
        <f t="shared" si="343"/>
        <v>1</v>
      </c>
      <c r="C336" s="2">
        <f t="shared" si="344"/>
        <v>1839993619.1220508</v>
      </c>
      <c r="D336" s="2">
        <f t="shared" si="354"/>
        <v>32428833.85783169</v>
      </c>
      <c r="E336" s="2">
        <f t="shared" si="355"/>
        <v>14635545.626645515</v>
      </c>
      <c r="F336" s="2">
        <f t="shared" si="352"/>
        <v>3242883.3857831694</v>
      </c>
      <c r="G336" s="2">
        <f t="shared" ref="G336" si="359">(H335+F336)*((1+$B$3)^(1/12)-1)</f>
        <v>16099922.170150343</v>
      </c>
      <c r="H336" s="2">
        <f t="shared" si="346"/>
        <v>1859336424.6779842</v>
      </c>
      <c r="I336" s="2">
        <f t="shared" si="357"/>
        <v>389766630.89581639</v>
      </c>
      <c r="J336" s="5">
        <f t="shared" si="351"/>
        <v>4.7703838073685176</v>
      </c>
    </row>
    <row r="337" spans="1:10" x14ac:dyDescent="0.3">
      <c r="A337" s="1">
        <f t="shared" si="342"/>
        <v>28</v>
      </c>
      <c r="B337" s="1">
        <f t="shared" si="343"/>
        <v>2</v>
      </c>
      <c r="C337" s="2">
        <f t="shared" si="344"/>
        <v>1859336424.6779842</v>
      </c>
      <c r="D337" s="2">
        <f t="shared" si="354"/>
        <v>32428833.85783169</v>
      </c>
      <c r="E337" s="2">
        <f t="shared" si="355"/>
        <v>14635545.626645515</v>
      </c>
      <c r="F337" s="2">
        <f t="shared" si="352"/>
        <v>3242883.3857831694</v>
      </c>
      <c r="G337" s="2">
        <f t="shared" ref="G337" si="360">(H336+F337)*((1+$B$3)^(1/12)-1)</f>
        <v>16268873.720089367</v>
      </c>
      <c r="H337" s="2">
        <f t="shared" si="346"/>
        <v>1878848181.7838569</v>
      </c>
      <c r="I337" s="2">
        <f t="shared" si="357"/>
        <v>389766630.89581639</v>
      </c>
      <c r="J337" s="5">
        <f t="shared" si="351"/>
        <v>4.8204439088734308</v>
      </c>
    </row>
    <row r="338" spans="1:10" x14ac:dyDescent="0.3">
      <c r="A338" s="1">
        <f t="shared" si="342"/>
        <v>28</v>
      </c>
      <c r="B338" s="1">
        <f t="shared" si="343"/>
        <v>3</v>
      </c>
      <c r="C338" s="2">
        <f t="shared" si="344"/>
        <v>1878848181.7838569</v>
      </c>
      <c r="D338" s="2">
        <f t="shared" si="354"/>
        <v>32428833.85783169</v>
      </c>
      <c r="E338" s="2">
        <f t="shared" si="355"/>
        <v>14635545.626645515</v>
      </c>
      <c r="F338" s="2">
        <f t="shared" si="352"/>
        <v>3242883.3857831694</v>
      </c>
      <c r="G338" s="2">
        <f t="shared" ref="G338" si="361">(H337+F338)*((1+$B$3)^(1/12)-1)</f>
        <v>16439300.993192965</v>
      </c>
      <c r="H338" s="2">
        <f t="shared" si="346"/>
        <v>1898530366.162833</v>
      </c>
      <c r="I338" s="2">
        <f t="shared" si="357"/>
        <v>389766630.89581639</v>
      </c>
      <c r="J338" s="5">
        <f t="shared" si="351"/>
        <v>4.870941265031755</v>
      </c>
    </row>
    <row r="339" spans="1:10" x14ac:dyDescent="0.3">
      <c r="A339" s="1">
        <f t="shared" si="342"/>
        <v>28</v>
      </c>
      <c r="B339" s="1">
        <f t="shared" si="343"/>
        <v>4</v>
      </c>
      <c r="C339" s="2">
        <f t="shared" si="344"/>
        <v>1898530366.162833</v>
      </c>
      <c r="D339" s="2">
        <f t="shared" si="354"/>
        <v>32428833.85783169</v>
      </c>
      <c r="E339" s="2">
        <f t="shared" si="355"/>
        <v>14635545.626645515</v>
      </c>
      <c r="F339" s="2">
        <f t="shared" si="352"/>
        <v>3242883.3857831694</v>
      </c>
      <c r="G339" s="2">
        <f t="shared" ref="G339" si="362">(H338+F339)*((1+$B$3)^(1/12)-1)</f>
        <v>16611216.87930358</v>
      </c>
      <c r="H339" s="2">
        <f t="shared" si="346"/>
        <v>1918384466.4279199</v>
      </c>
      <c r="I339" s="2">
        <f t="shared" si="357"/>
        <v>389766630.89581639</v>
      </c>
      <c r="J339" s="5">
        <f t="shared" si="351"/>
        <v>4.9218796950852859</v>
      </c>
    </row>
    <row r="340" spans="1:10" x14ac:dyDescent="0.3">
      <c r="A340" s="1">
        <f t="shared" si="342"/>
        <v>28</v>
      </c>
      <c r="B340" s="1">
        <f t="shared" si="343"/>
        <v>5</v>
      </c>
      <c r="C340" s="2">
        <f t="shared" si="344"/>
        <v>1918384466.4279199</v>
      </c>
      <c r="D340" s="2">
        <f t="shared" si="354"/>
        <v>32428833.85783169</v>
      </c>
      <c r="E340" s="2">
        <f t="shared" si="355"/>
        <v>14635545.626645515</v>
      </c>
      <c r="F340" s="2">
        <f t="shared" si="352"/>
        <v>3242883.3857831694</v>
      </c>
      <c r="G340" s="2">
        <f t="shared" ref="G340" si="363">(H339+F340)*((1+$B$3)^(1/12)-1)</f>
        <v>16784634.380851191</v>
      </c>
      <c r="H340" s="2">
        <f t="shared" si="346"/>
        <v>1938411984.1945543</v>
      </c>
      <c r="I340" s="2">
        <f t="shared" si="357"/>
        <v>389766630.89581639</v>
      </c>
      <c r="J340" s="5">
        <f t="shared" si="351"/>
        <v>4.9732630516353433</v>
      </c>
    </row>
    <row r="341" spans="1:10" x14ac:dyDescent="0.3">
      <c r="A341" s="1">
        <f t="shared" si="342"/>
        <v>28</v>
      </c>
      <c r="B341" s="1">
        <f t="shared" si="343"/>
        <v>6</v>
      </c>
      <c r="C341" s="2">
        <f t="shared" si="344"/>
        <v>1938411984.1945543</v>
      </c>
      <c r="D341" s="2">
        <f t="shared" si="354"/>
        <v>32428833.85783169</v>
      </c>
      <c r="E341" s="2">
        <f t="shared" si="355"/>
        <v>14635545.626645515</v>
      </c>
      <c r="F341" s="2">
        <f t="shared" si="352"/>
        <v>6485766.7715663388</v>
      </c>
      <c r="G341" s="2">
        <f t="shared" ref="G341" si="364">(H340+F341)*((1+$B$3)^(1/12)-1)</f>
        <v>16987891.883028671</v>
      </c>
      <c r="H341" s="2">
        <f t="shared" si="346"/>
        <v>1961885642.8491495</v>
      </c>
      <c r="I341" s="2">
        <f t="shared" si="357"/>
        <v>389766630.89581639</v>
      </c>
      <c r="J341" s="5">
        <f t="shared" si="351"/>
        <v>5.0334879574992568</v>
      </c>
    </row>
    <row r="342" spans="1:10" x14ac:dyDescent="0.3">
      <c r="A342" s="1">
        <f t="shared" si="342"/>
        <v>28</v>
      </c>
      <c r="B342" s="1">
        <f t="shared" si="343"/>
        <v>7</v>
      </c>
      <c r="C342" s="2">
        <f t="shared" si="344"/>
        <v>1961885642.8491495</v>
      </c>
      <c r="D342" s="2">
        <f t="shared" si="354"/>
        <v>32428833.85783169</v>
      </c>
      <c r="E342" s="2">
        <f t="shared" si="355"/>
        <v>14635545.626645515</v>
      </c>
      <c r="F342" s="2">
        <f t="shared" si="352"/>
        <v>3242883.3857831694</v>
      </c>
      <c r="G342" s="2">
        <f t="shared" ref="G342" si="365">(H341+F342)*((1+$B$3)^(1/12)-1)</f>
        <v>17164599.487737302</v>
      </c>
      <c r="H342" s="2">
        <f t="shared" si="346"/>
        <v>1982293125.7226701</v>
      </c>
      <c r="I342" s="2">
        <f t="shared" si="357"/>
        <v>389766630.89581639</v>
      </c>
      <c r="J342" s="5">
        <f t="shared" si="351"/>
        <v>5.085846166888853</v>
      </c>
    </row>
    <row r="343" spans="1:10" x14ac:dyDescent="0.3">
      <c r="A343" s="1">
        <f t="shared" si="342"/>
        <v>28</v>
      </c>
      <c r="B343" s="1">
        <f t="shared" si="343"/>
        <v>8</v>
      </c>
      <c r="C343" s="2">
        <f t="shared" si="344"/>
        <v>1982293125.7226701</v>
      </c>
      <c r="D343" s="2">
        <f t="shared" si="354"/>
        <v>32428833.85783169</v>
      </c>
      <c r="E343" s="2">
        <f t="shared" si="355"/>
        <v>14635545.626645515</v>
      </c>
      <c r="F343" s="2">
        <f t="shared" si="352"/>
        <v>3242883.3857831694</v>
      </c>
      <c r="G343" s="2">
        <f t="shared" ref="G343" si="366">(H342+F343)*((1+$B$3)^(1/12)-1)</f>
        <v>17342850.561598595</v>
      </c>
      <c r="H343" s="2">
        <f t="shared" si="346"/>
        <v>2002878859.6700518</v>
      </c>
      <c r="I343" s="2">
        <f t="shared" si="357"/>
        <v>389766630.89581639</v>
      </c>
      <c r="J343" s="5">
        <f t="shared" si="351"/>
        <v>5.1386617039707954</v>
      </c>
    </row>
    <row r="344" spans="1:10" x14ac:dyDescent="0.3">
      <c r="A344" s="1">
        <f t="shared" si="342"/>
        <v>28</v>
      </c>
      <c r="B344" s="1">
        <f t="shared" si="343"/>
        <v>9</v>
      </c>
      <c r="C344" s="2">
        <f t="shared" si="344"/>
        <v>2002878859.6700518</v>
      </c>
      <c r="D344" s="2">
        <f t="shared" si="354"/>
        <v>32428833.85783169</v>
      </c>
      <c r="E344" s="2">
        <f t="shared" si="355"/>
        <v>14635545.626645515</v>
      </c>
      <c r="F344" s="2">
        <f t="shared" si="352"/>
        <v>3242883.3857831694</v>
      </c>
      <c r="G344" s="2">
        <f t="shared" ref="G344" si="367">(H343+F344)*((1+$B$3)^(1/12)-1)</f>
        <v>17522658.586188681</v>
      </c>
      <c r="H344" s="2">
        <f t="shared" si="346"/>
        <v>2023644401.6420238</v>
      </c>
      <c r="I344" s="2">
        <f t="shared" si="357"/>
        <v>389766630.89581639</v>
      </c>
      <c r="J344" s="5">
        <f t="shared" si="351"/>
        <v>5.1919385633167217</v>
      </c>
    </row>
    <row r="345" spans="1:10" x14ac:dyDescent="0.3">
      <c r="A345" s="1">
        <f t="shared" si="342"/>
        <v>28</v>
      </c>
      <c r="B345" s="1">
        <f t="shared" si="343"/>
        <v>10</v>
      </c>
      <c r="C345" s="2">
        <f t="shared" si="344"/>
        <v>2023644401.6420238</v>
      </c>
      <c r="D345" s="2">
        <f t="shared" si="354"/>
        <v>32428833.85783169</v>
      </c>
      <c r="E345" s="2">
        <f t="shared" si="355"/>
        <v>14635545.626645515</v>
      </c>
      <c r="F345" s="2">
        <f t="shared" si="352"/>
        <v>3242883.3857831694</v>
      </c>
      <c r="G345" s="2">
        <f t="shared" ref="G345" si="368">(H344+F345)*((1+$B$3)^(1/12)-1)</f>
        <v>17704037.160839774</v>
      </c>
      <c r="H345" s="2">
        <f t="shared" si="346"/>
        <v>2044591322.1886468</v>
      </c>
      <c r="I345" s="2">
        <f t="shared" si="357"/>
        <v>389766630.89581639</v>
      </c>
      <c r="J345" s="5">
        <f t="shared" si="351"/>
        <v>5.2456807743892284</v>
      </c>
    </row>
    <row r="346" spans="1:10" x14ac:dyDescent="0.3">
      <c r="A346" s="1">
        <f t="shared" si="342"/>
        <v>28</v>
      </c>
      <c r="B346" s="1">
        <f t="shared" si="343"/>
        <v>11</v>
      </c>
      <c r="C346" s="2">
        <f t="shared" si="344"/>
        <v>2044591322.1886468</v>
      </c>
      <c r="D346" s="2">
        <f t="shared" si="354"/>
        <v>32428833.85783169</v>
      </c>
      <c r="E346" s="2">
        <f t="shared" si="355"/>
        <v>14635545.626645515</v>
      </c>
      <c r="F346" s="2">
        <f t="shared" si="352"/>
        <v>3242883.3857831694</v>
      </c>
      <c r="G346" s="2">
        <f t="shared" ref="G346" si="369">(H345+F346)*((1+$B$3)^(1/12)-1)</f>
        <v>17887000.00366874</v>
      </c>
      <c r="H346" s="2">
        <f t="shared" si="346"/>
        <v>2065721205.5780988</v>
      </c>
      <c r="I346" s="2">
        <f t="shared" si="357"/>
        <v>389766630.89581639</v>
      </c>
      <c r="J346" s="5">
        <f t="shared" si="351"/>
        <v>5.299892401846634</v>
      </c>
    </row>
    <row r="347" spans="1:10" x14ac:dyDescent="0.3">
      <c r="A347" s="1">
        <f t="shared" si="342"/>
        <v>28</v>
      </c>
      <c r="B347" s="1">
        <f t="shared" si="343"/>
        <v>12</v>
      </c>
      <c r="C347" s="2">
        <f t="shared" si="344"/>
        <v>2065721205.5780988</v>
      </c>
      <c r="D347" s="2">
        <f t="shared" si="354"/>
        <v>32428833.85783169</v>
      </c>
      <c r="E347" s="2">
        <f t="shared" si="355"/>
        <v>14635545.626645515</v>
      </c>
      <c r="F347" s="2">
        <f t="shared" si="352"/>
        <v>6485766.7715663388</v>
      </c>
      <c r="G347" s="2">
        <f t="shared" ref="G347" si="370">(H346+F347)*((1+$B$3)^(1/12)-1)</f>
        <v>18099886.221806582</v>
      </c>
      <c r="H347" s="2">
        <f t="shared" si="346"/>
        <v>2090306858.5714717</v>
      </c>
      <c r="I347" s="2">
        <f t="shared" si="357"/>
        <v>389766630.89581639</v>
      </c>
      <c r="J347" s="5">
        <f t="shared" si="351"/>
        <v>5.3629702824154935</v>
      </c>
    </row>
    <row r="348" spans="1:10" x14ac:dyDescent="0.3">
      <c r="A348" s="1">
        <f t="shared" si="342"/>
        <v>29</v>
      </c>
      <c r="B348" s="1">
        <f t="shared" si="343"/>
        <v>1</v>
      </c>
      <c r="C348" s="2">
        <f t="shared" si="344"/>
        <v>2090306858.5714717</v>
      </c>
      <c r="D348" s="2">
        <f t="shared" si="354"/>
        <v>34270791.620956533</v>
      </c>
      <c r="E348" s="2">
        <f t="shared" si="355"/>
        <v>15755164.867083896</v>
      </c>
      <c r="F348" s="2">
        <f t="shared" si="352"/>
        <v>3427079.1620956534</v>
      </c>
      <c r="G348" s="2">
        <f t="shared" ref="G348" si="371">(H347+F348)*((1+$B$3)^(1/12)-1)</f>
        <v>18287915.520688627</v>
      </c>
      <c r="H348" s="2">
        <f t="shared" si="346"/>
        <v>2112021853.2542558</v>
      </c>
      <c r="I348" s="2">
        <f t="shared" si="357"/>
        <v>403798229.60806578</v>
      </c>
      <c r="J348" s="5">
        <f t="shared" si="351"/>
        <v>5.2303890864113596</v>
      </c>
    </row>
    <row r="349" spans="1:10" x14ac:dyDescent="0.3">
      <c r="A349" s="1">
        <f t="shared" si="342"/>
        <v>29</v>
      </c>
      <c r="B349" s="1">
        <f t="shared" si="343"/>
        <v>2</v>
      </c>
      <c r="C349" s="2">
        <f t="shared" si="344"/>
        <v>2112021853.2542558</v>
      </c>
      <c r="D349" s="2">
        <f t="shared" si="354"/>
        <v>34270791.620956533</v>
      </c>
      <c r="E349" s="2">
        <f t="shared" si="355"/>
        <v>15755164.867083896</v>
      </c>
      <c r="F349" s="2">
        <f t="shared" si="352"/>
        <v>3427079.1620956534</v>
      </c>
      <c r="G349" s="2">
        <f t="shared" ref="G349" si="372">(H348+F349)*((1+$B$3)^(1/12)-1)</f>
        <v>18477587.179123335</v>
      </c>
      <c r="H349" s="2">
        <f t="shared" si="346"/>
        <v>2133926519.5954747</v>
      </c>
      <c r="I349" s="2">
        <f t="shared" si="357"/>
        <v>403798229.60806578</v>
      </c>
      <c r="J349" s="5">
        <f t="shared" si="351"/>
        <v>5.2846356500044696</v>
      </c>
    </row>
    <row r="350" spans="1:10" x14ac:dyDescent="0.3">
      <c r="A350" s="1">
        <f t="shared" si="342"/>
        <v>29</v>
      </c>
      <c r="B350" s="1">
        <f t="shared" si="343"/>
        <v>3</v>
      </c>
      <c r="C350" s="2">
        <f t="shared" si="344"/>
        <v>2133926519.5954747</v>
      </c>
      <c r="D350" s="2">
        <f t="shared" si="354"/>
        <v>34270791.620956533</v>
      </c>
      <c r="E350" s="2">
        <f t="shared" si="355"/>
        <v>15755164.867083896</v>
      </c>
      <c r="F350" s="2">
        <f t="shared" si="352"/>
        <v>3427079.1620956534</v>
      </c>
      <c r="G350" s="2">
        <f t="shared" ref="G350" si="373">(H349+F350)*((1+$B$3)^(1/12)-1)</f>
        <v>18668915.542454313</v>
      </c>
      <c r="H350" s="2">
        <f t="shared" si="346"/>
        <v>2156022514.3000245</v>
      </c>
      <c r="I350" s="2">
        <f t="shared" si="357"/>
        <v>403798229.60806578</v>
      </c>
      <c r="J350" s="5">
        <f t="shared" si="351"/>
        <v>5.3393560352968876</v>
      </c>
    </row>
    <row r="351" spans="1:10" x14ac:dyDescent="0.3">
      <c r="A351" s="1">
        <f t="shared" si="342"/>
        <v>29</v>
      </c>
      <c r="B351" s="1">
        <f t="shared" si="343"/>
        <v>4</v>
      </c>
      <c r="C351" s="2">
        <f t="shared" si="344"/>
        <v>2156022514.3000245</v>
      </c>
      <c r="D351" s="2">
        <f t="shared" si="354"/>
        <v>34270791.620956533</v>
      </c>
      <c r="E351" s="2">
        <f t="shared" si="355"/>
        <v>15755164.867083896</v>
      </c>
      <c r="F351" s="2">
        <f t="shared" si="352"/>
        <v>3427079.1620956534</v>
      </c>
      <c r="G351" s="2">
        <f t="shared" ref="G351" si="374">(H350+F351)*((1+$B$3)^(1/12)-1)</f>
        <v>18861915.081325907</v>
      </c>
      <c r="H351" s="2">
        <f t="shared" si="346"/>
        <v>2178311508.5434461</v>
      </c>
      <c r="I351" s="2">
        <f t="shared" si="357"/>
        <v>403798229.60806578</v>
      </c>
      <c r="J351" s="5">
        <f t="shared" si="351"/>
        <v>5.394554380928704</v>
      </c>
    </row>
    <row r="352" spans="1:10" x14ac:dyDescent="0.3">
      <c r="A352" s="1">
        <f t="shared" si="342"/>
        <v>29</v>
      </c>
      <c r="B352" s="1">
        <f t="shared" si="343"/>
        <v>5</v>
      </c>
      <c r="C352" s="2">
        <f t="shared" si="344"/>
        <v>2178311508.5434461</v>
      </c>
      <c r="D352" s="2">
        <f t="shared" si="354"/>
        <v>34270791.620956533</v>
      </c>
      <c r="E352" s="2">
        <f t="shared" si="355"/>
        <v>15755164.867083896</v>
      </c>
      <c r="F352" s="2">
        <f t="shared" si="352"/>
        <v>3427079.1620956534</v>
      </c>
      <c r="G352" s="2">
        <f t="shared" ref="G352" si="375">(H351+F352)*((1+$B$3)^(1/12)-1)</f>
        <v>19056600.392777681</v>
      </c>
      <c r="H352" s="2">
        <f t="shared" si="346"/>
        <v>2200795188.0983191</v>
      </c>
      <c r="I352" s="2">
        <f t="shared" si="357"/>
        <v>403798229.60806578</v>
      </c>
      <c r="J352" s="5">
        <f t="shared" si="351"/>
        <v>5.4502348616893457</v>
      </c>
    </row>
    <row r="353" spans="1:10" x14ac:dyDescent="0.3">
      <c r="A353" s="1">
        <f t="shared" si="342"/>
        <v>29</v>
      </c>
      <c r="B353" s="1">
        <f t="shared" si="343"/>
        <v>6</v>
      </c>
      <c r="C353" s="2">
        <f t="shared" si="344"/>
        <v>2200795188.0983191</v>
      </c>
      <c r="D353" s="2">
        <f t="shared" si="354"/>
        <v>34270791.620956533</v>
      </c>
      <c r="E353" s="2">
        <f t="shared" si="355"/>
        <v>15755164.867083896</v>
      </c>
      <c r="F353" s="2">
        <f t="shared" si="352"/>
        <v>6854158.3241913067</v>
      </c>
      <c r="G353" s="2">
        <f t="shared" ref="G353" si="376">(H352+F353)*((1+$B$3)^(1/12)-1)</f>
        <v>19282920.345830459</v>
      </c>
      <c r="H353" s="2">
        <f t="shared" si="346"/>
        <v>2226932266.7683406</v>
      </c>
      <c r="I353" s="2">
        <f t="shared" si="357"/>
        <v>403798229.60806578</v>
      </c>
      <c r="J353" s="5">
        <f t="shared" si="351"/>
        <v>5.514962928217499</v>
      </c>
    </row>
    <row r="354" spans="1:10" x14ac:dyDescent="0.3">
      <c r="A354" s="1">
        <f t="shared" si="342"/>
        <v>29</v>
      </c>
      <c r="B354" s="1">
        <f t="shared" si="343"/>
        <v>7</v>
      </c>
      <c r="C354" s="2">
        <f t="shared" si="344"/>
        <v>2226932266.7683406</v>
      </c>
      <c r="D354" s="2">
        <f t="shared" si="354"/>
        <v>34270791.620956533</v>
      </c>
      <c r="E354" s="2">
        <f t="shared" si="355"/>
        <v>15755164.867083896</v>
      </c>
      <c r="F354" s="2">
        <f t="shared" si="352"/>
        <v>3427079.1620956534</v>
      </c>
      <c r="G354" s="2">
        <f t="shared" ref="G354" si="377">(H353+F354)*((1+$B$3)^(1/12)-1)</f>
        <v>19481282.967265256</v>
      </c>
      <c r="H354" s="2">
        <f t="shared" si="346"/>
        <v>2249840628.8977013</v>
      </c>
      <c r="I354" s="2">
        <f t="shared" si="357"/>
        <v>403798229.60806578</v>
      </c>
      <c r="J354" s="5">
        <f t="shared" si="351"/>
        <v>5.5716951287315926</v>
      </c>
    </row>
    <row r="355" spans="1:10" x14ac:dyDescent="0.3">
      <c r="A355" s="1">
        <f t="shared" si="342"/>
        <v>29</v>
      </c>
      <c r="B355" s="1">
        <f t="shared" si="343"/>
        <v>8</v>
      </c>
      <c r="C355" s="2">
        <f t="shared" si="344"/>
        <v>2249840628.8977013</v>
      </c>
      <c r="D355" s="2">
        <f t="shared" si="354"/>
        <v>34270791.620956533</v>
      </c>
      <c r="E355" s="2">
        <f t="shared" si="355"/>
        <v>15755164.867083896</v>
      </c>
      <c r="F355" s="2">
        <f t="shared" si="352"/>
        <v>3427079.1620956534</v>
      </c>
      <c r="G355" s="2">
        <f t="shared" ref="G355" si="378">(H354+F355)*((1+$B$3)^(1/12)-1)</f>
        <v>19681378.20562806</v>
      </c>
      <c r="H355" s="2">
        <f t="shared" si="346"/>
        <v>2272949086.2654247</v>
      </c>
      <c r="I355" s="2">
        <f t="shared" si="357"/>
        <v>403798229.60806578</v>
      </c>
      <c r="J355" s="5">
        <f t="shared" si="351"/>
        <v>5.6289228619738925</v>
      </c>
    </row>
    <row r="356" spans="1:10" x14ac:dyDescent="0.3">
      <c r="A356" s="1">
        <f t="shared" si="342"/>
        <v>29</v>
      </c>
      <c r="B356" s="1">
        <f t="shared" si="343"/>
        <v>9</v>
      </c>
      <c r="C356" s="2">
        <f t="shared" si="344"/>
        <v>2272949086.2654247</v>
      </c>
      <c r="D356" s="2">
        <f t="shared" si="354"/>
        <v>34270791.620956533</v>
      </c>
      <c r="E356" s="2">
        <f t="shared" si="355"/>
        <v>15755164.867083896</v>
      </c>
      <c r="F356" s="2">
        <f t="shared" si="352"/>
        <v>3427079.1620956534</v>
      </c>
      <c r="G356" s="2">
        <f t="shared" ref="G356" si="379">(H355+F356)*((1+$B$3)^(1/12)-1)</f>
        <v>19883221.194623992</v>
      </c>
      <c r="H356" s="2">
        <f t="shared" si="346"/>
        <v>2296259386.6221442</v>
      </c>
      <c r="I356" s="2">
        <f t="shared" si="357"/>
        <v>403798229.60806578</v>
      </c>
      <c r="J356" s="5">
        <f t="shared" si="351"/>
        <v>5.686650456221507</v>
      </c>
    </row>
    <row r="357" spans="1:10" x14ac:dyDescent="0.3">
      <c r="A357" s="1">
        <f t="shared" si="342"/>
        <v>29</v>
      </c>
      <c r="B357" s="1">
        <f t="shared" si="343"/>
        <v>10</v>
      </c>
      <c r="C357" s="2">
        <f t="shared" si="344"/>
        <v>2296259386.6221442</v>
      </c>
      <c r="D357" s="2">
        <f t="shared" si="354"/>
        <v>34270791.620956533</v>
      </c>
      <c r="E357" s="2">
        <f t="shared" si="355"/>
        <v>15755164.867083896</v>
      </c>
      <c r="F357" s="2">
        <f t="shared" si="352"/>
        <v>3427079.1620956534</v>
      </c>
      <c r="G357" s="2">
        <f t="shared" ref="G357" si="380">(H356+F357)*((1+$B$3)^(1/12)-1)</f>
        <v>20086827.200144932</v>
      </c>
      <c r="H357" s="2">
        <f t="shared" si="346"/>
        <v>2319773292.9843845</v>
      </c>
      <c r="I357" s="2">
        <f t="shared" si="357"/>
        <v>403798229.60806578</v>
      </c>
      <c r="J357" s="5">
        <f t="shared" si="351"/>
        <v>5.7448822775572852</v>
      </c>
    </row>
    <row r="358" spans="1:10" x14ac:dyDescent="0.3">
      <c r="A358" s="1">
        <f t="shared" si="342"/>
        <v>29</v>
      </c>
      <c r="B358" s="1">
        <f t="shared" si="343"/>
        <v>11</v>
      </c>
      <c r="C358" s="2">
        <f t="shared" si="344"/>
        <v>2319773292.9843845</v>
      </c>
      <c r="D358" s="2">
        <f t="shared" si="354"/>
        <v>34270791.620956533</v>
      </c>
      <c r="E358" s="2">
        <f t="shared" si="355"/>
        <v>15755164.867083896</v>
      </c>
      <c r="F358" s="2">
        <f t="shared" si="352"/>
        <v>3427079.1620956534</v>
      </c>
      <c r="G358" s="2">
        <f t="shared" ref="G358" si="381">(H357+F358)*((1+$B$3)^(1/12)-1)</f>
        <v>20292211.621424135</v>
      </c>
      <c r="H358" s="2">
        <f t="shared" si="346"/>
        <v>2343492583.7679043</v>
      </c>
      <c r="I358" s="2">
        <f t="shared" si="357"/>
        <v>403798229.60806578</v>
      </c>
      <c r="J358" s="5">
        <f t="shared" si="351"/>
        <v>5.8036227302000372</v>
      </c>
    </row>
    <row r="359" spans="1:10" x14ac:dyDescent="0.3">
      <c r="A359" s="1">
        <f t="shared" si="342"/>
        <v>29</v>
      </c>
      <c r="B359" s="1">
        <f t="shared" si="343"/>
        <v>12</v>
      </c>
      <c r="C359" s="2">
        <f t="shared" si="344"/>
        <v>2343492583.7679043</v>
      </c>
      <c r="D359" s="2">
        <f t="shared" si="354"/>
        <v>34270791.620956533</v>
      </c>
      <c r="E359" s="2">
        <f t="shared" si="355"/>
        <v>15755164.867083896</v>
      </c>
      <c r="F359" s="2">
        <f t="shared" si="352"/>
        <v>6854158.3241913067</v>
      </c>
      <c r="G359" s="2">
        <f t="shared" ref="G359" si="382">(H358+F359)*((1+$B$3)^(1/12)-1)</f>
        <v>20529324.136682961</v>
      </c>
      <c r="H359" s="2">
        <f t="shared" si="346"/>
        <v>2370876066.2287784</v>
      </c>
      <c r="I359" s="2">
        <f t="shared" si="357"/>
        <v>403798229.60806578</v>
      </c>
      <c r="J359" s="5">
        <f t="shared" si="351"/>
        <v>5.8714374962218026</v>
      </c>
    </row>
    <row r="360" spans="1:10" x14ac:dyDescent="0.3">
      <c r="A360" s="1">
        <f t="shared" si="342"/>
        <v>30</v>
      </c>
      <c r="B360" s="1">
        <f t="shared" si="343"/>
        <v>1</v>
      </c>
      <c r="C360" s="2">
        <f t="shared" si="344"/>
        <v>2370876066.2287784</v>
      </c>
      <c r="D360" s="2">
        <f t="shared" si="354"/>
        <v>36217372.58502686</v>
      </c>
      <c r="E360" s="2">
        <f t="shared" si="355"/>
        <v>16960434.979415815</v>
      </c>
      <c r="F360" s="2">
        <f t="shared" si="352"/>
        <v>3621737.2585026864</v>
      </c>
      <c r="G360" s="2">
        <f t="shared" ref="G360" si="383">(H359+F360)*((1+$B$3)^(1/12)-1)</f>
        <v>20740273.848377571</v>
      </c>
      <c r="H360" s="2">
        <f t="shared" si="346"/>
        <v>2395238077.3356586</v>
      </c>
      <c r="I360" s="2">
        <f t="shared" si="357"/>
        <v>418334965.87395614</v>
      </c>
      <c r="J360" s="5">
        <f t="shared" si="351"/>
        <v>5.7256463664989008</v>
      </c>
    </row>
    <row r="361" spans="1:10" x14ac:dyDescent="0.3">
      <c r="A361" s="1">
        <f t="shared" si="342"/>
        <v>30</v>
      </c>
      <c r="B361" s="1">
        <f t="shared" si="343"/>
        <v>2</v>
      </c>
      <c r="C361" s="2">
        <f t="shared" si="344"/>
        <v>2395238077.3356586</v>
      </c>
      <c r="D361" s="2">
        <f t="shared" si="354"/>
        <v>36217372.58502686</v>
      </c>
      <c r="E361" s="2">
        <f t="shared" si="355"/>
        <v>16960434.979415815</v>
      </c>
      <c r="F361" s="2">
        <f t="shared" si="352"/>
        <v>3621737.2585026864</v>
      </c>
      <c r="G361" s="2">
        <f t="shared" ref="G361" si="384">(H360+F361)*((1+$B$3)^(1/12)-1)</f>
        <v>20953066.120121028</v>
      </c>
      <c r="H361" s="2">
        <f t="shared" si="346"/>
        <v>2419812880.714282</v>
      </c>
      <c r="I361" s="2">
        <f t="shared" si="357"/>
        <v>418334965.87395614</v>
      </c>
      <c r="J361" s="5">
        <f t="shared" si="351"/>
        <v>5.7843906871589814</v>
      </c>
    </row>
    <row r="362" spans="1:10" x14ac:dyDescent="0.3">
      <c r="A362" s="1">
        <f t="shared" si="342"/>
        <v>30</v>
      </c>
      <c r="B362" s="1">
        <f t="shared" si="343"/>
        <v>3</v>
      </c>
      <c r="C362" s="2">
        <f t="shared" si="344"/>
        <v>2419812880.714282</v>
      </c>
      <c r="D362" s="2">
        <f t="shared" si="354"/>
        <v>36217372.58502686</v>
      </c>
      <c r="E362" s="2">
        <f t="shared" si="355"/>
        <v>16960434.979415815</v>
      </c>
      <c r="F362" s="2">
        <f t="shared" si="352"/>
        <v>3621737.2585026864</v>
      </c>
      <c r="G362" s="2">
        <f t="shared" ref="G362" si="385">(H361+F362)*((1+$B$3)^(1/12)-1)</f>
        <v>21167717.045926958</v>
      </c>
      <c r="H362" s="2">
        <f t="shared" si="346"/>
        <v>2444602335.0187116</v>
      </c>
      <c r="I362" s="2">
        <f t="shared" si="357"/>
        <v>418334965.87395614</v>
      </c>
      <c r="J362" s="5">
        <f t="shared" si="351"/>
        <v>5.8436481155994677</v>
      </c>
    </row>
    <row r="363" spans="1:10" x14ac:dyDescent="0.3">
      <c r="A363" s="1">
        <f t="shared" si="342"/>
        <v>30</v>
      </c>
      <c r="B363" s="1">
        <f t="shared" si="343"/>
        <v>4</v>
      </c>
      <c r="C363" s="2">
        <f t="shared" si="344"/>
        <v>2444602335.0187116</v>
      </c>
      <c r="D363" s="2">
        <f t="shared" si="354"/>
        <v>36217372.58502686</v>
      </c>
      <c r="E363" s="2">
        <f t="shared" si="355"/>
        <v>16960434.979415815</v>
      </c>
      <c r="F363" s="2">
        <f t="shared" si="352"/>
        <v>3621737.2585026864</v>
      </c>
      <c r="G363" s="2">
        <f t="shared" ref="G363" si="386">(H362+F363)*((1+$B$3)^(1/12)-1)</f>
        <v>21384242.860383648</v>
      </c>
      <c r="H363" s="2">
        <f t="shared" si="346"/>
        <v>2469608315.1375976</v>
      </c>
      <c r="I363" s="2">
        <f t="shared" si="357"/>
        <v>418334965.87395614</v>
      </c>
      <c r="J363" s="5">
        <f t="shared" si="351"/>
        <v>5.9034231336084106</v>
      </c>
    </row>
    <row r="364" spans="1:10" x14ac:dyDescent="0.3">
      <c r="A364" s="1">
        <f t="shared" si="342"/>
        <v>30</v>
      </c>
      <c r="B364" s="1">
        <f t="shared" si="343"/>
        <v>5</v>
      </c>
      <c r="C364" s="2">
        <f t="shared" si="344"/>
        <v>2469608315.1375976</v>
      </c>
      <c r="D364" s="2">
        <f t="shared" si="354"/>
        <v>36217372.58502686</v>
      </c>
      <c r="E364" s="2">
        <f t="shared" si="355"/>
        <v>16960434.979415815</v>
      </c>
      <c r="F364" s="2">
        <f t="shared" si="352"/>
        <v>3621737.2585026864</v>
      </c>
      <c r="G364" s="2">
        <f t="shared" ref="G364" si="387">(H363+F364)*((1+$B$3)^(1/12)-1)</f>
        <v>21602659.939881932</v>
      </c>
      <c r="H364" s="2">
        <f t="shared" si="346"/>
        <v>2494832712.3359818</v>
      </c>
      <c r="I364" s="2">
        <f t="shared" si="357"/>
        <v>418334965.87395614</v>
      </c>
      <c r="J364" s="5">
        <f t="shared" si="351"/>
        <v>5.9637202621204564</v>
      </c>
    </row>
    <row r="365" spans="1:10" x14ac:dyDescent="0.3">
      <c r="A365" s="1">
        <f t="shared" si="342"/>
        <v>30</v>
      </c>
      <c r="B365" s="1">
        <f t="shared" si="343"/>
        <v>6</v>
      </c>
      <c r="C365" s="2">
        <f t="shared" si="344"/>
        <v>2494832712.3359818</v>
      </c>
      <c r="D365" s="2">
        <f t="shared" si="354"/>
        <v>36217372.58502686</v>
      </c>
      <c r="E365" s="2">
        <f t="shared" si="355"/>
        <v>16960434.979415815</v>
      </c>
      <c r="F365" s="2">
        <f t="shared" si="352"/>
        <v>7243474.5170053728</v>
      </c>
      <c r="G365" s="2">
        <f t="shared" ref="G365" si="388">(H364+F365)*((1+$B$3)^(1/12)-1)</f>
        <v>21854619.207742408</v>
      </c>
      <c r="H365" s="2">
        <f t="shared" si="346"/>
        <v>2523930806.0607295</v>
      </c>
      <c r="I365" s="2">
        <f t="shared" si="357"/>
        <v>418334965.87395614</v>
      </c>
      <c r="J365" s="5">
        <f t="shared" si="351"/>
        <v>6.0332771868301993</v>
      </c>
    </row>
    <row r="366" spans="1:10" x14ac:dyDescent="0.3">
      <c r="A366" s="1">
        <f t="shared" si="342"/>
        <v>30</v>
      </c>
      <c r="B366" s="1">
        <f t="shared" si="343"/>
        <v>7</v>
      </c>
      <c r="C366" s="2">
        <f t="shared" si="344"/>
        <v>2523930806.0607295</v>
      </c>
      <c r="D366" s="2">
        <f t="shared" si="354"/>
        <v>36217372.58502686</v>
      </c>
      <c r="E366" s="2">
        <f t="shared" si="355"/>
        <v>16960434.979415815</v>
      </c>
      <c r="F366" s="2">
        <f t="shared" si="352"/>
        <v>3621737.2585026864</v>
      </c>
      <c r="G366" s="2">
        <f t="shared" ref="G366" si="389">(H365+F366)*((1+$B$3)^(1/12)-1)</f>
        <v>22077144.833579075</v>
      </c>
      <c r="H366" s="2">
        <f t="shared" si="346"/>
        <v>2549629688.1528111</v>
      </c>
      <c r="I366" s="2">
        <f t="shared" si="357"/>
        <v>418334965.87395614</v>
      </c>
      <c r="J366" s="5">
        <f t="shared" si="351"/>
        <v>6.0947085377534798</v>
      </c>
    </row>
    <row r="367" spans="1:10" x14ac:dyDescent="0.3">
      <c r="A367" s="1">
        <f t="shared" si="342"/>
        <v>30</v>
      </c>
      <c r="B367" s="1">
        <f t="shared" si="343"/>
        <v>8</v>
      </c>
      <c r="C367" s="2">
        <f t="shared" si="344"/>
        <v>2549629688.1528111</v>
      </c>
      <c r="D367" s="2">
        <f t="shared" si="354"/>
        <v>36217372.58502686</v>
      </c>
      <c r="E367" s="2">
        <f t="shared" si="355"/>
        <v>16960434.979415815</v>
      </c>
      <c r="F367" s="2">
        <f t="shared" si="352"/>
        <v>3621737.2585026864</v>
      </c>
      <c r="G367" s="2">
        <f t="shared" ref="G367" si="390">(H366+F367)*((1+$B$3)^(1/12)-1)</f>
        <v>22301614.130372759</v>
      </c>
      <c r="H367" s="2">
        <f t="shared" si="346"/>
        <v>2575553039.5416861</v>
      </c>
      <c r="I367" s="2">
        <f t="shared" si="357"/>
        <v>418334965.87395614</v>
      </c>
      <c r="J367" s="5">
        <f t="shared" si="351"/>
        <v>6.1566764665751066</v>
      </c>
    </row>
    <row r="368" spans="1:10" x14ac:dyDescent="0.3">
      <c r="A368" s="1">
        <f t="shared" si="342"/>
        <v>30</v>
      </c>
      <c r="B368" s="1">
        <f t="shared" si="343"/>
        <v>9</v>
      </c>
      <c r="C368" s="2">
        <f t="shared" si="344"/>
        <v>2575553039.5416861</v>
      </c>
      <c r="D368" s="2">
        <f t="shared" si="354"/>
        <v>36217372.58502686</v>
      </c>
      <c r="E368" s="2">
        <f t="shared" si="355"/>
        <v>16960434.979415815</v>
      </c>
      <c r="F368" s="2">
        <f t="shared" si="352"/>
        <v>3621737.2585026864</v>
      </c>
      <c r="G368" s="2">
        <f t="shared" ref="G368" si="391">(H367+F368)*((1+$B$3)^(1/12)-1)</f>
        <v>22528044.075299792</v>
      </c>
      <c r="H368" s="2">
        <f t="shared" si="346"/>
        <v>2601702820.8754883</v>
      </c>
      <c r="I368" s="2">
        <f t="shared" si="357"/>
        <v>418334965.87395614</v>
      </c>
      <c r="J368" s="5">
        <f t="shared" si="351"/>
        <v>6.2191856600850777</v>
      </c>
    </row>
    <row r="369" spans="1:10" x14ac:dyDescent="0.3">
      <c r="A369" s="1">
        <f t="shared" si="342"/>
        <v>30</v>
      </c>
      <c r="B369" s="1">
        <f t="shared" si="343"/>
        <v>10</v>
      </c>
      <c r="C369" s="2">
        <f t="shared" si="344"/>
        <v>2601702820.8754883</v>
      </c>
      <c r="D369" s="2">
        <f t="shared" si="354"/>
        <v>36217372.58502686</v>
      </c>
      <c r="E369" s="2">
        <f t="shared" si="355"/>
        <v>16960434.979415815</v>
      </c>
      <c r="F369" s="2">
        <f t="shared" si="352"/>
        <v>3621737.2585026864</v>
      </c>
      <c r="G369" s="2">
        <f t="shared" ref="G369" si="392">(H368+F369)*((1+$B$3)^(1/12)-1)</f>
        <v>22756451.793825254</v>
      </c>
      <c r="H369" s="2">
        <f t="shared" si="346"/>
        <v>2628081009.9278159</v>
      </c>
      <c r="I369" s="2">
        <f t="shared" si="357"/>
        <v>418334965.87395614</v>
      </c>
      <c r="J369" s="5">
        <f t="shared" si="351"/>
        <v>6.2822408460105956</v>
      </c>
    </row>
    <row r="370" spans="1:10" x14ac:dyDescent="0.3">
      <c r="A370" s="1">
        <f t="shared" si="342"/>
        <v>30</v>
      </c>
      <c r="B370" s="1">
        <f t="shared" si="343"/>
        <v>11</v>
      </c>
      <c r="C370" s="2">
        <f t="shared" si="344"/>
        <v>2628081009.9278159</v>
      </c>
      <c r="D370" s="2">
        <f t="shared" si="354"/>
        <v>36217372.58502686</v>
      </c>
      <c r="E370" s="2">
        <f t="shared" si="355"/>
        <v>16960434.979415815</v>
      </c>
      <c r="F370" s="2">
        <f t="shared" si="352"/>
        <v>3621737.2585026864</v>
      </c>
      <c r="G370" s="2">
        <f t="shared" ref="G370" si="393">(H369+F370)*((1+$B$3)^(1/12)-1)</f>
        <v>22986854.560998201</v>
      </c>
      <c r="H370" s="2">
        <f t="shared" si="346"/>
        <v>2654689601.7473164</v>
      </c>
      <c r="I370" s="2">
        <f t="shared" si="357"/>
        <v>418334965.87395614</v>
      </c>
      <c r="J370" s="5">
        <f t="shared" si="351"/>
        <v>6.3458467933736413</v>
      </c>
    </row>
    <row r="371" spans="1:10" x14ac:dyDescent="0.3">
      <c r="A371" s="1">
        <f t="shared" si="342"/>
        <v>30</v>
      </c>
      <c r="B371" s="1">
        <f t="shared" si="343"/>
        <v>12</v>
      </c>
      <c r="C371" s="2">
        <f t="shared" si="344"/>
        <v>2654689601.7473164</v>
      </c>
      <c r="D371" s="2">
        <f t="shared" si="354"/>
        <v>36217372.58502686</v>
      </c>
      <c r="E371" s="2">
        <f t="shared" si="355"/>
        <v>16960434.979415815</v>
      </c>
      <c r="F371" s="2">
        <f t="shared" si="352"/>
        <v>7243474.5170053728</v>
      </c>
      <c r="G371" s="2">
        <f t="shared" ref="G371" si="394">(H370+F371)*((1+$B$3)^(1/12)-1)</f>
        <v>23250904.206646871</v>
      </c>
      <c r="H371" s="2">
        <f t="shared" si="346"/>
        <v>2685183980.4709687</v>
      </c>
      <c r="I371" s="2">
        <f t="shared" si="357"/>
        <v>418334965.87395614</v>
      </c>
      <c r="J371" s="5">
        <f t="shared" si="351"/>
        <v>6.4187414381230843</v>
      </c>
    </row>
    <row r="372" spans="1:10" x14ac:dyDescent="0.3">
      <c r="A372" s="1">
        <f t="shared" si="342"/>
        <v>31</v>
      </c>
      <c r="B372" s="1">
        <f t="shared" si="343"/>
        <v>1</v>
      </c>
      <c r="C372" s="2">
        <f t="shared" si="344"/>
        <v>2685183980.4709687</v>
      </c>
      <c r="D372" s="2">
        <f t="shared" si="354"/>
        <v>38274519.347856387</v>
      </c>
      <c r="E372" s="2">
        <f t="shared" si="355"/>
        <v>18257908.255341124</v>
      </c>
      <c r="F372" s="2">
        <f t="shared" si="352"/>
        <v>3827451.9347856389</v>
      </c>
      <c r="G372" s="2">
        <f t="shared" ref="G372" si="395">(H371+F372)*((1+$B$3)^(1/12)-1)</f>
        <v>23487422.648951769</v>
      </c>
      <c r="H372" s="2">
        <f t="shared" si="346"/>
        <v>2712498855.0547066</v>
      </c>
      <c r="I372" s="2">
        <f t="shared" si="357"/>
        <v>433395024.64541858</v>
      </c>
      <c r="J372" s="5">
        <f t="shared" si="351"/>
        <v>6.2587217222300442</v>
      </c>
    </row>
    <row r="373" spans="1:10" x14ac:dyDescent="0.3">
      <c r="A373" s="1">
        <f t="shared" si="342"/>
        <v>31</v>
      </c>
      <c r="B373" s="1">
        <f t="shared" si="343"/>
        <v>2</v>
      </c>
      <c r="C373" s="2">
        <f t="shared" si="344"/>
        <v>2712498855.0547066</v>
      </c>
      <c r="D373" s="2">
        <f t="shared" si="354"/>
        <v>38274519.347856387</v>
      </c>
      <c r="E373" s="2">
        <f t="shared" si="355"/>
        <v>18257908.255341124</v>
      </c>
      <c r="F373" s="2">
        <f t="shared" si="352"/>
        <v>3827451.9347856389</v>
      </c>
      <c r="G373" s="2">
        <f t="shared" ref="G373" si="396">(H372+F373)*((1+$B$3)^(1/12)-1)</f>
        <v>23726006.983781978</v>
      </c>
      <c r="H373" s="2">
        <f t="shared" si="346"/>
        <v>2740052313.9732742</v>
      </c>
      <c r="I373" s="2">
        <f t="shared" si="357"/>
        <v>433395024.64541858</v>
      </c>
      <c r="J373" s="5">
        <f t="shared" si="351"/>
        <v>6.3222975764778182</v>
      </c>
    </row>
    <row r="374" spans="1:10" x14ac:dyDescent="0.3">
      <c r="A374" s="1">
        <f t="shared" si="342"/>
        <v>31</v>
      </c>
      <c r="B374" s="1">
        <f t="shared" si="343"/>
        <v>3</v>
      </c>
      <c r="C374" s="2">
        <f t="shared" si="344"/>
        <v>2740052313.9732742</v>
      </c>
      <c r="D374" s="2">
        <f t="shared" si="354"/>
        <v>38274519.347856387</v>
      </c>
      <c r="E374" s="2">
        <f t="shared" si="355"/>
        <v>18257908.255341124</v>
      </c>
      <c r="F374" s="2">
        <f t="shared" si="352"/>
        <v>3827451.9347856389</v>
      </c>
      <c r="G374" s="2">
        <f t="shared" ref="G374" si="397">(H373+F374)*((1+$B$3)^(1/12)-1)</f>
        <v>23966675.25586959</v>
      </c>
      <c r="H374" s="2">
        <f t="shared" si="346"/>
        <v>2767846441.1639295</v>
      </c>
      <c r="I374" s="2">
        <f t="shared" si="357"/>
        <v>433395024.64541858</v>
      </c>
      <c r="J374" s="5">
        <f t="shared" si="351"/>
        <v>6.3864287399894319</v>
      </c>
    </row>
    <row r="375" spans="1:10" x14ac:dyDescent="0.3">
      <c r="A375" s="1">
        <f t="shared" si="342"/>
        <v>31</v>
      </c>
      <c r="B375" s="1">
        <f t="shared" si="343"/>
        <v>4</v>
      </c>
      <c r="C375" s="2">
        <f t="shared" si="344"/>
        <v>2767846441.1639295</v>
      </c>
      <c r="D375" s="2">
        <f t="shared" si="354"/>
        <v>38274519.347856387</v>
      </c>
      <c r="E375" s="2">
        <f t="shared" si="355"/>
        <v>18257908.255341124</v>
      </c>
      <c r="F375" s="2">
        <f t="shared" si="352"/>
        <v>3827451.9347856389</v>
      </c>
      <c r="G375" s="2">
        <f t="shared" ref="G375" si="398">(H374+F375)*((1+$B$3)^(1/12)-1)</f>
        <v>24209445.667560104</v>
      </c>
      <c r="H375" s="2">
        <f t="shared" si="346"/>
        <v>2795883338.7662754</v>
      </c>
      <c r="I375" s="2">
        <f t="shared" si="357"/>
        <v>433395024.64541858</v>
      </c>
      <c r="J375" s="5">
        <f t="shared" si="351"/>
        <v>6.4511200631657521</v>
      </c>
    </row>
    <row r="376" spans="1:10" x14ac:dyDescent="0.3">
      <c r="A376" s="1">
        <f t="shared" si="342"/>
        <v>31</v>
      </c>
      <c r="B376" s="1">
        <f t="shared" si="343"/>
        <v>5</v>
      </c>
      <c r="C376" s="2">
        <f t="shared" si="344"/>
        <v>2795883338.7662754</v>
      </c>
      <c r="D376" s="2">
        <f t="shared" si="354"/>
        <v>38274519.347856387</v>
      </c>
      <c r="E376" s="2">
        <f t="shared" si="355"/>
        <v>18257908.255341124</v>
      </c>
      <c r="F376" s="2">
        <f t="shared" si="352"/>
        <v>3827451.9347856389</v>
      </c>
      <c r="G376" s="2">
        <f t="shared" ref="G376" si="399">(H375+F376)*((1+$B$3)^(1/12)-1)</f>
        <v>24454336.580189113</v>
      </c>
      <c r="H376" s="2">
        <f t="shared" si="346"/>
        <v>2824165127.2812505</v>
      </c>
      <c r="I376" s="2">
        <f t="shared" si="357"/>
        <v>433395024.64541858</v>
      </c>
      <c r="J376" s="5">
        <f t="shared" si="351"/>
        <v>6.5163764387739258</v>
      </c>
    </row>
    <row r="377" spans="1:10" x14ac:dyDescent="0.3">
      <c r="A377" s="1">
        <f t="shared" si="342"/>
        <v>31</v>
      </c>
      <c r="B377" s="1">
        <f t="shared" si="343"/>
        <v>6</v>
      </c>
      <c r="C377" s="2">
        <f t="shared" si="344"/>
        <v>2824165127.2812505</v>
      </c>
      <c r="D377" s="2">
        <f t="shared" si="354"/>
        <v>38274519.347856387</v>
      </c>
      <c r="E377" s="2">
        <f t="shared" si="355"/>
        <v>18257908.255341124</v>
      </c>
      <c r="F377" s="2">
        <f t="shared" si="352"/>
        <v>7654903.8695712779</v>
      </c>
      <c r="G377" s="2">
        <f t="shared" ref="G377" si="400">(H376+F377)*((1+$B$3)^(1/12)-1)</f>
        <v>24734797.753500532</v>
      </c>
      <c r="H377" s="2">
        <f t="shared" si="346"/>
        <v>2856554828.9043221</v>
      </c>
      <c r="I377" s="2">
        <f t="shared" si="357"/>
        <v>433395024.64541858</v>
      </c>
      <c r="J377" s="5">
        <f t="shared" si="351"/>
        <v>6.5911112644668863</v>
      </c>
    </row>
    <row r="378" spans="1:10" x14ac:dyDescent="0.3">
      <c r="A378" s="1">
        <f t="shared" si="342"/>
        <v>31</v>
      </c>
      <c r="B378" s="1">
        <f t="shared" si="343"/>
        <v>7</v>
      </c>
      <c r="C378" s="2">
        <f t="shared" si="344"/>
        <v>2856554828.9043221</v>
      </c>
      <c r="D378" s="2">
        <f t="shared" si="354"/>
        <v>38274519.347856387</v>
      </c>
      <c r="E378" s="2">
        <f t="shared" si="355"/>
        <v>18257908.255341124</v>
      </c>
      <c r="F378" s="2">
        <f t="shared" si="352"/>
        <v>3827451.9347856389</v>
      </c>
      <c r="G378" s="2">
        <f t="shared" ref="G378" si="401">(H377+F378)*((1+$B$3)^(1/12)-1)</f>
        <v>24984277.403214585</v>
      </c>
      <c r="H378" s="2">
        <f t="shared" si="346"/>
        <v>2885366558.2423224</v>
      </c>
      <c r="I378" s="2">
        <f t="shared" si="357"/>
        <v>433395024.64541858</v>
      </c>
      <c r="J378" s="5">
        <f t="shared" si="351"/>
        <v>6.6575904063572953</v>
      </c>
    </row>
    <row r="379" spans="1:10" x14ac:dyDescent="0.3">
      <c r="A379" s="1">
        <f t="shared" si="342"/>
        <v>31</v>
      </c>
      <c r="B379" s="1">
        <f t="shared" si="343"/>
        <v>8</v>
      </c>
      <c r="C379" s="2">
        <f t="shared" si="344"/>
        <v>2885366558.2423224</v>
      </c>
      <c r="D379" s="2">
        <f t="shared" si="354"/>
        <v>38274519.347856387</v>
      </c>
      <c r="E379" s="2">
        <f t="shared" si="355"/>
        <v>18257908.255341124</v>
      </c>
      <c r="F379" s="2">
        <f t="shared" si="352"/>
        <v>3827451.9347856389</v>
      </c>
      <c r="G379" s="2">
        <f t="shared" ref="G379" si="402">(H378+F379)*((1+$B$3)^(1/12)-1)</f>
        <v>25235936.156336132</v>
      </c>
      <c r="H379" s="2">
        <f t="shared" si="346"/>
        <v>2914429946.3334446</v>
      </c>
      <c r="I379" s="2">
        <f t="shared" si="357"/>
        <v>433395024.64541858</v>
      </c>
      <c r="J379" s="5">
        <f t="shared" si="351"/>
        <v>6.7246502165498567</v>
      </c>
    </row>
    <row r="380" spans="1:10" x14ac:dyDescent="0.3">
      <c r="A380" s="1">
        <f t="shared" si="342"/>
        <v>31</v>
      </c>
      <c r="B380" s="1">
        <f t="shared" si="343"/>
        <v>9</v>
      </c>
      <c r="C380" s="2">
        <f t="shared" si="344"/>
        <v>2914429946.3334446</v>
      </c>
      <c r="D380" s="2">
        <f t="shared" si="354"/>
        <v>38274519.347856387</v>
      </c>
      <c r="E380" s="2">
        <f t="shared" si="355"/>
        <v>18257908.255341124</v>
      </c>
      <c r="F380" s="2">
        <f t="shared" si="352"/>
        <v>3827451.9347856389</v>
      </c>
      <c r="G380" s="2">
        <f t="shared" ref="G380" si="403">(H379+F380)*((1+$B$3)^(1/12)-1)</f>
        <v>25489793.046448339</v>
      </c>
      <c r="H380" s="2">
        <f t="shared" si="346"/>
        <v>2943747191.3146787</v>
      </c>
      <c r="I380" s="2">
        <f t="shared" si="357"/>
        <v>433395024.64541858</v>
      </c>
      <c r="J380" s="5">
        <f t="shared" si="351"/>
        <v>6.7922957669463342</v>
      </c>
    </row>
    <row r="381" spans="1:10" x14ac:dyDescent="0.3">
      <c r="A381" s="1">
        <f t="shared" si="342"/>
        <v>31</v>
      </c>
      <c r="B381" s="1">
        <f t="shared" si="343"/>
        <v>10</v>
      </c>
      <c r="C381" s="2">
        <f t="shared" si="344"/>
        <v>2943747191.3146787</v>
      </c>
      <c r="D381" s="2">
        <f t="shared" si="354"/>
        <v>38274519.347856387</v>
      </c>
      <c r="E381" s="2">
        <f t="shared" si="355"/>
        <v>18257908.255341124</v>
      </c>
      <c r="F381" s="2">
        <f t="shared" si="352"/>
        <v>3827451.9347856389</v>
      </c>
      <c r="G381" s="2">
        <f t="shared" ref="G381" si="404">(H380+F381)*((1+$B$3)^(1/12)-1)</f>
        <v>25745867.273384985</v>
      </c>
      <c r="H381" s="2">
        <f t="shared" si="346"/>
        <v>2973320510.5228496</v>
      </c>
      <c r="I381" s="2">
        <f t="shared" si="357"/>
        <v>433395024.64541858</v>
      </c>
      <c r="J381" s="5">
        <f t="shared" si="351"/>
        <v>6.8605321737494949</v>
      </c>
    </row>
    <row r="382" spans="1:10" x14ac:dyDescent="0.3">
      <c r="A382" s="1">
        <f t="shared" si="342"/>
        <v>31</v>
      </c>
      <c r="B382" s="1">
        <f t="shared" si="343"/>
        <v>11</v>
      </c>
      <c r="C382" s="2">
        <f t="shared" si="344"/>
        <v>2973320510.5228496</v>
      </c>
      <c r="D382" s="2">
        <f t="shared" si="354"/>
        <v>38274519.347856387</v>
      </c>
      <c r="E382" s="2">
        <f t="shared" si="355"/>
        <v>18257908.255341124</v>
      </c>
      <c r="F382" s="2">
        <f t="shared" si="352"/>
        <v>3827451.9347856389</v>
      </c>
      <c r="G382" s="2">
        <f t="shared" ref="G382" si="405">(H381+F382)*((1+$B$3)^(1/12)-1)</f>
        <v>26004178.204682603</v>
      </c>
      <c r="H382" s="2">
        <f t="shared" si="346"/>
        <v>3003152140.6623182</v>
      </c>
      <c r="I382" s="2">
        <f t="shared" si="357"/>
        <v>433395024.64541858</v>
      </c>
      <c r="J382" s="5">
        <f t="shared" si="351"/>
        <v>6.9293645978500606</v>
      </c>
    </row>
    <row r="383" spans="1:10" x14ac:dyDescent="0.3">
      <c r="A383" s="1">
        <f t="shared" si="342"/>
        <v>31</v>
      </c>
      <c r="B383" s="1">
        <f t="shared" si="343"/>
        <v>12</v>
      </c>
      <c r="C383" s="2">
        <f t="shared" si="344"/>
        <v>3003152140.6623182</v>
      </c>
      <c r="D383" s="2">
        <f t="shared" si="354"/>
        <v>38274519.347856387</v>
      </c>
      <c r="E383" s="2">
        <f t="shared" si="355"/>
        <v>18257908.255341124</v>
      </c>
      <c r="F383" s="2">
        <f t="shared" si="352"/>
        <v>7654903.8695712779</v>
      </c>
      <c r="G383" s="2">
        <f t="shared" ref="G383" si="406">(H382+F383)*((1+$B$3)^(1/12)-1)</f>
        <v>26298176.61507481</v>
      </c>
      <c r="H383" s="2">
        <f t="shared" si="346"/>
        <v>3037105221.1469641</v>
      </c>
      <c r="I383" s="2">
        <f t="shared" si="357"/>
        <v>433395024.64541858</v>
      </c>
      <c r="J383" s="5">
        <f t="shared" si="351"/>
        <v>7.0077067073664878</v>
      </c>
    </row>
    <row r="384" spans="1:10" x14ac:dyDescent="0.3">
      <c r="A384" s="1">
        <f t="shared" si="342"/>
        <v>32</v>
      </c>
      <c r="B384" s="1">
        <f t="shared" si="343"/>
        <v>1</v>
      </c>
      <c r="C384" s="2">
        <f t="shared" si="344"/>
        <v>3037105221.1469641</v>
      </c>
      <c r="D384" s="2">
        <f t="shared" si="354"/>
        <v>40448512.046814628</v>
      </c>
      <c r="E384" s="2">
        <f t="shared" si="355"/>
        <v>19654638.236874718</v>
      </c>
      <c r="F384" s="2">
        <f t="shared" si="352"/>
        <v>4044851.2046814631</v>
      </c>
      <c r="G384" s="2">
        <f t="shared" ref="G384" si="407">(H383+F384)*((1+$B$3)^(1/12)-1)</f>
        <v>26563210.638457116</v>
      </c>
      <c r="H384" s="2">
        <f t="shared" si="346"/>
        <v>3067713282.9901028</v>
      </c>
      <c r="I384" s="2">
        <f t="shared" si="357"/>
        <v>448997245.53265369</v>
      </c>
      <c r="J384" s="5">
        <f t="shared" si="351"/>
        <v>6.8323654844492827</v>
      </c>
    </row>
    <row r="385" spans="1:10" x14ac:dyDescent="0.3">
      <c r="A385" s="1">
        <f t="shared" si="342"/>
        <v>32</v>
      </c>
      <c r="B385" s="1">
        <f t="shared" si="343"/>
        <v>2</v>
      </c>
      <c r="C385" s="2">
        <f t="shared" si="344"/>
        <v>3067713282.9901028</v>
      </c>
      <c r="D385" s="2">
        <f t="shared" si="354"/>
        <v>40448512.046814628</v>
      </c>
      <c r="E385" s="2">
        <f t="shared" si="355"/>
        <v>19654638.236874718</v>
      </c>
      <c r="F385" s="2">
        <f t="shared" si="352"/>
        <v>4044851.2046814631</v>
      </c>
      <c r="G385" s="2">
        <f t="shared" ref="G385" si="408">(H384+F385)*((1+$B$3)^(1/12)-1)</f>
        <v>26830559.626383089</v>
      </c>
      <c r="H385" s="2">
        <f t="shared" si="346"/>
        <v>3098588693.8211675</v>
      </c>
      <c r="I385" s="2">
        <f t="shared" si="357"/>
        <v>448997245.53265369</v>
      </c>
      <c r="J385" s="5">
        <f t="shared" si="351"/>
        <v>6.9011307411145806</v>
      </c>
    </row>
    <row r="386" spans="1:10" x14ac:dyDescent="0.3">
      <c r="A386" s="1">
        <f t="shared" si="342"/>
        <v>32</v>
      </c>
      <c r="B386" s="1">
        <f t="shared" si="343"/>
        <v>3</v>
      </c>
      <c r="C386" s="2">
        <f t="shared" si="344"/>
        <v>3098588693.8211675</v>
      </c>
      <c r="D386" s="2">
        <f t="shared" si="354"/>
        <v>40448512.046814628</v>
      </c>
      <c r="E386" s="2">
        <f t="shared" si="355"/>
        <v>19654638.236874718</v>
      </c>
      <c r="F386" s="2">
        <f t="shared" si="352"/>
        <v>4044851.2046814631</v>
      </c>
      <c r="G386" s="2">
        <f t="shared" ref="G386" si="409">(H385+F386)*((1+$B$3)^(1/12)-1)</f>
        <v>27100243.799127735</v>
      </c>
      <c r="H386" s="2">
        <f t="shared" si="346"/>
        <v>3129733788.8249764</v>
      </c>
      <c r="I386" s="2">
        <f t="shared" si="357"/>
        <v>448997245.53265369</v>
      </c>
      <c r="J386" s="5">
        <f t="shared" si="351"/>
        <v>6.9704966343660208</v>
      </c>
    </row>
    <row r="387" spans="1:10" x14ac:dyDescent="0.3">
      <c r="A387" s="1">
        <f t="shared" si="342"/>
        <v>32</v>
      </c>
      <c r="B387" s="1">
        <f t="shared" si="343"/>
        <v>4</v>
      </c>
      <c r="C387" s="2">
        <f t="shared" si="344"/>
        <v>3129733788.8249764</v>
      </c>
      <c r="D387" s="2">
        <f t="shared" si="354"/>
        <v>40448512.046814628</v>
      </c>
      <c r="E387" s="2">
        <f t="shared" si="355"/>
        <v>19654638.236874718</v>
      </c>
      <c r="F387" s="2">
        <f t="shared" si="352"/>
        <v>4044851.2046814631</v>
      </c>
      <c r="G387" s="2">
        <f t="shared" ref="G387" si="410">(H386+F387)*((1+$B$3)^(1/12)-1)</f>
        <v>27372283.553581942</v>
      </c>
      <c r="H387" s="2">
        <f t="shared" si="346"/>
        <v>3161150923.5832396</v>
      </c>
      <c r="I387" s="2">
        <f t="shared" si="357"/>
        <v>448997245.53265369</v>
      </c>
      <c r="J387" s="5">
        <f t="shared" si="351"/>
        <v>7.0404684105202202</v>
      </c>
    </row>
    <row r="388" spans="1:10" x14ac:dyDescent="0.3">
      <c r="A388" s="1">
        <f t="shared" si="342"/>
        <v>32</v>
      </c>
      <c r="B388" s="1">
        <f t="shared" si="343"/>
        <v>5</v>
      </c>
      <c r="C388" s="2">
        <f t="shared" si="344"/>
        <v>3161150923.5832396</v>
      </c>
      <c r="D388" s="2">
        <f t="shared" si="354"/>
        <v>40448512.046814628</v>
      </c>
      <c r="E388" s="2">
        <f t="shared" si="355"/>
        <v>19654638.236874718</v>
      </c>
      <c r="F388" s="2">
        <f t="shared" si="352"/>
        <v>4044851.2046814631</v>
      </c>
      <c r="G388" s="2">
        <f t="shared" ref="G388" si="411">(H387+F388)*((1+$B$3)^(1/12)-1)</f>
        <v>27646699.464795165</v>
      </c>
      <c r="H388" s="2">
        <f t="shared" si="346"/>
        <v>3192842474.2527161</v>
      </c>
      <c r="I388" s="2">
        <f t="shared" si="357"/>
        <v>448997245.53265369</v>
      </c>
      <c r="J388" s="5">
        <f t="shared" si="351"/>
        <v>7.11105136171824</v>
      </c>
    </row>
    <row r="389" spans="1:10" x14ac:dyDescent="0.3">
      <c r="A389" s="1">
        <f t="shared" si="342"/>
        <v>32</v>
      </c>
      <c r="B389" s="1">
        <f t="shared" si="343"/>
        <v>6</v>
      </c>
      <c r="C389" s="2">
        <f t="shared" si="344"/>
        <v>3192842474.2527161</v>
      </c>
      <c r="D389" s="2">
        <f t="shared" si="354"/>
        <v>40448512.046814628</v>
      </c>
      <c r="E389" s="2">
        <f t="shared" si="355"/>
        <v>19654638.236874718</v>
      </c>
      <c r="F389" s="2">
        <f t="shared" si="352"/>
        <v>8089702.4093629261</v>
      </c>
      <c r="G389" s="2">
        <f t="shared" ref="G389" si="412">(H388+F389)*((1+$B$3)^(1/12)-1)</f>
        <v>27958842.419881154</v>
      </c>
      <c r="H389" s="2">
        <f t="shared" si="346"/>
        <v>3228891019.0819602</v>
      </c>
      <c r="I389" s="2">
        <f t="shared" si="357"/>
        <v>448997245.53265369</v>
      </c>
      <c r="J389" s="5">
        <f t="shared" si="351"/>
        <v>7.1913381456304197</v>
      </c>
    </row>
    <row r="390" spans="1:10" x14ac:dyDescent="0.3">
      <c r="A390" s="1">
        <f t="shared" si="342"/>
        <v>32</v>
      </c>
      <c r="B390" s="1">
        <f t="shared" si="343"/>
        <v>7</v>
      </c>
      <c r="C390" s="2">
        <f t="shared" si="344"/>
        <v>3228891019.0819602</v>
      </c>
      <c r="D390" s="2">
        <f t="shared" si="354"/>
        <v>40448512.046814628</v>
      </c>
      <c r="E390" s="2">
        <f t="shared" si="355"/>
        <v>19654638.236874718</v>
      </c>
      <c r="F390" s="2">
        <f t="shared" si="352"/>
        <v>4044851.2046814631</v>
      </c>
      <c r="G390" s="2">
        <f t="shared" ref="G390" si="413">(H389+F390)*((1+$B$3)^(1/12)-1)</f>
        <v>28238381.684545107</v>
      </c>
      <c r="H390" s="2">
        <f t="shared" si="346"/>
        <v>3261174251.9711866</v>
      </c>
      <c r="I390" s="2">
        <f t="shared" si="357"/>
        <v>448997245.53265369</v>
      </c>
      <c r="J390" s="5">
        <f t="shared" si="351"/>
        <v>7.2632388826848944</v>
      </c>
    </row>
    <row r="391" spans="1:10" x14ac:dyDescent="0.3">
      <c r="A391" s="1">
        <f t="shared" si="342"/>
        <v>32</v>
      </c>
      <c r="B391" s="1">
        <f t="shared" si="343"/>
        <v>8</v>
      </c>
      <c r="C391" s="2">
        <f t="shared" si="344"/>
        <v>3261174251.9711866</v>
      </c>
      <c r="D391" s="2">
        <f t="shared" si="354"/>
        <v>40448512.046814628</v>
      </c>
      <c r="E391" s="2">
        <f t="shared" si="355"/>
        <v>19654638.236874718</v>
      </c>
      <c r="F391" s="2">
        <f t="shared" si="352"/>
        <v>4044851.2046814631</v>
      </c>
      <c r="G391" s="2">
        <f t="shared" ref="G391" si="414">(H390+F391)*((1+$B$3)^(1/12)-1)</f>
        <v>28520362.61114363</v>
      </c>
      <c r="H391" s="2">
        <f t="shared" si="346"/>
        <v>3293739465.7870116</v>
      </c>
      <c r="I391" s="2">
        <f t="shared" si="357"/>
        <v>448997245.53265369</v>
      </c>
      <c r="J391" s="5">
        <f t="shared" si="351"/>
        <v>7.3357676434731527</v>
      </c>
    </row>
    <row r="392" spans="1:10" x14ac:dyDescent="0.3">
      <c r="A392" s="1">
        <f t="shared" ref="A392:A395" si="415">IF(B392=1,A391+1,A391)</f>
        <v>32</v>
      </c>
      <c r="B392" s="1">
        <f t="shared" ref="B392:B395" si="416">IF(B391=12,1,B391+1)</f>
        <v>9</v>
      </c>
      <c r="C392" s="2">
        <f t="shared" ref="C392:C395" si="417">H391</f>
        <v>3293739465.7870116</v>
      </c>
      <c r="D392" s="2">
        <f t="shared" si="354"/>
        <v>40448512.046814628</v>
      </c>
      <c r="E392" s="2">
        <f t="shared" si="355"/>
        <v>19654638.236874718</v>
      </c>
      <c r="F392" s="2">
        <f t="shared" si="352"/>
        <v>4044851.2046814631</v>
      </c>
      <c r="G392" s="2">
        <f t="shared" ref="G392" si="418">(H391+F392)*((1+$B$3)^(1/12)-1)</f>
        <v>28804806.526601981</v>
      </c>
      <c r="H392" s="2">
        <f t="shared" ref="H392:H395" si="419">F392+C392+G392</f>
        <v>3326589123.5182948</v>
      </c>
      <c r="I392" s="2">
        <f t="shared" si="357"/>
        <v>448997245.53265369</v>
      </c>
      <c r="J392" s="5">
        <f t="shared" si="351"/>
        <v>7.4089299135274223</v>
      </c>
    </row>
    <row r="393" spans="1:10" x14ac:dyDescent="0.3">
      <c r="A393" s="1">
        <f t="shared" si="415"/>
        <v>32</v>
      </c>
      <c r="B393" s="1">
        <f t="shared" si="416"/>
        <v>10</v>
      </c>
      <c r="C393" s="2">
        <f t="shared" si="417"/>
        <v>3326589123.5182948</v>
      </c>
      <c r="D393" s="2">
        <f t="shared" si="354"/>
        <v>40448512.046814628</v>
      </c>
      <c r="E393" s="2">
        <f t="shared" si="355"/>
        <v>19654638.236874718</v>
      </c>
      <c r="F393" s="2">
        <f t="shared" si="352"/>
        <v>4044851.2046814631</v>
      </c>
      <c r="G393" s="2">
        <f t="shared" ref="G393" si="420">(H392+F393)*((1+$B$3)^(1/12)-1)</f>
        <v>29091734.944127444</v>
      </c>
      <c r="H393" s="2">
        <f t="shared" si="419"/>
        <v>3359725709.6671038</v>
      </c>
      <c r="I393" s="2">
        <f t="shared" si="357"/>
        <v>448997245.53265369</v>
      </c>
      <c r="J393" s="5">
        <f t="shared" si="351"/>
        <v>7.4827312262938257</v>
      </c>
    </row>
    <row r="394" spans="1:10" x14ac:dyDescent="0.3">
      <c r="A394" s="1">
        <f t="shared" si="415"/>
        <v>32</v>
      </c>
      <c r="B394" s="1">
        <f t="shared" si="416"/>
        <v>11</v>
      </c>
      <c r="C394" s="2">
        <f t="shared" si="417"/>
        <v>3359725709.6671038</v>
      </c>
      <c r="D394" s="2">
        <f t="shared" si="354"/>
        <v>40448512.046814628</v>
      </c>
      <c r="E394" s="2">
        <f t="shared" si="355"/>
        <v>19654638.236874718</v>
      </c>
      <c r="F394" s="2">
        <f t="shared" si="352"/>
        <v>4044851.2046814631</v>
      </c>
      <c r="G394" s="2">
        <f t="shared" ref="G394" si="421">(H393+F394)*((1+$B$3)^(1/12)-1)</f>
        <v>29381169.564836424</v>
      </c>
      <c r="H394" s="2">
        <f t="shared" si="419"/>
        <v>3393151730.4366217</v>
      </c>
      <c r="I394" s="2">
        <f t="shared" si="357"/>
        <v>448997245.53265369</v>
      </c>
      <c r="J394" s="5">
        <f t="shared" si="351"/>
        <v>7.5571771635508886</v>
      </c>
    </row>
    <row r="395" spans="1:10" x14ac:dyDescent="0.3">
      <c r="A395" s="1">
        <f t="shared" si="415"/>
        <v>32</v>
      </c>
      <c r="B395" s="1">
        <f t="shared" si="416"/>
        <v>12</v>
      </c>
      <c r="C395" s="2">
        <f t="shared" si="417"/>
        <v>3393151730.4366217</v>
      </c>
      <c r="D395" s="2">
        <f t="shared" si="354"/>
        <v>40448512.046814628</v>
      </c>
      <c r="E395" s="2">
        <f t="shared" si="355"/>
        <v>19654638.236874718</v>
      </c>
      <c r="F395" s="2">
        <f t="shared" si="352"/>
        <v>8089702.4093629261</v>
      </c>
      <c r="G395" s="2">
        <f t="shared" ref="G395" si="422">(H394+F395)*((1+$B$3)^(1/12)-1)</f>
        <v>29708462.411745369</v>
      </c>
      <c r="H395" s="2">
        <f t="shared" si="419"/>
        <v>3430949895.25773</v>
      </c>
      <c r="I395" s="2">
        <f t="shared" si="357"/>
        <v>448997245.53265369</v>
      </c>
      <c r="J395" s="5">
        <f t="shared" si="351"/>
        <v>7.6413606751362826</v>
      </c>
    </row>
    <row r="396" spans="1:10" x14ac:dyDescent="0.3">
      <c r="C396" s="2"/>
      <c r="D396" s="2"/>
      <c r="E396" s="2"/>
      <c r="F396" s="2"/>
      <c r="G396" s="2"/>
      <c r="H396" s="2"/>
      <c r="I396" s="2"/>
    </row>
    <row r="397" spans="1:10" x14ac:dyDescent="0.3">
      <c r="C397" s="2"/>
      <c r="D397" s="2"/>
      <c r="E397" s="2"/>
      <c r="F397" s="2"/>
      <c r="G397" s="2"/>
      <c r="H397" s="2"/>
      <c r="I397" s="2"/>
    </row>
    <row r="398" spans="1:10" x14ac:dyDescent="0.3">
      <c r="C398" s="2"/>
      <c r="D398" s="2"/>
      <c r="E398" s="2"/>
      <c r="F398" s="2"/>
      <c r="G398" s="2"/>
      <c r="H398" s="2"/>
      <c r="I398" s="2"/>
    </row>
    <row r="399" spans="1:10" x14ac:dyDescent="0.3">
      <c r="C399" s="2"/>
      <c r="D399" s="2"/>
      <c r="E399" s="2"/>
      <c r="F399" s="2"/>
      <c r="G399" s="2"/>
      <c r="H399" s="2"/>
      <c r="I399" s="2"/>
    </row>
    <row r="400" spans="1:10" x14ac:dyDescent="0.3">
      <c r="C400" s="2"/>
      <c r="D400" s="2"/>
      <c r="E400" s="2"/>
      <c r="F400" s="2"/>
      <c r="G400" s="2"/>
      <c r="H400" s="2"/>
      <c r="I400" s="2"/>
    </row>
    <row r="401" spans="3:9" x14ac:dyDescent="0.3">
      <c r="C401" s="2"/>
      <c r="D401" s="2"/>
      <c r="E401" s="2"/>
      <c r="F401" s="2"/>
      <c r="G401" s="2"/>
      <c r="H401" s="2"/>
      <c r="I401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7B787-F847-4B19-8E3F-90FF5767B119}">
  <dimension ref="A1:X401"/>
  <sheetViews>
    <sheetView tabSelected="1" zoomScale="140" zoomScaleNormal="140" workbookViewId="0">
      <selection activeCell="E3" sqref="E3"/>
    </sheetView>
  </sheetViews>
  <sheetFormatPr baseColWidth="10" defaultRowHeight="14.4" x14ac:dyDescent="0.3"/>
  <cols>
    <col min="1" max="1" width="12.21875" style="1" customWidth="1"/>
    <col min="2" max="2" width="14.5546875" style="1" bestFit="1" customWidth="1"/>
    <col min="3" max="3" width="17.77734375" style="1" bestFit="1" customWidth="1"/>
    <col min="4" max="4" width="17.77734375" style="1" customWidth="1"/>
    <col min="5" max="5" width="15.109375" style="1" bestFit="1" customWidth="1"/>
    <col min="6" max="6" width="15.109375" style="1" customWidth="1"/>
    <col min="7" max="7" width="15.109375" style="1" bestFit="1" customWidth="1"/>
    <col min="8" max="8" width="15.109375" style="1" customWidth="1"/>
    <col min="9" max="9" width="15.109375" style="1" bestFit="1" customWidth="1"/>
    <col min="10" max="11" width="17.77734375" style="1" bestFit="1" customWidth="1"/>
    <col min="12" max="12" width="15.109375" style="1" bestFit="1" customWidth="1"/>
    <col min="13" max="14" width="11.5546875" style="1"/>
    <col min="15" max="15" width="21.77734375" style="1" bestFit="1" customWidth="1"/>
    <col min="16" max="16" width="13.88671875" style="1" bestFit="1" customWidth="1"/>
    <col min="17" max="19" width="11.5546875" style="1"/>
    <col min="20" max="20" width="13.88671875" style="1" bestFit="1" customWidth="1"/>
    <col min="21" max="16384" width="11.5546875" style="1"/>
  </cols>
  <sheetData>
    <row r="1" spans="1:24" x14ac:dyDescent="0.3">
      <c r="A1" s="1" t="s">
        <v>1</v>
      </c>
      <c r="B1" s="2">
        <v>2000000</v>
      </c>
      <c r="C1" s="2"/>
      <c r="D1" s="2"/>
    </row>
    <row r="2" spans="1:24" ht="28.8" x14ac:dyDescent="0.3">
      <c r="A2" s="1" t="s">
        <v>3</v>
      </c>
      <c r="B2" s="3">
        <v>0.1</v>
      </c>
      <c r="C2" s="3"/>
      <c r="D2" s="3"/>
      <c r="O2" s="1" t="s">
        <v>18</v>
      </c>
      <c r="P2" s="1" t="s">
        <v>19</v>
      </c>
      <c r="Q2" s="1" t="s">
        <v>20</v>
      </c>
      <c r="S2" s="1" t="s">
        <v>20</v>
      </c>
    </row>
    <row r="3" spans="1:24" ht="28.8" x14ac:dyDescent="0.3">
      <c r="A3" s="1" t="s">
        <v>6</v>
      </c>
      <c r="B3" s="9">
        <v>0.11</v>
      </c>
      <c r="C3" s="5">
        <f>(1+B3)^(1/12)-1</f>
        <v>8.7345938235519061E-3</v>
      </c>
      <c r="D3" s="5"/>
      <c r="E3" s="3">
        <v>0.2</v>
      </c>
      <c r="F3" s="3">
        <v>0.03</v>
      </c>
      <c r="N3" s="1" t="s">
        <v>21</v>
      </c>
      <c r="O3" s="4">
        <f ca="1">J395</f>
        <v>17439031120.643108</v>
      </c>
      <c r="P3" s="10">
        <f ca="1">E395/F395</f>
        <v>2.6821164382236717</v>
      </c>
      <c r="Q3" s="1">
        <f ca="1">MATCH(100%,L11:L395,1)</f>
        <v>131</v>
      </c>
      <c r="S3" s="1" t="s">
        <v>171</v>
      </c>
      <c r="T3" s="10">
        <f ca="1">AVERAGE(Q3:Q152)</f>
        <v>129.1</v>
      </c>
    </row>
    <row r="4" spans="1:24" ht="43.8" thickBot="1" x14ac:dyDescent="0.35">
      <c r="A4" s="1" t="s">
        <v>13</v>
      </c>
      <c r="B4" s="8">
        <v>7.6499999999999999E-2</v>
      </c>
      <c r="E4" s="6">
        <v>7.5300000000000006E-2</v>
      </c>
      <c r="N4" s="1" t="s">
        <v>22</v>
      </c>
      <c r="O4" s="4">
        <f t="dataTable" ref="O4:Q152" dt2D="0" dtr="0" r1="N2" ca="1"/>
        <v>17512719627.371391</v>
      </c>
      <c r="P4" s="10">
        <v>2.4382735733052883</v>
      </c>
      <c r="Q4" s="1">
        <v>130</v>
      </c>
      <c r="S4" s="1" t="s">
        <v>172</v>
      </c>
      <c r="T4" s="10">
        <f ca="1">_xlfn.STDEV.S(Q3:Q152)</f>
        <v>2.2931178037215991</v>
      </c>
    </row>
    <row r="5" spans="1:24" ht="43.2" x14ac:dyDescent="0.3">
      <c r="A5" s="1" t="s">
        <v>10</v>
      </c>
      <c r="B5" s="8">
        <v>3.5999999999999997E-2</v>
      </c>
      <c r="E5" s="6">
        <f>B5</f>
        <v>3.5999999999999997E-2</v>
      </c>
      <c r="F5" s="6">
        <v>5.0000000000000001E-3</v>
      </c>
      <c r="N5" s="1" t="s">
        <v>23</v>
      </c>
      <c r="O5" s="4">
        <v>17941261045.256618</v>
      </c>
      <c r="P5" s="10">
        <v>2.8952977676178233</v>
      </c>
      <c r="Q5" s="1">
        <v>130</v>
      </c>
      <c r="S5" s="1" t="s">
        <v>173</v>
      </c>
      <c r="T5" s="1">
        <f ca="1">MAX(Q3:Q152)</f>
        <v>135</v>
      </c>
      <c r="W5" s="13" t="s">
        <v>175</v>
      </c>
      <c r="X5" s="13" t="s">
        <v>177</v>
      </c>
    </row>
    <row r="6" spans="1:24" ht="28.8" x14ac:dyDescent="0.3">
      <c r="A6" s="1" t="s">
        <v>14</v>
      </c>
      <c r="B6" s="8">
        <v>5.6800000000000003E-2</v>
      </c>
      <c r="E6" s="6">
        <v>6.7100000000000007E-2</v>
      </c>
      <c r="F6" s="1">
        <v>0.3</v>
      </c>
      <c r="N6" s="1" t="s">
        <v>24</v>
      </c>
      <c r="O6" s="4">
        <v>18857910399.765976</v>
      </c>
      <c r="P6" s="10">
        <v>3.2077662537753771</v>
      </c>
      <c r="Q6" s="1">
        <v>127</v>
      </c>
      <c r="S6" s="1" t="s">
        <v>174</v>
      </c>
      <c r="T6" s="1">
        <f ca="1">MIN(Q3:Q152)</f>
        <v>120</v>
      </c>
      <c r="W6" s="11">
        <v>140</v>
      </c>
      <c r="X6" s="11">
        <v>0</v>
      </c>
    </row>
    <row r="7" spans="1:24" x14ac:dyDescent="0.3">
      <c r="N7" s="1" t="s">
        <v>25</v>
      </c>
      <c r="O7" s="4">
        <v>18825460099.194122</v>
      </c>
      <c r="P7" s="10">
        <v>3.6763900544229009</v>
      </c>
      <c r="Q7" s="1">
        <v>129</v>
      </c>
      <c r="W7" s="11">
        <v>142.08333333333334</v>
      </c>
      <c r="X7" s="11">
        <v>0</v>
      </c>
    </row>
    <row r="8" spans="1:24" x14ac:dyDescent="0.3">
      <c r="N8" s="1" t="s">
        <v>26</v>
      </c>
      <c r="O8" s="4">
        <v>18576164768.184174</v>
      </c>
      <c r="P8" s="10">
        <v>3.8656542761510426</v>
      </c>
      <c r="Q8" s="1">
        <v>129</v>
      </c>
      <c r="W8" s="11">
        <v>144.16666666666666</v>
      </c>
      <c r="X8" s="11">
        <v>4</v>
      </c>
    </row>
    <row r="9" spans="1:24" x14ac:dyDescent="0.3">
      <c r="N9" s="1" t="s">
        <v>27</v>
      </c>
      <c r="O9" s="4">
        <v>18170437746.42411</v>
      </c>
      <c r="P9" s="10">
        <v>3.526908778123933</v>
      </c>
      <c r="Q9" s="1">
        <v>129</v>
      </c>
      <c r="W9" s="11">
        <v>146.25</v>
      </c>
      <c r="X9" s="11">
        <v>0</v>
      </c>
    </row>
    <row r="10" spans="1:24" s="7" customFormat="1" x14ac:dyDescent="0.3">
      <c r="A10" s="7" t="s">
        <v>9</v>
      </c>
      <c r="B10" s="7" t="s">
        <v>8</v>
      </c>
      <c r="C10" s="7" t="s">
        <v>0</v>
      </c>
      <c r="D10" s="7" t="s">
        <v>15</v>
      </c>
      <c r="E10" s="7" t="s">
        <v>4</v>
      </c>
      <c r="F10" s="7" t="s">
        <v>12</v>
      </c>
      <c r="G10" s="7" t="s">
        <v>17</v>
      </c>
      <c r="H10" s="7" t="s">
        <v>16</v>
      </c>
      <c r="I10" s="7" t="s">
        <v>7</v>
      </c>
      <c r="J10" s="7" t="s">
        <v>5</v>
      </c>
      <c r="K10" s="7" t="s">
        <v>11</v>
      </c>
      <c r="N10" s="1" t="s">
        <v>28</v>
      </c>
      <c r="O10" s="4">
        <v>18265909859.521412</v>
      </c>
      <c r="P10" s="10">
        <v>2.7451367993711666</v>
      </c>
      <c r="Q10" s="1">
        <v>130</v>
      </c>
      <c r="W10" s="11">
        <v>148.33333333333334</v>
      </c>
      <c r="X10" s="11">
        <v>7</v>
      </c>
    </row>
    <row r="11" spans="1:24" x14ac:dyDescent="0.3">
      <c r="A11" s="1">
        <v>0</v>
      </c>
      <c r="B11" s="1">
        <v>0</v>
      </c>
      <c r="C11" s="2"/>
      <c r="D11" s="2"/>
      <c r="E11" s="2"/>
      <c r="F11" s="2"/>
      <c r="G11" s="2"/>
      <c r="H11" s="2"/>
      <c r="I11" s="2"/>
      <c r="J11" s="2">
        <v>0</v>
      </c>
      <c r="K11" s="2">
        <f>750000000*0.2</f>
        <v>150000000</v>
      </c>
      <c r="L11" s="5">
        <f>(J11/K11)</f>
        <v>0</v>
      </c>
      <c r="N11" s="1" t="s">
        <v>29</v>
      </c>
      <c r="O11" s="4">
        <v>20039761386.828381</v>
      </c>
      <c r="P11" s="10">
        <v>4.556768101890972</v>
      </c>
      <c r="Q11" s="1">
        <v>128</v>
      </c>
      <c r="W11" s="11">
        <v>150.41666666666666</v>
      </c>
      <c r="X11" s="11">
        <v>12</v>
      </c>
    </row>
    <row r="12" spans="1:24" x14ac:dyDescent="0.3">
      <c r="A12" s="1">
        <v>1</v>
      </c>
      <c r="B12" s="1">
        <v>1</v>
      </c>
      <c r="C12" s="2">
        <f>J11</f>
        <v>0</v>
      </c>
      <c r="D12" s="2"/>
      <c r="E12" s="2">
        <f>B1</f>
        <v>2000000</v>
      </c>
      <c r="F12" s="2">
        <f>B1</f>
        <v>2000000</v>
      </c>
      <c r="G12" s="2">
        <f>IF(OR(B12=6,B12=12),E12*$B$2*2,E12*$B$2)</f>
        <v>200000</v>
      </c>
      <c r="H12" s="5">
        <f ca="1">(NORMINV(RAND(),$E$3,$F$3)+1)^(1/12)-1</f>
        <v>1.5726621636943827E-2</v>
      </c>
      <c r="I12" s="2">
        <f ca="1">(J11+G12)*H12</f>
        <v>3145.3243273887656</v>
      </c>
      <c r="J12" s="2">
        <f ca="1">G12+C12+I12</f>
        <v>203145.32432738878</v>
      </c>
      <c r="K12" s="2">
        <f>K11</f>
        <v>150000000</v>
      </c>
      <c r="L12" s="5">
        <f t="shared" ref="L12:L75" ca="1" si="0">(J12/K12)</f>
        <v>1.3543021621825919E-3</v>
      </c>
      <c r="N12" s="1" t="s">
        <v>30</v>
      </c>
      <c r="O12" s="4">
        <v>17483513921.594208</v>
      </c>
      <c r="P12" s="10">
        <v>2.7694382649754319</v>
      </c>
      <c r="Q12" s="1">
        <v>131</v>
      </c>
      <c r="W12" s="11">
        <v>152.5</v>
      </c>
      <c r="X12" s="11">
        <v>24</v>
      </c>
    </row>
    <row r="13" spans="1:24" x14ac:dyDescent="0.3">
      <c r="A13" s="1">
        <f>IF(B13=1,A12+1,A12)</f>
        <v>1</v>
      </c>
      <c r="B13" s="1">
        <f>IF(B12=12,1,B12+1)</f>
        <v>2</v>
      </c>
      <c r="C13" s="2">
        <f t="shared" ref="C13:C76" ca="1" si="1">J12</f>
        <v>203145.32432738878</v>
      </c>
      <c r="D13" s="5">
        <f ca="1">IF(B13&lt;&gt;1,0,LOGINV(RAND(),LN($E$6),SQRT($F$6)))</f>
        <v>0</v>
      </c>
      <c r="E13" s="2">
        <f>IF(B13&lt;&gt;1,E12,IF(AND(A13=3,B13=1),E12*2,IF(AND(A13=10,B13=1),E12*2,E12*(1+IF(E12&gt;F12,D13,$B$4)))))</f>
        <v>2000000</v>
      </c>
      <c r="F13" s="2">
        <f>IF(B13&lt;&gt;1,F12,F12*(1+$B$4))</f>
        <v>2000000</v>
      </c>
      <c r="G13" s="2">
        <f t="shared" ref="G13:G76" si="2">IF(OR(B13=6,B13=12),E13*$B$2*2,E13*$B$2)</f>
        <v>200000</v>
      </c>
      <c r="H13" s="5">
        <f t="shared" ref="H13:H76" ca="1" si="3">(NORMINV(RAND(),$E$3,$F$3)+1)^(1/12)-1</f>
        <v>1.4586028765026793E-2</v>
      </c>
      <c r="I13" s="2">
        <f t="shared" ref="I13:I76" ca="1" si="4">(J12+G13)*H13</f>
        <v>5880.2892971253486</v>
      </c>
      <c r="J13" s="2">
        <f t="shared" ref="J13:J76" ca="1" si="5">G13+C13+I13</f>
        <v>409025.61362451414</v>
      </c>
      <c r="K13" s="2">
        <f ca="1">IF(B13=1,K12*(1+NORMINV(RAND(),$E$5,$F$5)),K12)</f>
        <v>150000000</v>
      </c>
      <c r="L13" s="5">
        <f t="shared" ca="1" si="0"/>
        <v>2.7268374241634277E-3</v>
      </c>
      <c r="N13" s="1" t="s">
        <v>31</v>
      </c>
      <c r="O13" s="4">
        <v>18894089799.272774</v>
      </c>
      <c r="P13" s="10">
        <v>3.8454704312760453</v>
      </c>
      <c r="Q13" s="1">
        <v>128</v>
      </c>
      <c r="W13" s="11">
        <v>154.58333333333334</v>
      </c>
      <c r="X13" s="11">
        <v>32</v>
      </c>
    </row>
    <row r="14" spans="1:24" x14ac:dyDescent="0.3">
      <c r="A14" s="1">
        <f t="shared" ref="A14:A77" si="6">IF(B14=1,A13+1,A13)</f>
        <v>1</v>
      </c>
      <c r="B14" s="1">
        <f t="shared" ref="B14:B77" si="7">IF(B13=12,1,B13+1)</f>
        <v>3</v>
      </c>
      <c r="C14" s="2">
        <f t="shared" ca="1" si="1"/>
        <v>409025.61362451414</v>
      </c>
      <c r="D14" s="5">
        <f t="shared" ref="D14:D77" ca="1" si="8">IF(B14&lt;&gt;1,0,LOGINV(RAND(),LN($E$6),SQRT($F$6)))</f>
        <v>0</v>
      </c>
      <c r="E14" s="2">
        <f t="shared" ref="E14:E77" si="9">IF(B14&lt;&gt;1,E13,IF(AND(A14=3,B14=1),E13*2,IF(AND(A14=10,B14=1),E13*2,E13*(1+IF(E13&gt;F13,D14,$B$4)))))</f>
        <v>2000000</v>
      </c>
      <c r="F14" s="2">
        <f t="shared" ref="F14:F77" si="10">IF(B14&lt;&gt;1,F13,F13*(1+$B$4))</f>
        <v>2000000</v>
      </c>
      <c r="G14" s="2">
        <f t="shared" si="2"/>
        <v>200000</v>
      </c>
      <c r="H14" s="5">
        <f t="shared" ca="1" si="3"/>
        <v>1.8312509404120547E-2</v>
      </c>
      <c r="I14" s="2">
        <f t="shared" ca="1" si="4"/>
        <v>11152.787276849202</v>
      </c>
      <c r="J14" s="2">
        <f t="shared" ca="1" si="5"/>
        <v>620178.40090136323</v>
      </c>
      <c r="K14" s="2">
        <f t="shared" ref="K14:K77" ca="1" si="11">IF(B14=1,K13*(1+NORMINV(RAND(),$E$5,$F$5)),K13)</f>
        <v>150000000</v>
      </c>
      <c r="L14" s="5">
        <f t="shared" ca="1" si="0"/>
        <v>4.1345226726757552E-3</v>
      </c>
      <c r="N14" s="1" t="s">
        <v>32</v>
      </c>
      <c r="O14" s="4">
        <v>16846233487.67527</v>
      </c>
      <c r="P14" s="10">
        <v>3.0118685381647512</v>
      </c>
      <c r="Q14" s="1">
        <v>132</v>
      </c>
      <c r="W14" s="11">
        <v>156.66666666666666</v>
      </c>
      <c r="X14" s="11">
        <v>29</v>
      </c>
    </row>
    <row r="15" spans="1:24" x14ac:dyDescent="0.3">
      <c r="A15" s="1">
        <f t="shared" si="6"/>
        <v>1</v>
      </c>
      <c r="B15" s="1">
        <f t="shared" si="7"/>
        <v>4</v>
      </c>
      <c r="C15" s="2">
        <f t="shared" ca="1" si="1"/>
        <v>620178.40090136323</v>
      </c>
      <c r="D15" s="5">
        <f t="shared" ca="1" si="8"/>
        <v>0</v>
      </c>
      <c r="E15" s="2">
        <f t="shared" si="9"/>
        <v>2000000</v>
      </c>
      <c r="F15" s="2">
        <f t="shared" si="10"/>
        <v>2000000</v>
      </c>
      <c r="G15" s="2">
        <f t="shared" si="2"/>
        <v>200000</v>
      </c>
      <c r="H15" s="5">
        <f t="shared" ca="1" si="3"/>
        <v>1.5628736706767343E-2</v>
      </c>
      <c r="I15" s="2">
        <f t="shared" ca="1" si="4"/>
        <v>12818.352280264877</v>
      </c>
      <c r="J15" s="2">
        <f t="shared" ca="1" si="5"/>
        <v>832996.75318162807</v>
      </c>
      <c r="K15" s="2">
        <f t="shared" ca="1" si="11"/>
        <v>150000000</v>
      </c>
      <c r="L15" s="5">
        <f t="shared" ca="1" si="0"/>
        <v>5.5533116878775206E-3</v>
      </c>
      <c r="N15" s="1" t="s">
        <v>33</v>
      </c>
      <c r="O15" s="4">
        <v>18375946436.333115</v>
      </c>
      <c r="P15" s="10">
        <v>3.0830771338962193</v>
      </c>
      <c r="Q15" s="1">
        <v>130</v>
      </c>
      <c r="W15" s="11">
        <v>158.75</v>
      </c>
      <c r="X15" s="11">
        <v>0</v>
      </c>
    </row>
    <row r="16" spans="1:24" x14ac:dyDescent="0.3">
      <c r="A16" s="1">
        <f t="shared" si="6"/>
        <v>1</v>
      </c>
      <c r="B16" s="1">
        <f t="shared" si="7"/>
        <v>5</v>
      </c>
      <c r="C16" s="2">
        <f t="shared" ca="1" si="1"/>
        <v>832996.75318162807</v>
      </c>
      <c r="D16" s="5">
        <f t="shared" ca="1" si="8"/>
        <v>0</v>
      </c>
      <c r="E16" s="2">
        <f t="shared" si="9"/>
        <v>2000000</v>
      </c>
      <c r="F16" s="2">
        <f t="shared" si="10"/>
        <v>2000000</v>
      </c>
      <c r="G16" s="2">
        <f t="shared" si="2"/>
        <v>200000</v>
      </c>
      <c r="H16" s="5">
        <f t="shared" ca="1" si="3"/>
        <v>1.4613924045568938E-2</v>
      </c>
      <c r="I16" s="2">
        <f t="shared" ca="1" si="4"/>
        <v>15096.136090315636</v>
      </c>
      <c r="J16" s="2">
        <f t="shared" ca="1" si="5"/>
        <v>1048092.8892719437</v>
      </c>
      <c r="K16" s="2">
        <f t="shared" ca="1" si="11"/>
        <v>150000000</v>
      </c>
      <c r="L16" s="5">
        <f t="shared" ca="1" si="0"/>
        <v>6.987285928479625E-3</v>
      </c>
      <c r="N16" s="1" t="s">
        <v>34</v>
      </c>
      <c r="O16" s="4">
        <v>16914204606.742155</v>
      </c>
      <c r="P16" s="10">
        <v>3.3866810615226761</v>
      </c>
      <c r="Q16" s="1">
        <v>130</v>
      </c>
      <c r="W16" s="11">
        <v>160.83333333333334</v>
      </c>
      <c r="X16" s="11">
        <v>21</v>
      </c>
    </row>
    <row r="17" spans="1:24" x14ac:dyDescent="0.3">
      <c r="A17" s="1">
        <f t="shared" si="6"/>
        <v>1</v>
      </c>
      <c r="B17" s="1">
        <f t="shared" si="7"/>
        <v>6</v>
      </c>
      <c r="C17" s="2">
        <f t="shared" ca="1" si="1"/>
        <v>1048092.8892719437</v>
      </c>
      <c r="D17" s="5">
        <f t="shared" ca="1" si="8"/>
        <v>0</v>
      </c>
      <c r="E17" s="2">
        <f t="shared" si="9"/>
        <v>2000000</v>
      </c>
      <c r="F17" s="2">
        <f t="shared" si="10"/>
        <v>2000000</v>
      </c>
      <c r="G17" s="2">
        <f t="shared" si="2"/>
        <v>400000</v>
      </c>
      <c r="H17" s="5">
        <f t="shared" ca="1" si="3"/>
        <v>1.4271817087450067E-2</v>
      </c>
      <c r="I17" s="2">
        <f t="shared" ca="1" si="4"/>
        <v>20666.916841326267</v>
      </c>
      <c r="J17" s="2">
        <f t="shared" ca="1" si="5"/>
        <v>1468759.8061132701</v>
      </c>
      <c r="K17" s="2">
        <f t="shared" ca="1" si="11"/>
        <v>150000000</v>
      </c>
      <c r="L17" s="5">
        <f t="shared" ca="1" si="0"/>
        <v>9.7917320407551346E-3</v>
      </c>
      <c r="N17" s="1" t="s">
        <v>35</v>
      </c>
      <c r="O17" s="4">
        <v>18317282401.978344</v>
      </c>
      <c r="P17" s="10">
        <v>2.987212000156644</v>
      </c>
      <c r="Q17" s="1">
        <v>129</v>
      </c>
      <c r="W17" s="11">
        <v>162.91666666666666</v>
      </c>
      <c r="X17" s="11">
        <v>19</v>
      </c>
    </row>
    <row r="18" spans="1:24" ht="15" thickBot="1" x14ac:dyDescent="0.35">
      <c r="A18" s="1">
        <f t="shared" si="6"/>
        <v>1</v>
      </c>
      <c r="B18" s="1">
        <f t="shared" si="7"/>
        <v>7</v>
      </c>
      <c r="C18" s="2">
        <f t="shared" ca="1" si="1"/>
        <v>1468759.8061132701</v>
      </c>
      <c r="D18" s="5">
        <f t="shared" ca="1" si="8"/>
        <v>0</v>
      </c>
      <c r="E18" s="2">
        <f t="shared" si="9"/>
        <v>2000000</v>
      </c>
      <c r="F18" s="2">
        <f t="shared" si="10"/>
        <v>2000000</v>
      </c>
      <c r="G18" s="2">
        <f t="shared" si="2"/>
        <v>200000</v>
      </c>
      <c r="H18" s="5">
        <f t="shared" ca="1" si="3"/>
        <v>1.4911164181409475E-2</v>
      </c>
      <c r="I18" s="2">
        <f t="shared" ca="1" si="4"/>
        <v>24883.151448292014</v>
      </c>
      <c r="J18" s="2">
        <f t="shared" ca="1" si="5"/>
        <v>1693642.9575615621</v>
      </c>
      <c r="K18" s="2">
        <f t="shared" ca="1" si="11"/>
        <v>150000000</v>
      </c>
      <c r="L18" s="5">
        <f t="shared" ca="1" si="0"/>
        <v>1.1290953050410413E-2</v>
      </c>
      <c r="N18" s="1" t="s">
        <v>36</v>
      </c>
      <c r="O18" s="4">
        <v>19162726148.25005</v>
      </c>
      <c r="P18" s="10">
        <v>3.2862359664092531</v>
      </c>
      <c r="Q18" s="1">
        <v>129</v>
      </c>
      <c r="W18" s="12" t="s">
        <v>176</v>
      </c>
      <c r="X18" s="12">
        <v>2</v>
      </c>
    </row>
    <row r="19" spans="1:24" x14ac:dyDescent="0.3">
      <c r="A19" s="1">
        <f t="shared" si="6"/>
        <v>1</v>
      </c>
      <c r="B19" s="1">
        <f t="shared" si="7"/>
        <v>8</v>
      </c>
      <c r="C19" s="2">
        <f t="shared" ca="1" si="1"/>
        <v>1693642.9575615621</v>
      </c>
      <c r="D19" s="5">
        <f t="shared" ca="1" si="8"/>
        <v>0</v>
      </c>
      <c r="E19" s="2">
        <f t="shared" si="9"/>
        <v>2000000</v>
      </c>
      <c r="F19" s="2">
        <f t="shared" si="10"/>
        <v>2000000</v>
      </c>
      <c r="G19" s="2">
        <f t="shared" si="2"/>
        <v>200000</v>
      </c>
      <c r="H19" s="5">
        <f t="shared" ca="1" si="3"/>
        <v>1.5067242575101059E-2</v>
      </c>
      <c r="I19" s="2">
        <f t="shared" ca="1" si="4"/>
        <v>28531.977792211856</v>
      </c>
      <c r="J19" s="2">
        <f t="shared" ca="1" si="5"/>
        <v>1922174.9353537739</v>
      </c>
      <c r="K19" s="2">
        <f t="shared" ca="1" si="11"/>
        <v>150000000</v>
      </c>
      <c r="L19" s="5">
        <f t="shared" ca="1" si="0"/>
        <v>1.2814499569025159E-2</v>
      </c>
      <c r="N19" s="1" t="s">
        <v>37</v>
      </c>
      <c r="O19" s="4">
        <v>22826420979.130413</v>
      </c>
      <c r="P19" s="10">
        <v>4.0841957001271991</v>
      </c>
      <c r="Q19" s="1">
        <v>125</v>
      </c>
    </row>
    <row r="20" spans="1:24" x14ac:dyDescent="0.3">
      <c r="A20" s="1">
        <f t="shared" si="6"/>
        <v>1</v>
      </c>
      <c r="B20" s="1">
        <f t="shared" si="7"/>
        <v>9</v>
      </c>
      <c r="C20" s="2">
        <f t="shared" ca="1" si="1"/>
        <v>1922174.9353537739</v>
      </c>
      <c r="D20" s="5">
        <f t="shared" ca="1" si="8"/>
        <v>0</v>
      </c>
      <c r="E20" s="2">
        <f t="shared" si="9"/>
        <v>2000000</v>
      </c>
      <c r="F20" s="2">
        <f t="shared" si="10"/>
        <v>2000000</v>
      </c>
      <c r="G20" s="2">
        <f t="shared" si="2"/>
        <v>200000</v>
      </c>
      <c r="H20" s="5">
        <f t="shared" ca="1" si="3"/>
        <v>1.5137118787007964E-2</v>
      </c>
      <c r="I20" s="2">
        <f t="shared" ca="1" si="4"/>
        <v>32123.614083261018</v>
      </c>
      <c r="J20" s="2">
        <f t="shared" ca="1" si="5"/>
        <v>2154298.5494370349</v>
      </c>
      <c r="K20" s="2">
        <f t="shared" ca="1" si="11"/>
        <v>150000000</v>
      </c>
      <c r="L20" s="5">
        <f t="shared" ca="1" si="0"/>
        <v>1.4361990329580233E-2</v>
      </c>
      <c r="N20" s="1" t="s">
        <v>38</v>
      </c>
      <c r="O20" s="4">
        <v>19155273483.578239</v>
      </c>
      <c r="P20" s="10">
        <v>3.8015757213184491</v>
      </c>
      <c r="Q20" s="1">
        <v>130</v>
      </c>
    </row>
    <row r="21" spans="1:24" x14ac:dyDescent="0.3">
      <c r="A21" s="1">
        <f t="shared" si="6"/>
        <v>1</v>
      </c>
      <c r="B21" s="1">
        <f t="shared" si="7"/>
        <v>10</v>
      </c>
      <c r="C21" s="2">
        <f t="shared" ca="1" si="1"/>
        <v>2154298.5494370349</v>
      </c>
      <c r="D21" s="5">
        <f t="shared" ca="1" si="8"/>
        <v>0</v>
      </c>
      <c r="E21" s="2">
        <f t="shared" si="9"/>
        <v>2000000</v>
      </c>
      <c r="F21" s="2">
        <f t="shared" si="10"/>
        <v>2000000</v>
      </c>
      <c r="G21" s="2">
        <f t="shared" si="2"/>
        <v>200000</v>
      </c>
      <c r="H21" s="5">
        <f t="shared" ca="1" si="3"/>
        <v>1.0477788955386425E-2</v>
      </c>
      <c r="I21" s="2">
        <f t="shared" ca="1" si="4"/>
        <v>24667.843338973646</v>
      </c>
      <c r="J21" s="2">
        <f t="shared" ca="1" si="5"/>
        <v>2378966.3927760087</v>
      </c>
      <c r="K21" s="2">
        <f t="shared" ca="1" si="11"/>
        <v>150000000</v>
      </c>
      <c r="L21" s="5">
        <f t="shared" ca="1" si="0"/>
        <v>1.5859775951840058E-2</v>
      </c>
      <c r="N21" s="1" t="s">
        <v>39</v>
      </c>
      <c r="O21" s="4">
        <v>17528734361.05677</v>
      </c>
      <c r="P21" s="10">
        <v>3.5664984919243006</v>
      </c>
      <c r="Q21" s="1">
        <v>129</v>
      </c>
    </row>
    <row r="22" spans="1:24" x14ac:dyDescent="0.3">
      <c r="A22" s="1">
        <f t="shared" si="6"/>
        <v>1</v>
      </c>
      <c r="B22" s="1">
        <f t="shared" si="7"/>
        <v>11</v>
      </c>
      <c r="C22" s="2">
        <f t="shared" ca="1" si="1"/>
        <v>2378966.3927760087</v>
      </c>
      <c r="D22" s="5">
        <f t="shared" ca="1" si="8"/>
        <v>0</v>
      </c>
      <c r="E22" s="2">
        <f t="shared" si="9"/>
        <v>2000000</v>
      </c>
      <c r="F22" s="2">
        <f t="shared" si="10"/>
        <v>2000000</v>
      </c>
      <c r="G22" s="2">
        <f t="shared" si="2"/>
        <v>200000</v>
      </c>
      <c r="H22" s="5">
        <f t="shared" ca="1" si="3"/>
        <v>1.9240064522030753E-2</v>
      </c>
      <c r="I22" s="2">
        <f t="shared" ca="1" si="4"/>
        <v>49619.479797159314</v>
      </c>
      <c r="J22" s="2">
        <f t="shared" ca="1" si="5"/>
        <v>2628585.872573168</v>
      </c>
      <c r="K22" s="2">
        <f t="shared" ca="1" si="11"/>
        <v>150000000</v>
      </c>
      <c r="L22" s="5">
        <f t="shared" ca="1" si="0"/>
        <v>1.7523905817154455E-2</v>
      </c>
      <c r="N22" s="1" t="s">
        <v>40</v>
      </c>
      <c r="O22" s="4">
        <v>17939758019.038872</v>
      </c>
      <c r="P22" s="10">
        <v>2.8055743117906946</v>
      </c>
      <c r="Q22" s="1">
        <v>132</v>
      </c>
    </row>
    <row r="23" spans="1:24" x14ac:dyDescent="0.3">
      <c r="A23" s="1">
        <f t="shared" si="6"/>
        <v>1</v>
      </c>
      <c r="B23" s="1">
        <f t="shared" si="7"/>
        <v>12</v>
      </c>
      <c r="C23" s="2">
        <f t="shared" ca="1" si="1"/>
        <v>2628585.872573168</v>
      </c>
      <c r="D23" s="5">
        <f t="shared" ca="1" si="8"/>
        <v>0</v>
      </c>
      <c r="E23" s="2">
        <f t="shared" si="9"/>
        <v>2000000</v>
      </c>
      <c r="F23" s="2">
        <f t="shared" si="10"/>
        <v>2000000</v>
      </c>
      <c r="G23" s="2">
        <f t="shared" si="2"/>
        <v>400000</v>
      </c>
      <c r="H23" s="5">
        <f t="shared" ca="1" si="3"/>
        <v>1.6219432866979355E-2</v>
      </c>
      <c r="I23" s="2">
        <f t="shared" ca="1" si="4"/>
        <v>49121.945242082591</v>
      </c>
      <c r="J23" s="2">
        <f t="shared" ca="1" si="5"/>
        <v>3077707.8178152507</v>
      </c>
      <c r="K23" s="2">
        <f t="shared" ca="1" si="11"/>
        <v>150000000</v>
      </c>
      <c r="L23" s="5">
        <f t="shared" ca="1" si="0"/>
        <v>2.0518052118768337E-2</v>
      </c>
      <c r="N23" s="1" t="s">
        <v>41</v>
      </c>
      <c r="O23" s="4">
        <v>18086766822.584759</v>
      </c>
      <c r="P23" s="10">
        <v>3.6840996043327117</v>
      </c>
      <c r="Q23" s="1">
        <v>130</v>
      </c>
    </row>
    <row r="24" spans="1:24" x14ac:dyDescent="0.3">
      <c r="A24" s="1">
        <f>IF(B24=1,A23+1,A23)</f>
        <v>2</v>
      </c>
      <c r="B24" s="1">
        <f t="shared" si="7"/>
        <v>1</v>
      </c>
      <c r="C24" s="2">
        <f t="shared" ca="1" si="1"/>
        <v>3077707.8178152507</v>
      </c>
      <c r="D24" s="5">
        <f t="shared" ca="1" si="8"/>
        <v>7.8489037886642479E-2</v>
      </c>
      <c r="E24" s="2">
        <f t="shared" si="9"/>
        <v>2153000</v>
      </c>
      <c r="F24" s="2">
        <f t="shared" si="10"/>
        <v>2153000</v>
      </c>
      <c r="G24" s="2">
        <f t="shared" si="2"/>
        <v>215300</v>
      </c>
      <c r="H24" s="5">
        <f t="shared" ca="1" si="3"/>
        <v>1.7783140562678268E-2</v>
      </c>
      <c r="I24" s="2">
        <f t="shared" ca="1" si="4"/>
        <v>58560.020898207033</v>
      </c>
      <c r="J24" s="2">
        <f t="shared" ca="1" si="5"/>
        <v>3351567.8387134578</v>
      </c>
      <c r="K24" s="2">
        <f t="shared" ca="1" si="11"/>
        <v>155330237.33945107</v>
      </c>
      <c r="L24" s="5">
        <f t="shared" ca="1" si="0"/>
        <v>2.1577047045831174E-2</v>
      </c>
      <c r="N24" s="1" t="s">
        <v>42</v>
      </c>
      <c r="O24" s="4">
        <v>19654023971.713284</v>
      </c>
      <c r="P24" s="10">
        <v>3.6371013764378359</v>
      </c>
      <c r="Q24" s="1">
        <v>129</v>
      </c>
    </row>
    <row r="25" spans="1:24" x14ac:dyDescent="0.3">
      <c r="A25" s="1">
        <f t="shared" si="6"/>
        <v>2</v>
      </c>
      <c r="B25" s="1">
        <f t="shared" si="7"/>
        <v>2</v>
      </c>
      <c r="C25" s="2">
        <f t="shared" ca="1" si="1"/>
        <v>3351567.8387134578</v>
      </c>
      <c r="D25" s="5">
        <f t="shared" ca="1" si="8"/>
        <v>0</v>
      </c>
      <c r="E25" s="2">
        <f t="shared" si="9"/>
        <v>2153000</v>
      </c>
      <c r="F25" s="2">
        <f t="shared" si="10"/>
        <v>2153000</v>
      </c>
      <c r="G25" s="2">
        <f t="shared" si="2"/>
        <v>215300</v>
      </c>
      <c r="H25" s="5">
        <f t="shared" ca="1" si="3"/>
        <v>1.8757822803279645E-2</v>
      </c>
      <c r="I25" s="2">
        <f t="shared" ca="1" si="4"/>
        <v>66906.674881304076</v>
      </c>
      <c r="J25" s="2">
        <f t="shared" ca="1" si="5"/>
        <v>3633774.513594762</v>
      </c>
      <c r="K25" s="2">
        <f t="shared" ca="1" si="11"/>
        <v>155330237.33945107</v>
      </c>
      <c r="L25" s="5">
        <f t="shared" ca="1" si="0"/>
        <v>2.3393864426110994E-2</v>
      </c>
      <c r="N25" s="1" t="s">
        <v>43</v>
      </c>
      <c r="O25" s="4">
        <v>17182605039.228531</v>
      </c>
      <c r="P25" s="10">
        <v>2.8152123777857034</v>
      </c>
      <c r="Q25" s="1">
        <v>131</v>
      </c>
    </row>
    <row r="26" spans="1:24" x14ac:dyDescent="0.3">
      <c r="A26" s="1">
        <f t="shared" si="6"/>
        <v>2</v>
      </c>
      <c r="B26" s="1">
        <f t="shared" si="7"/>
        <v>3</v>
      </c>
      <c r="C26" s="2">
        <f t="shared" ca="1" si="1"/>
        <v>3633774.513594762</v>
      </c>
      <c r="D26" s="5">
        <f t="shared" ca="1" si="8"/>
        <v>0</v>
      </c>
      <c r="E26" s="2">
        <f t="shared" si="9"/>
        <v>2153000</v>
      </c>
      <c r="F26" s="2">
        <f t="shared" si="10"/>
        <v>2153000</v>
      </c>
      <c r="G26" s="2">
        <f t="shared" si="2"/>
        <v>215300</v>
      </c>
      <c r="H26" s="5">
        <f t="shared" ca="1" si="3"/>
        <v>1.6889894971737096E-2</v>
      </c>
      <c r="I26" s="2">
        <f t="shared" ca="1" si="4"/>
        <v>65010.464273005578</v>
      </c>
      <c r="J26" s="2">
        <f t="shared" ca="1" si="5"/>
        <v>3914084.9778677677</v>
      </c>
      <c r="K26" s="2">
        <f t="shared" ca="1" si="11"/>
        <v>155330237.33945107</v>
      </c>
      <c r="L26" s="5">
        <f t="shared" ca="1" si="0"/>
        <v>2.5198474198646324E-2</v>
      </c>
      <c r="N26" s="1" t="s">
        <v>44</v>
      </c>
      <c r="O26" s="4">
        <v>20880618376.217041</v>
      </c>
      <c r="P26" s="10">
        <v>3.4715338816096315</v>
      </c>
      <c r="Q26" s="1">
        <v>124</v>
      </c>
    </row>
    <row r="27" spans="1:24" x14ac:dyDescent="0.3">
      <c r="A27" s="1">
        <f t="shared" si="6"/>
        <v>2</v>
      </c>
      <c r="B27" s="1">
        <f t="shared" si="7"/>
        <v>4</v>
      </c>
      <c r="C27" s="2">
        <f t="shared" ca="1" si="1"/>
        <v>3914084.9778677677</v>
      </c>
      <c r="D27" s="5">
        <f t="shared" ca="1" si="8"/>
        <v>0</v>
      </c>
      <c r="E27" s="2">
        <f t="shared" si="9"/>
        <v>2153000</v>
      </c>
      <c r="F27" s="2">
        <f t="shared" si="10"/>
        <v>2153000</v>
      </c>
      <c r="G27" s="2">
        <f t="shared" si="2"/>
        <v>215300</v>
      </c>
      <c r="H27" s="5">
        <f t="shared" ca="1" si="3"/>
        <v>1.6234925616545492E-2</v>
      </c>
      <c r="I27" s="2">
        <f t="shared" ca="1" si="4"/>
        <v>67040.257957763562</v>
      </c>
      <c r="J27" s="2">
        <f t="shared" ca="1" si="5"/>
        <v>4196425.2358255312</v>
      </c>
      <c r="K27" s="2">
        <f t="shared" ca="1" si="11"/>
        <v>155330237.33945107</v>
      </c>
      <c r="L27" s="5">
        <f t="shared" ca="1" si="0"/>
        <v>2.7016151572954013E-2</v>
      </c>
      <c r="N27" s="1" t="s">
        <v>45</v>
      </c>
      <c r="O27" s="4">
        <v>17764021297.001083</v>
      </c>
      <c r="P27" s="10">
        <v>3.4104097342466484</v>
      </c>
      <c r="Q27" s="1">
        <v>129</v>
      </c>
    </row>
    <row r="28" spans="1:24" x14ac:dyDescent="0.3">
      <c r="A28" s="1">
        <f t="shared" si="6"/>
        <v>2</v>
      </c>
      <c r="B28" s="1">
        <f t="shared" si="7"/>
        <v>5</v>
      </c>
      <c r="C28" s="2">
        <f t="shared" ca="1" si="1"/>
        <v>4196425.2358255312</v>
      </c>
      <c r="D28" s="5">
        <f t="shared" ca="1" si="8"/>
        <v>0</v>
      </c>
      <c r="E28" s="2">
        <f t="shared" si="9"/>
        <v>2153000</v>
      </c>
      <c r="F28" s="2">
        <f t="shared" si="10"/>
        <v>2153000</v>
      </c>
      <c r="G28" s="2">
        <f t="shared" si="2"/>
        <v>215300</v>
      </c>
      <c r="H28" s="5">
        <f t="shared" ca="1" si="3"/>
        <v>1.3949471999942009E-2</v>
      </c>
      <c r="I28" s="2">
        <f t="shared" ca="1" si="4"/>
        <v>61541.237648585804</v>
      </c>
      <c r="J28" s="2">
        <f t="shared" ca="1" si="5"/>
        <v>4473266.473474117</v>
      </c>
      <c r="K28" s="2">
        <f t="shared" ca="1" si="11"/>
        <v>155330237.33945107</v>
      </c>
      <c r="L28" s="5">
        <f t="shared" ca="1" si="0"/>
        <v>2.8798426823352236E-2</v>
      </c>
      <c r="N28" s="1" t="s">
        <v>46</v>
      </c>
      <c r="O28" s="4">
        <v>17746118393.871288</v>
      </c>
      <c r="P28" s="10">
        <v>3.6738640229342994</v>
      </c>
      <c r="Q28" s="1">
        <v>131</v>
      </c>
    </row>
    <row r="29" spans="1:24" x14ac:dyDescent="0.3">
      <c r="A29" s="1">
        <f t="shared" si="6"/>
        <v>2</v>
      </c>
      <c r="B29" s="1">
        <f t="shared" si="7"/>
        <v>6</v>
      </c>
      <c r="C29" s="2">
        <f t="shared" ca="1" si="1"/>
        <v>4473266.473474117</v>
      </c>
      <c r="D29" s="5">
        <f t="shared" ca="1" si="8"/>
        <v>0</v>
      </c>
      <c r="E29" s="2">
        <f t="shared" si="9"/>
        <v>2153000</v>
      </c>
      <c r="F29" s="2">
        <f t="shared" si="10"/>
        <v>2153000</v>
      </c>
      <c r="G29" s="2">
        <f t="shared" si="2"/>
        <v>430600</v>
      </c>
      <c r="H29" s="5">
        <f t="shared" ca="1" si="3"/>
        <v>1.7304759349961785E-2</v>
      </c>
      <c r="I29" s="2">
        <f t="shared" ca="1" si="4"/>
        <v>84860.229207815355</v>
      </c>
      <c r="J29" s="2">
        <f t="shared" ca="1" si="5"/>
        <v>4988726.7026819326</v>
      </c>
      <c r="K29" s="2">
        <f t="shared" ca="1" si="11"/>
        <v>155330237.33945107</v>
      </c>
      <c r="L29" s="5">
        <f t="shared" ca="1" si="0"/>
        <v>3.2116906457689977E-2</v>
      </c>
      <c r="N29" s="1" t="s">
        <v>47</v>
      </c>
      <c r="O29" s="4">
        <v>14966111285.424204</v>
      </c>
      <c r="P29" s="10">
        <v>3.2904778949241611</v>
      </c>
      <c r="Q29" s="1">
        <v>135</v>
      </c>
    </row>
    <row r="30" spans="1:24" x14ac:dyDescent="0.3">
      <c r="A30" s="1">
        <f t="shared" si="6"/>
        <v>2</v>
      </c>
      <c r="B30" s="1">
        <f t="shared" si="7"/>
        <v>7</v>
      </c>
      <c r="C30" s="2">
        <f t="shared" ca="1" si="1"/>
        <v>4988726.7026819326</v>
      </c>
      <c r="D30" s="5">
        <f t="shared" ca="1" si="8"/>
        <v>0</v>
      </c>
      <c r="E30" s="2">
        <f t="shared" si="9"/>
        <v>2153000</v>
      </c>
      <c r="F30" s="2">
        <f t="shared" si="10"/>
        <v>2153000</v>
      </c>
      <c r="G30" s="2">
        <f t="shared" si="2"/>
        <v>215300</v>
      </c>
      <c r="H30" s="5">
        <f t="shared" ca="1" si="3"/>
        <v>1.0939535577767501E-2</v>
      </c>
      <c r="I30" s="2">
        <f t="shared" ca="1" si="4"/>
        <v>56929.635261641095</v>
      </c>
      <c r="J30" s="2">
        <f t="shared" ca="1" si="5"/>
        <v>5260956.3379435735</v>
      </c>
      <c r="K30" s="2">
        <f t="shared" ca="1" si="11"/>
        <v>155330237.33945107</v>
      </c>
      <c r="L30" s="5">
        <f t="shared" ca="1" si="0"/>
        <v>3.3869492688963949E-2</v>
      </c>
      <c r="N30" s="1" t="s">
        <v>48</v>
      </c>
      <c r="O30" s="4">
        <v>20306041048.149651</v>
      </c>
      <c r="P30" s="10">
        <v>3.8353162644078558</v>
      </c>
      <c r="Q30" s="1">
        <v>129</v>
      </c>
    </row>
    <row r="31" spans="1:24" x14ac:dyDescent="0.3">
      <c r="A31" s="1">
        <f t="shared" si="6"/>
        <v>2</v>
      </c>
      <c r="B31" s="1">
        <f t="shared" si="7"/>
        <v>8</v>
      </c>
      <c r="C31" s="2">
        <f t="shared" ca="1" si="1"/>
        <v>5260956.3379435735</v>
      </c>
      <c r="D31" s="5">
        <f t="shared" ca="1" si="8"/>
        <v>0</v>
      </c>
      <c r="E31" s="2">
        <f t="shared" si="9"/>
        <v>2153000</v>
      </c>
      <c r="F31" s="2">
        <f t="shared" si="10"/>
        <v>2153000</v>
      </c>
      <c r="G31" s="2">
        <f t="shared" si="2"/>
        <v>215300</v>
      </c>
      <c r="H31" s="5">
        <f t="shared" ca="1" si="3"/>
        <v>1.5043998959062499E-2</v>
      </c>
      <c r="I31" s="2">
        <f t="shared" ca="1" si="4"/>
        <v>82384.79464758253</v>
      </c>
      <c r="J31" s="2">
        <f t="shared" ca="1" si="5"/>
        <v>5558641.1325911563</v>
      </c>
      <c r="K31" s="2">
        <f t="shared" ca="1" si="11"/>
        <v>155330237.33945107</v>
      </c>
      <c r="L31" s="5">
        <f t="shared" ca="1" si="0"/>
        <v>3.5785956603179424E-2</v>
      </c>
      <c r="N31" s="1" t="s">
        <v>49</v>
      </c>
      <c r="O31" s="4">
        <v>17949801095.763775</v>
      </c>
      <c r="P31" s="10">
        <v>2.8262458377553883</v>
      </c>
      <c r="Q31" s="1">
        <v>130</v>
      </c>
    </row>
    <row r="32" spans="1:24" x14ac:dyDescent="0.3">
      <c r="A32" s="1">
        <f t="shared" si="6"/>
        <v>2</v>
      </c>
      <c r="B32" s="1">
        <f t="shared" si="7"/>
        <v>9</v>
      </c>
      <c r="C32" s="2">
        <f t="shared" ca="1" si="1"/>
        <v>5558641.1325911563</v>
      </c>
      <c r="D32" s="5">
        <f t="shared" ca="1" si="8"/>
        <v>0</v>
      </c>
      <c r="E32" s="2">
        <f t="shared" si="9"/>
        <v>2153000</v>
      </c>
      <c r="F32" s="2">
        <f t="shared" si="10"/>
        <v>2153000</v>
      </c>
      <c r="G32" s="2">
        <f t="shared" si="2"/>
        <v>215300</v>
      </c>
      <c r="H32" s="5">
        <f t="shared" ca="1" si="3"/>
        <v>1.7850660636982374E-2</v>
      </c>
      <c r="I32" s="2">
        <f t="shared" ca="1" si="4"/>
        <v>103068.66369579839</v>
      </c>
      <c r="J32" s="2">
        <f t="shared" ca="1" si="5"/>
        <v>5877009.7962869545</v>
      </c>
      <c r="K32" s="2">
        <f t="shared" ca="1" si="11"/>
        <v>155330237.33945107</v>
      </c>
      <c r="L32" s="5">
        <f t="shared" ca="1" si="0"/>
        <v>3.7835581126703786E-2</v>
      </c>
      <c r="N32" s="1" t="s">
        <v>50</v>
      </c>
      <c r="O32" s="4">
        <v>18034284477.170357</v>
      </c>
      <c r="P32" s="10">
        <v>2.8246744365100955</v>
      </c>
      <c r="Q32" s="1">
        <v>132</v>
      </c>
    </row>
    <row r="33" spans="1:17" x14ac:dyDescent="0.3">
      <c r="A33" s="1">
        <f t="shared" si="6"/>
        <v>2</v>
      </c>
      <c r="B33" s="1">
        <f t="shared" si="7"/>
        <v>10</v>
      </c>
      <c r="C33" s="2">
        <f t="shared" ca="1" si="1"/>
        <v>5877009.7962869545</v>
      </c>
      <c r="D33" s="5">
        <f t="shared" ca="1" si="8"/>
        <v>0</v>
      </c>
      <c r="E33" s="2">
        <f t="shared" si="9"/>
        <v>2153000</v>
      </c>
      <c r="F33" s="2">
        <f t="shared" si="10"/>
        <v>2153000</v>
      </c>
      <c r="G33" s="2">
        <f t="shared" si="2"/>
        <v>215300</v>
      </c>
      <c r="H33" s="5">
        <f t="shared" ca="1" si="3"/>
        <v>1.4886138227907075E-2</v>
      </c>
      <c r="I33" s="2">
        <f t="shared" ca="1" si="4"/>
        <v>90690.965754760007</v>
      </c>
      <c r="J33" s="2">
        <f t="shared" ca="1" si="5"/>
        <v>6183000.762041715</v>
      </c>
      <c r="K33" s="2">
        <f t="shared" ca="1" si="11"/>
        <v>155330237.33945107</v>
      </c>
      <c r="L33" s="5">
        <f t="shared" ca="1" si="0"/>
        <v>3.980551931128315E-2</v>
      </c>
      <c r="N33" s="1" t="s">
        <v>51</v>
      </c>
      <c r="O33" s="4">
        <v>19486869714.353069</v>
      </c>
      <c r="P33" s="10">
        <v>3.635786625884184</v>
      </c>
      <c r="Q33" s="1">
        <v>126</v>
      </c>
    </row>
    <row r="34" spans="1:17" x14ac:dyDescent="0.3">
      <c r="A34" s="1">
        <f t="shared" si="6"/>
        <v>2</v>
      </c>
      <c r="B34" s="1">
        <f t="shared" si="7"/>
        <v>11</v>
      </c>
      <c r="C34" s="2">
        <f t="shared" ca="1" si="1"/>
        <v>6183000.762041715</v>
      </c>
      <c r="D34" s="5">
        <f t="shared" ca="1" si="8"/>
        <v>0</v>
      </c>
      <c r="E34" s="2">
        <f t="shared" si="9"/>
        <v>2153000</v>
      </c>
      <c r="F34" s="2">
        <f t="shared" si="10"/>
        <v>2153000</v>
      </c>
      <c r="G34" s="2">
        <f t="shared" si="2"/>
        <v>215300</v>
      </c>
      <c r="H34" s="5">
        <f t="shared" ca="1" si="3"/>
        <v>1.3930776235405284E-2</v>
      </c>
      <c r="I34" s="2">
        <f t="shared" ca="1" si="4"/>
        <v>89133.296202826241</v>
      </c>
      <c r="J34" s="2">
        <f t="shared" ca="1" si="5"/>
        <v>6487434.0582445413</v>
      </c>
      <c r="K34" s="2">
        <f t="shared" ca="1" si="11"/>
        <v>155330237.33945107</v>
      </c>
      <c r="L34" s="5">
        <f t="shared" ca="1" si="0"/>
        <v>4.1765429380418842E-2</v>
      </c>
      <c r="N34" s="1" t="s">
        <v>52</v>
      </c>
      <c r="O34" s="4">
        <v>17875130537.093998</v>
      </c>
      <c r="P34" s="10">
        <v>4.1607946380495111</v>
      </c>
      <c r="Q34" s="1">
        <v>130</v>
      </c>
    </row>
    <row r="35" spans="1:17" x14ac:dyDescent="0.3">
      <c r="A35" s="1">
        <f t="shared" si="6"/>
        <v>2</v>
      </c>
      <c r="B35" s="1">
        <f t="shared" si="7"/>
        <v>12</v>
      </c>
      <c r="C35" s="2">
        <f t="shared" ca="1" si="1"/>
        <v>6487434.0582445413</v>
      </c>
      <c r="D35" s="5">
        <f t="shared" ca="1" si="8"/>
        <v>0</v>
      </c>
      <c r="E35" s="2">
        <f t="shared" si="9"/>
        <v>2153000</v>
      </c>
      <c r="F35" s="2">
        <f t="shared" si="10"/>
        <v>2153000</v>
      </c>
      <c r="G35" s="2">
        <f t="shared" si="2"/>
        <v>430600</v>
      </c>
      <c r="H35" s="5">
        <f t="shared" ca="1" si="3"/>
        <v>1.4047840901299846E-2</v>
      </c>
      <c r="I35" s="2">
        <f t="shared" ca="1" si="4"/>
        <v>97183.44179999303</v>
      </c>
      <c r="J35" s="2">
        <f t="shared" ca="1" si="5"/>
        <v>7015217.500044534</v>
      </c>
      <c r="K35" s="2">
        <f t="shared" ca="1" si="11"/>
        <v>155330237.33945107</v>
      </c>
      <c r="L35" s="5">
        <f t="shared" ca="1" si="0"/>
        <v>4.5163244582661792E-2</v>
      </c>
      <c r="N35" s="1" t="s">
        <v>53</v>
      </c>
      <c r="O35" s="4">
        <v>18129001136.449627</v>
      </c>
      <c r="P35" s="10">
        <v>3.5707973537896054</v>
      </c>
      <c r="Q35" s="1">
        <v>129</v>
      </c>
    </row>
    <row r="36" spans="1:17" x14ac:dyDescent="0.3">
      <c r="A36" s="1">
        <f t="shared" si="6"/>
        <v>3</v>
      </c>
      <c r="B36" s="1">
        <f t="shared" si="7"/>
        <v>1</v>
      </c>
      <c r="C36" s="2">
        <f t="shared" ca="1" si="1"/>
        <v>7015217.500044534</v>
      </c>
      <c r="D36" s="5">
        <f t="shared" ca="1" si="8"/>
        <v>2.942654393201613E-2</v>
      </c>
      <c r="E36" s="2">
        <f t="shared" si="9"/>
        <v>4306000</v>
      </c>
      <c r="F36" s="2">
        <f t="shared" si="10"/>
        <v>2317704.5</v>
      </c>
      <c r="G36" s="2">
        <f t="shared" si="2"/>
        <v>430600</v>
      </c>
      <c r="H36" s="5">
        <f t="shared" ca="1" si="3"/>
        <v>1.5940493729760474E-2</v>
      </c>
      <c r="I36" s="2">
        <f t="shared" ca="1" si="4"/>
        <v>118690.0071724007</v>
      </c>
      <c r="J36" s="2">
        <f t="shared" ca="1" si="5"/>
        <v>7564507.507216935</v>
      </c>
      <c r="K36" s="2">
        <f t="shared" ca="1" si="11"/>
        <v>161569939.48684382</v>
      </c>
      <c r="L36" s="5">
        <f t="shared" ca="1" si="0"/>
        <v>4.6818780345169911E-2</v>
      </c>
      <c r="N36" s="1" t="s">
        <v>54</v>
      </c>
      <c r="O36" s="4">
        <v>19124240724.565731</v>
      </c>
      <c r="P36" s="10">
        <v>3.6231693551763828</v>
      </c>
      <c r="Q36" s="1">
        <v>127</v>
      </c>
    </row>
    <row r="37" spans="1:17" x14ac:dyDescent="0.3">
      <c r="A37" s="1">
        <f t="shared" si="6"/>
        <v>3</v>
      </c>
      <c r="B37" s="1">
        <f t="shared" si="7"/>
        <v>2</v>
      </c>
      <c r="C37" s="2">
        <f t="shared" ca="1" si="1"/>
        <v>7564507.507216935</v>
      </c>
      <c r="D37" s="5">
        <f t="shared" ca="1" si="8"/>
        <v>0</v>
      </c>
      <c r="E37" s="2">
        <f t="shared" si="9"/>
        <v>4306000</v>
      </c>
      <c r="F37" s="2">
        <f t="shared" si="10"/>
        <v>2317704.5</v>
      </c>
      <c r="G37" s="2">
        <f t="shared" si="2"/>
        <v>430600</v>
      </c>
      <c r="H37" s="5">
        <f t="shared" ca="1" si="3"/>
        <v>1.3148018123751326E-2</v>
      </c>
      <c r="I37" s="2">
        <f t="shared" ca="1" si="4"/>
        <v>105119.81840622854</v>
      </c>
      <c r="J37" s="2">
        <f t="shared" ca="1" si="5"/>
        <v>8100227.325623164</v>
      </c>
      <c r="K37" s="2">
        <f t="shared" ca="1" si="11"/>
        <v>161569939.48684382</v>
      </c>
      <c r="L37" s="5">
        <f t="shared" ca="1" si="0"/>
        <v>5.0134495014047722E-2</v>
      </c>
      <c r="N37" s="1" t="s">
        <v>55</v>
      </c>
      <c r="O37" s="4">
        <v>19296601423.376812</v>
      </c>
      <c r="P37" s="10">
        <v>4.0776932550006713</v>
      </c>
      <c r="Q37" s="1">
        <v>131</v>
      </c>
    </row>
    <row r="38" spans="1:17" x14ac:dyDescent="0.3">
      <c r="A38" s="1">
        <f t="shared" si="6"/>
        <v>3</v>
      </c>
      <c r="B38" s="1">
        <f t="shared" si="7"/>
        <v>3</v>
      </c>
      <c r="C38" s="2">
        <f t="shared" ca="1" si="1"/>
        <v>8100227.325623164</v>
      </c>
      <c r="D38" s="5">
        <f t="shared" ca="1" si="8"/>
        <v>0</v>
      </c>
      <c r="E38" s="2">
        <f t="shared" si="9"/>
        <v>4306000</v>
      </c>
      <c r="F38" s="2">
        <f t="shared" si="10"/>
        <v>2317704.5</v>
      </c>
      <c r="G38" s="2">
        <f t="shared" si="2"/>
        <v>430600</v>
      </c>
      <c r="H38" s="5">
        <f t="shared" ca="1" si="3"/>
        <v>1.3108147882291643E-2</v>
      </c>
      <c r="I38" s="2">
        <f t="shared" ca="1" si="4"/>
        <v>111823.34614256296</v>
      </c>
      <c r="J38" s="2">
        <f t="shared" ca="1" si="5"/>
        <v>8642650.6717657261</v>
      </c>
      <c r="K38" s="2">
        <f t="shared" ca="1" si="11"/>
        <v>161569939.48684382</v>
      </c>
      <c r="L38" s="5">
        <f t="shared" ca="1" si="0"/>
        <v>5.3491699626894221E-2</v>
      </c>
      <c r="N38" s="1" t="s">
        <v>56</v>
      </c>
      <c r="O38" s="4">
        <v>21587350726.428768</v>
      </c>
      <c r="P38" s="10">
        <v>5.2126762321736075</v>
      </c>
      <c r="Q38" s="1">
        <v>130</v>
      </c>
    </row>
    <row r="39" spans="1:17" x14ac:dyDescent="0.3">
      <c r="A39" s="1">
        <f t="shared" si="6"/>
        <v>3</v>
      </c>
      <c r="B39" s="1">
        <f t="shared" si="7"/>
        <v>4</v>
      </c>
      <c r="C39" s="2">
        <f t="shared" ca="1" si="1"/>
        <v>8642650.6717657261</v>
      </c>
      <c r="D39" s="5">
        <f t="shared" ca="1" si="8"/>
        <v>0</v>
      </c>
      <c r="E39" s="2">
        <f t="shared" si="9"/>
        <v>4306000</v>
      </c>
      <c r="F39" s="2">
        <f t="shared" si="10"/>
        <v>2317704.5</v>
      </c>
      <c r="G39" s="2">
        <f t="shared" si="2"/>
        <v>430600</v>
      </c>
      <c r="H39" s="5">
        <f t="shared" ca="1" si="3"/>
        <v>1.5942976135573383E-2</v>
      </c>
      <c r="I39" s="2">
        <f t="shared" ca="1" si="4"/>
        <v>144654.61893203613</v>
      </c>
      <c r="J39" s="2">
        <f t="shared" ca="1" si="5"/>
        <v>9217905.2906977627</v>
      </c>
      <c r="K39" s="2">
        <f t="shared" ca="1" si="11"/>
        <v>161569939.48684382</v>
      </c>
      <c r="L39" s="5">
        <f t="shared" ca="1" si="0"/>
        <v>5.7052105855670943E-2</v>
      </c>
      <c r="N39" s="1" t="s">
        <v>57</v>
      </c>
      <c r="O39" s="4">
        <v>19840304464.013924</v>
      </c>
      <c r="P39" s="10">
        <v>3.512594170265221</v>
      </c>
      <c r="Q39" s="1">
        <v>129</v>
      </c>
    </row>
    <row r="40" spans="1:17" x14ac:dyDescent="0.3">
      <c r="A40" s="1">
        <f t="shared" si="6"/>
        <v>3</v>
      </c>
      <c r="B40" s="1">
        <f t="shared" si="7"/>
        <v>5</v>
      </c>
      <c r="C40" s="2">
        <f t="shared" ca="1" si="1"/>
        <v>9217905.2906977627</v>
      </c>
      <c r="D40" s="5">
        <f t="shared" ca="1" si="8"/>
        <v>0</v>
      </c>
      <c r="E40" s="2">
        <f t="shared" si="9"/>
        <v>4306000</v>
      </c>
      <c r="F40" s="2">
        <f t="shared" si="10"/>
        <v>2317704.5</v>
      </c>
      <c r="G40" s="2">
        <f t="shared" si="2"/>
        <v>430600</v>
      </c>
      <c r="H40" s="5">
        <f t="shared" ca="1" si="3"/>
        <v>1.7135769027703196E-2</v>
      </c>
      <c r="I40" s="2">
        <f t="shared" ca="1" si="4"/>
        <v>165334.55812396915</v>
      </c>
      <c r="J40" s="2">
        <f t="shared" ca="1" si="5"/>
        <v>9813839.8488217313</v>
      </c>
      <c r="K40" s="2">
        <f t="shared" ca="1" si="11"/>
        <v>161569939.48684382</v>
      </c>
      <c r="L40" s="5">
        <f t="shared" ca="1" si="0"/>
        <v>6.0740505814330915E-2</v>
      </c>
      <c r="N40" s="1" t="s">
        <v>58</v>
      </c>
      <c r="O40" s="4">
        <v>16978323150.773565</v>
      </c>
      <c r="P40" s="10">
        <v>2.7132625787518259</v>
      </c>
      <c r="Q40" s="1">
        <v>132</v>
      </c>
    </row>
    <row r="41" spans="1:17" x14ac:dyDescent="0.3">
      <c r="A41" s="1">
        <f t="shared" si="6"/>
        <v>3</v>
      </c>
      <c r="B41" s="1">
        <f t="shared" si="7"/>
        <v>6</v>
      </c>
      <c r="C41" s="2">
        <f t="shared" ca="1" si="1"/>
        <v>9813839.8488217313</v>
      </c>
      <c r="D41" s="5">
        <f t="shared" ca="1" si="8"/>
        <v>0</v>
      </c>
      <c r="E41" s="2">
        <f t="shared" si="9"/>
        <v>4306000</v>
      </c>
      <c r="F41" s="2">
        <f t="shared" si="10"/>
        <v>2317704.5</v>
      </c>
      <c r="G41" s="2">
        <f t="shared" si="2"/>
        <v>861200</v>
      </c>
      <c r="H41" s="5">
        <f t="shared" ca="1" si="3"/>
        <v>1.4206270233221741E-2</v>
      </c>
      <c r="I41" s="2">
        <f t="shared" ca="1" si="4"/>
        <v>151652.50084277207</v>
      </c>
      <c r="J41" s="2">
        <f t="shared" ca="1" si="5"/>
        <v>10826692.349664504</v>
      </c>
      <c r="K41" s="2">
        <f t="shared" ca="1" si="11"/>
        <v>161569939.48684382</v>
      </c>
      <c r="L41" s="5">
        <f t="shared" ca="1" si="0"/>
        <v>6.7009323541561958E-2</v>
      </c>
      <c r="N41" s="1" t="s">
        <v>59</v>
      </c>
      <c r="O41" s="4">
        <v>18867927438.811329</v>
      </c>
      <c r="P41" s="10">
        <v>4.5187690110970573</v>
      </c>
      <c r="Q41" s="1">
        <v>131</v>
      </c>
    </row>
    <row r="42" spans="1:17" x14ac:dyDescent="0.3">
      <c r="A42" s="1">
        <f t="shared" si="6"/>
        <v>3</v>
      </c>
      <c r="B42" s="1">
        <f t="shared" si="7"/>
        <v>7</v>
      </c>
      <c r="C42" s="2">
        <f t="shared" ca="1" si="1"/>
        <v>10826692.349664504</v>
      </c>
      <c r="D42" s="5">
        <f t="shared" ca="1" si="8"/>
        <v>0</v>
      </c>
      <c r="E42" s="2">
        <f t="shared" si="9"/>
        <v>4306000</v>
      </c>
      <c r="F42" s="2">
        <f t="shared" si="10"/>
        <v>2317704.5</v>
      </c>
      <c r="G42" s="2">
        <f t="shared" si="2"/>
        <v>430600</v>
      </c>
      <c r="H42" s="5">
        <f t="shared" ca="1" si="3"/>
        <v>1.0210312243259301E-2</v>
      </c>
      <c r="I42" s="2">
        <f t="shared" ca="1" si="4"/>
        <v>114940.46990372875</v>
      </c>
      <c r="J42" s="2">
        <f t="shared" ca="1" si="5"/>
        <v>11372232.819568232</v>
      </c>
      <c r="K42" s="2">
        <f t="shared" ca="1" si="11"/>
        <v>161569939.48684382</v>
      </c>
      <c r="L42" s="5">
        <f t="shared" ca="1" si="0"/>
        <v>7.0385820875387778E-2</v>
      </c>
      <c r="N42" s="1" t="s">
        <v>60</v>
      </c>
      <c r="O42" s="4">
        <v>20087335464.298134</v>
      </c>
      <c r="P42" s="10">
        <v>5.012458185458228</v>
      </c>
      <c r="Q42" s="1">
        <v>125</v>
      </c>
    </row>
    <row r="43" spans="1:17" x14ac:dyDescent="0.3">
      <c r="A43" s="1">
        <f t="shared" si="6"/>
        <v>3</v>
      </c>
      <c r="B43" s="1">
        <f t="shared" si="7"/>
        <v>8</v>
      </c>
      <c r="C43" s="2">
        <f t="shared" ca="1" si="1"/>
        <v>11372232.819568232</v>
      </c>
      <c r="D43" s="5">
        <f t="shared" ca="1" si="8"/>
        <v>0</v>
      </c>
      <c r="E43" s="2">
        <f t="shared" si="9"/>
        <v>4306000</v>
      </c>
      <c r="F43" s="2">
        <f t="shared" si="10"/>
        <v>2317704.5</v>
      </c>
      <c r="G43" s="2">
        <f t="shared" si="2"/>
        <v>430600</v>
      </c>
      <c r="H43" s="5">
        <f t="shared" ca="1" si="3"/>
        <v>1.9226224001801517E-2</v>
      </c>
      <c r="I43" s="2">
        <f t="shared" ca="1" si="4"/>
        <v>226923.90764483341</v>
      </c>
      <c r="J43" s="2">
        <f t="shared" ca="1" si="5"/>
        <v>12029756.727213064</v>
      </c>
      <c r="K43" s="2">
        <f t="shared" ca="1" si="11"/>
        <v>161569939.48684382</v>
      </c>
      <c r="L43" s="5">
        <f t="shared" ca="1" si="0"/>
        <v>7.4455413955221622E-2</v>
      </c>
      <c r="N43" s="1" t="s">
        <v>61</v>
      </c>
      <c r="O43" s="4">
        <v>17962888298.011009</v>
      </c>
      <c r="P43" s="10">
        <v>2.8377712761551459</v>
      </c>
      <c r="Q43" s="1">
        <v>128</v>
      </c>
    </row>
    <row r="44" spans="1:17" x14ac:dyDescent="0.3">
      <c r="A44" s="1">
        <f t="shared" si="6"/>
        <v>3</v>
      </c>
      <c r="B44" s="1">
        <f t="shared" si="7"/>
        <v>9</v>
      </c>
      <c r="C44" s="2">
        <f t="shared" ca="1" si="1"/>
        <v>12029756.727213064</v>
      </c>
      <c r="D44" s="5">
        <f t="shared" ca="1" si="8"/>
        <v>0</v>
      </c>
      <c r="E44" s="2">
        <f t="shared" si="9"/>
        <v>4306000</v>
      </c>
      <c r="F44" s="2">
        <f t="shared" si="10"/>
        <v>2317704.5</v>
      </c>
      <c r="G44" s="2">
        <f t="shared" si="2"/>
        <v>430600</v>
      </c>
      <c r="H44" s="5">
        <f t="shared" ca="1" si="3"/>
        <v>1.4644158757225689E-2</v>
      </c>
      <c r="I44" s="2">
        <f t="shared" ca="1" si="4"/>
        <v>182471.44208497321</v>
      </c>
      <c r="J44" s="2">
        <f t="shared" ca="1" si="5"/>
        <v>12642828.169298038</v>
      </c>
      <c r="K44" s="2">
        <f t="shared" ca="1" si="11"/>
        <v>161569939.48684382</v>
      </c>
      <c r="L44" s="5">
        <f t="shared" ca="1" si="0"/>
        <v>7.8249878717863278E-2</v>
      </c>
      <c r="N44" s="1" t="s">
        <v>62</v>
      </c>
      <c r="O44" s="4">
        <v>19607064095.073181</v>
      </c>
      <c r="P44" s="10">
        <v>3.9240732052418337</v>
      </c>
      <c r="Q44" s="1">
        <v>128</v>
      </c>
    </row>
    <row r="45" spans="1:17" x14ac:dyDescent="0.3">
      <c r="A45" s="1">
        <f t="shared" si="6"/>
        <v>3</v>
      </c>
      <c r="B45" s="1">
        <f t="shared" si="7"/>
        <v>10</v>
      </c>
      <c r="C45" s="2">
        <f t="shared" ca="1" si="1"/>
        <v>12642828.169298038</v>
      </c>
      <c r="D45" s="5">
        <f t="shared" ca="1" si="8"/>
        <v>0</v>
      </c>
      <c r="E45" s="2">
        <f t="shared" si="9"/>
        <v>4306000</v>
      </c>
      <c r="F45" s="2">
        <f t="shared" si="10"/>
        <v>2317704.5</v>
      </c>
      <c r="G45" s="2">
        <f t="shared" si="2"/>
        <v>430600</v>
      </c>
      <c r="H45" s="5">
        <f t="shared" ca="1" si="3"/>
        <v>1.5024315961136958E-2</v>
      </c>
      <c r="I45" s="2">
        <f t="shared" ca="1" si="4"/>
        <v>196419.31551076204</v>
      </c>
      <c r="J45" s="2">
        <f t="shared" ca="1" si="5"/>
        <v>13269847.484808801</v>
      </c>
      <c r="K45" s="2">
        <f t="shared" ca="1" si="11"/>
        <v>161569939.48684382</v>
      </c>
      <c r="L45" s="5">
        <f t="shared" ca="1" si="0"/>
        <v>8.2130670636844094E-2</v>
      </c>
      <c r="N45" s="1" t="s">
        <v>63</v>
      </c>
      <c r="O45" s="4">
        <v>22949616906.829716</v>
      </c>
      <c r="P45" s="10">
        <v>5.3388665477258375</v>
      </c>
      <c r="Q45" s="1">
        <v>126</v>
      </c>
    </row>
    <row r="46" spans="1:17" x14ac:dyDescent="0.3">
      <c r="A46" s="1">
        <f t="shared" si="6"/>
        <v>3</v>
      </c>
      <c r="B46" s="1">
        <f t="shared" si="7"/>
        <v>11</v>
      </c>
      <c r="C46" s="2">
        <f t="shared" ca="1" si="1"/>
        <v>13269847.484808801</v>
      </c>
      <c r="D46" s="5">
        <f t="shared" ca="1" si="8"/>
        <v>0</v>
      </c>
      <c r="E46" s="2">
        <f t="shared" si="9"/>
        <v>4306000</v>
      </c>
      <c r="F46" s="2">
        <f t="shared" si="10"/>
        <v>2317704.5</v>
      </c>
      <c r="G46" s="2">
        <f t="shared" si="2"/>
        <v>430600</v>
      </c>
      <c r="H46" s="5">
        <f t="shared" ca="1" si="3"/>
        <v>9.7773590953691425E-3</v>
      </c>
      <c r="I46" s="2">
        <f t="shared" ca="1" si="4"/>
        <v>133954.19482622261</v>
      </c>
      <c r="J46" s="2">
        <f t="shared" ca="1" si="5"/>
        <v>13834401.679635024</v>
      </c>
      <c r="K46" s="2">
        <f t="shared" ca="1" si="11"/>
        <v>161569939.48684382</v>
      </c>
      <c r="L46" s="5">
        <f t="shared" ca="1" si="0"/>
        <v>8.5624849050348992E-2</v>
      </c>
      <c r="N46" s="1" t="s">
        <v>64</v>
      </c>
      <c r="O46" s="4">
        <v>15867909625.617151</v>
      </c>
      <c r="P46" s="10">
        <v>3.921684040622698</v>
      </c>
      <c r="Q46" s="1">
        <v>132</v>
      </c>
    </row>
    <row r="47" spans="1:17" x14ac:dyDescent="0.3">
      <c r="A47" s="1">
        <f t="shared" si="6"/>
        <v>3</v>
      </c>
      <c r="B47" s="1">
        <f t="shared" si="7"/>
        <v>12</v>
      </c>
      <c r="C47" s="2">
        <f t="shared" ca="1" si="1"/>
        <v>13834401.679635024</v>
      </c>
      <c r="D47" s="5">
        <f t="shared" ca="1" si="8"/>
        <v>0</v>
      </c>
      <c r="E47" s="2">
        <f t="shared" si="9"/>
        <v>4306000</v>
      </c>
      <c r="F47" s="2">
        <f t="shared" si="10"/>
        <v>2317704.5</v>
      </c>
      <c r="G47" s="2">
        <f t="shared" si="2"/>
        <v>861200</v>
      </c>
      <c r="H47" s="5">
        <f t="shared" ca="1" si="3"/>
        <v>1.4255878963453039E-2</v>
      </c>
      <c r="I47" s="2">
        <f t="shared" ca="1" si="4"/>
        <v>209498.71883999408</v>
      </c>
      <c r="J47" s="2">
        <f t="shared" ca="1" si="5"/>
        <v>14905100.398475017</v>
      </c>
      <c r="K47" s="2">
        <f t="shared" ca="1" si="11"/>
        <v>161569939.48684382</v>
      </c>
      <c r="L47" s="5">
        <f t="shared" ca="1" si="0"/>
        <v>9.2251692646630579E-2</v>
      </c>
      <c r="N47" s="1" t="s">
        <v>65</v>
      </c>
      <c r="O47" s="4">
        <v>17234850136.268787</v>
      </c>
      <c r="P47" s="10">
        <v>3.021841569501984</v>
      </c>
      <c r="Q47" s="1">
        <v>130</v>
      </c>
    </row>
    <row r="48" spans="1:17" x14ac:dyDescent="0.3">
      <c r="A48" s="1">
        <f t="shared" si="6"/>
        <v>4</v>
      </c>
      <c r="B48" s="1">
        <f t="shared" si="7"/>
        <v>1</v>
      </c>
      <c r="C48" s="2">
        <f t="shared" ca="1" si="1"/>
        <v>14905100.398475017</v>
      </c>
      <c r="D48" s="5">
        <f t="shared" ca="1" si="8"/>
        <v>7.10315422853742E-2</v>
      </c>
      <c r="E48" s="2">
        <f t="shared" ca="1" si="9"/>
        <v>4611861.8210808216</v>
      </c>
      <c r="F48" s="2">
        <f t="shared" si="10"/>
        <v>2495008.8942499999</v>
      </c>
      <c r="G48" s="2">
        <f t="shared" ca="1" si="2"/>
        <v>461186.18210808217</v>
      </c>
      <c r="H48" s="5">
        <f t="shared" ca="1" si="3"/>
        <v>1.2202073613974518E-2</v>
      </c>
      <c r="I48" s="2">
        <f t="shared" ca="1" si="4"/>
        <v>187500.56002970375</v>
      </c>
      <c r="J48" s="2">
        <f t="shared" ca="1" si="5"/>
        <v>15553787.140612803</v>
      </c>
      <c r="K48" s="2">
        <f t="shared" ca="1" si="11"/>
        <v>168325919.5427703</v>
      </c>
      <c r="L48" s="5">
        <f t="shared" ca="1" si="0"/>
        <v>9.2402805122717355E-2</v>
      </c>
      <c r="N48" s="1" t="s">
        <v>66</v>
      </c>
      <c r="O48" s="4">
        <v>19536628958.869377</v>
      </c>
      <c r="P48" s="10">
        <v>3.1003365594489685</v>
      </c>
      <c r="Q48" s="1">
        <v>128</v>
      </c>
    </row>
    <row r="49" spans="1:17" x14ac:dyDescent="0.3">
      <c r="A49" s="1">
        <f t="shared" si="6"/>
        <v>4</v>
      </c>
      <c r="B49" s="1">
        <f t="shared" si="7"/>
        <v>2</v>
      </c>
      <c r="C49" s="2">
        <f t="shared" ca="1" si="1"/>
        <v>15553787.140612803</v>
      </c>
      <c r="D49" s="5">
        <f t="shared" ca="1" si="8"/>
        <v>0</v>
      </c>
      <c r="E49" s="2">
        <f t="shared" ca="1" si="9"/>
        <v>4611861.8210808216</v>
      </c>
      <c r="F49" s="2">
        <f t="shared" si="10"/>
        <v>2495008.8942499999</v>
      </c>
      <c r="G49" s="2">
        <f t="shared" ca="1" si="2"/>
        <v>461186.18210808217</v>
      </c>
      <c r="H49" s="5">
        <f t="shared" ca="1" si="3"/>
        <v>1.3668592951949998E-2</v>
      </c>
      <c r="I49" s="2">
        <f t="shared" ca="1" si="4"/>
        <v>218902.15148460993</v>
      </c>
      <c r="J49" s="2">
        <f t="shared" ca="1" si="5"/>
        <v>16233875.474205496</v>
      </c>
      <c r="K49" s="2">
        <f t="shared" ca="1" si="11"/>
        <v>168325919.5427703</v>
      </c>
      <c r="L49" s="5">
        <f t="shared" ca="1" si="0"/>
        <v>9.6443111781608859E-2</v>
      </c>
      <c r="N49" s="1" t="s">
        <v>67</v>
      </c>
      <c r="O49" s="4">
        <v>20547000284.933552</v>
      </c>
      <c r="P49" s="10">
        <v>3.3217806397748504</v>
      </c>
      <c r="Q49" s="1">
        <v>127</v>
      </c>
    </row>
    <row r="50" spans="1:17" x14ac:dyDescent="0.3">
      <c r="A50" s="1">
        <f t="shared" si="6"/>
        <v>4</v>
      </c>
      <c r="B50" s="1">
        <f t="shared" si="7"/>
        <v>3</v>
      </c>
      <c r="C50" s="2">
        <f t="shared" ca="1" si="1"/>
        <v>16233875.474205496</v>
      </c>
      <c r="D50" s="5">
        <f t="shared" ca="1" si="8"/>
        <v>0</v>
      </c>
      <c r="E50" s="2">
        <f t="shared" ca="1" si="9"/>
        <v>4611861.8210808216</v>
      </c>
      <c r="F50" s="2">
        <f t="shared" si="10"/>
        <v>2495008.8942499999</v>
      </c>
      <c r="G50" s="2">
        <f t="shared" ca="1" si="2"/>
        <v>461186.18210808217</v>
      </c>
      <c r="H50" s="5">
        <f t="shared" ca="1" si="3"/>
        <v>1.3940833658356189E-2</v>
      </c>
      <c r="I50" s="2">
        <f t="shared" ca="1" si="4"/>
        <v>232743.07746666815</v>
      </c>
      <c r="J50" s="2">
        <f t="shared" ca="1" si="5"/>
        <v>16927804.733780246</v>
      </c>
      <c r="K50" s="2">
        <f t="shared" ca="1" si="11"/>
        <v>168325919.5427703</v>
      </c>
      <c r="L50" s="5">
        <f t="shared" ca="1" si="0"/>
        <v>0.10056564538463147</v>
      </c>
      <c r="N50" s="1" t="s">
        <v>68</v>
      </c>
      <c r="O50" s="4">
        <v>20009771288.77779</v>
      </c>
      <c r="P50" s="10">
        <v>3.9978831473078942</v>
      </c>
      <c r="Q50" s="1">
        <v>129</v>
      </c>
    </row>
    <row r="51" spans="1:17" x14ac:dyDescent="0.3">
      <c r="A51" s="1">
        <f t="shared" si="6"/>
        <v>4</v>
      </c>
      <c r="B51" s="1">
        <f t="shared" si="7"/>
        <v>4</v>
      </c>
      <c r="C51" s="2">
        <f t="shared" ca="1" si="1"/>
        <v>16927804.733780246</v>
      </c>
      <c r="D51" s="5">
        <f t="shared" ca="1" si="8"/>
        <v>0</v>
      </c>
      <c r="E51" s="2">
        <f t="shared" ca="1" si="9"/>
        <v>4611861.8210808216</v>
      </c>
      <c r="F51" s="2">
        <f t="shared" si="10"/>
        <v>2495008.8942499999</v>
      </c>
      <c r="G51" s="2">
        <f t="shared" ca="1" si="2"/>
        <v>461186.18210808217</v>
      </c>
      <c r="H51" s="5">
        <f t="shared" ca="1" si="3"/>
        <v>1.5684473171802216E-2</v>
      </c>
      <c r="I51" s="2">
        <f t="shared" ca="1" si="4"/>
        <v>272737.16150496295</v>
      </c>
      <c r="J51" s="2">
        <f t="shared" ca="1" si="5"/>
        <v>17661728.07739329</v>
      </c>
      <c r="K51" s="2">
        <f t="shared" ca="1" si="11"/>
        <v>168325919.5427703</v>
      </c>
      <c r="L51" s="5">
        <f t="shared" ca="1" si="0"/>
        <v>0.10492577807011821</v>
      </c>
      <c r="N51" s="1" t="s">
        <v>69</v>
      </c>
      <c r="O51" s="4">
        <v>18496323320.950684</v>
      </c>
      <c r="P51" s="10">
        <v>3.6918850923887221</v>
      </c>
      <c r="Q51" s="1">
        <v>131</v>
      </c>
    </row>
    <row r="52" spans="1:17" x14ac:dyDescent="0.3">
      <c r="A52" s="1">
        <f t="shared" si="6"/>
        <v>4</v>
      </c>
      <c r="B52" s="1">
        <f t="shared" si="7"/>
        <v>5</v>
      </c>
      <c r="C52" s="2">
        <f t="shared" ca="1" si="1"/>
        <v>17661728.07739329</v>
      </c>
      <c r="D52" s="5">
        <f t="shared" ca="1" si="8"/>
        <v>0</v>
      </c>
      <c r="E52" s="2">
        <f t="shared" ca="1" si="9"/>
        <v>4611861.8210808216</v>
      </c>
      <c r="F52" s="2">
        <f t="shared" si="10"/>
        <v>2495008.8942499999</v>
      </c>
      <c r="G52" s="2">
        <f t="shared" ca="1" si="2"/>
        <v>461186.18210808217</v>
      </c>
      <c r="H52" s="5">
        <f t="shared" ca="1" si="3"/>
        <v>1.1954657167379201E-2</v>
      </c>
      <c r="I52" s="2">
        <f t="shared" ca="1" si="4"/>
        <v>216653.2268461468</v>
      </c>
      <c r="J52" s="2">
        <f t="shared" ca="1" si="5"/>
        <v>18339567.486347519</v>
      </c>
      <c r="K52" s="2">
        <f t="shared" ca="1" si="11"/>
        <v>168325919.5427703</v>
      </c>
      <c r="L52" s="5">
        <f t="shared" ca="1" si="0"/>
        <v>0.10895272419223338</v>
      </c>
      <c r="N52" s="1" t="s">
        <v>70</v>
      </c>
      <c r="O52" s="4">
        <v>16403301777.382441</v>
      </c>
      <c r="P52" s="10">
        <v>3.0984992747066387</v>
      </c>
      <c r="Q52" s="1">
        <v>135</v>
      </c>
    </row>
    <row r="53" spans="1:17" x14ac:dyDescent="0.3">
      <c r="A53" s="1">
        <f t="shared" si="6"/>
        <v>4</v>
      </c>
      <c r="B53" s="1">
        <f t="shared" si="7"/>
        <v>6</v>
      </c>
      <c r="C53" s="2">
        <f t="shared" ca="1" si="1"/>
        <v>18339567.486347519</v>
      </c>
      <c r="D53" s="5">
        <f t="shared" ca="1" si="8"/>
        <v>0</v>
      </c>
      <c r="E53" s="2">
        <f t="shared" ca="1" si="9"/>
        <v>4611861.8210808216</v>
      </c>
      <c r="F53" s="2">
        <f t="shared" si="10"/>
        <v>2495008.8942499999</v>
      </c>
      <c r="G53" s="2">
        <f t="shared" ca="1" si="2"/>
        <v>922372.36421616434</v>
      </c>
      <c r="H53" s="5">
        <f t="shared" ca="1" si="3"/>
        <v>1.6305557968338658E-2</v>
      </c>
      <c r="I53" s="2">
        <f t="shared" ca="1" si="4"/>
        <v>314076.67681601859</v>
      </c>
      <c r="J53" s="2">
        <f t="shared" ca="1" si="5"/>
        <v>19576016.527379703</v>
      </c>
      <c r="K53" s="2">
        <f t="shared" ca="1" si="11"/>
        <v>168325919.5427703</v>
      </c>
      <c r="L53" s="5">
        <f t="shared" ca="1" si="0"/>
        <v>0.11629828953588808</v>
      </c>
      <c r="N53" s="1" t="s">
        <v>71</v>
      </c>
      <c r="O53" s="4">
        <v>21853946326.381413</v>
      </c>
      <c r="P53" s="10">
        <v>3.767814350113881</v>
      </c>
      <c r="Q53" s="1">
        <v>126</v>
      </c>
    </row>
    <row r="54" spans="1:17" x14ac:dyDescent="0.3">
      <c r="A54" s="1">
        <f t="shared" si="6"/>
        <v>4</v>
      </c>
      <c r="B54" s="1">
        <f t="shared" si="7"/>
        <v>7</v>
      </c>
      <c r="C54" s="2">
        <f t="shared" ca="1" si="1"/>
        <v>19576016.527379703</v>
      </c>
      <c r="D54" s="5">
        <f t="shared" ca="1" si="8"/>
        <v>0</v>
      </c>
      <c r="E54" s="2">
        <f t="shared" ca="1" si="9"/>
        <v>4611861.8210808216</v>
      </c>
      <c r="F54" s="2">
        <f t="shared" si="10"/>
        <v>2495008.8942499999</v>
      </c>
      <c r="G54" s="2">
        <f t="shared" ca="1" si="2"/>
        <v>461186.18210808217</v>
      </c>
      <c r="H54" s="5">
        <f t="shared" ca="1" si="3"/>
        <v>2.0477438138130966E-2</v>
      </c>
      <c r="I54" s="2">
        <f t="shared" ca="1" si="4"/>
        <v>410310.57894472627</v>
      </c>
      <c r="J54" s="2">
        <f t="shared" ca="1" si="5"/>
        <v>20447513.288432512</v>
      </c>
      <c r="K54" s="2">
        <f t="shared" ca="1" si="11"/>
        <v>168325919.5427703</v>
      </c>
      <c r="L54" s="5">
        <f t="shared" ca="1" si="0"/>
        <v>0.12147572604370629</v>
      </c>
      <c r="N54" s="1" t="s">
        <v>72</v>
      </c>
      <c r="O54" s="4">
        <v>19823009476.839748</v>
      </c>
      <c r="P54" s="10">
        <v>2.8578434469561205</v>
      </c>
      <c r="Q54" s="1">
        <v>126</v>
      </c>
    </row>
    <row r="55" spans="1:17" x14ac:dyDescent="0.3">
      <c r="A55" s="1">
        <f t="shared" si="6"/>
        <v>4</v>
      </c>
      <c r="B55" s="1">
        <f t="shared" si="7"/>
        <v>8</v>
      </c>
      <c r="C55" s="2">
        <f t="shared" ca="1" si="1"/>
        <v>20447513.288432512</v>
      </c>
      <c r="D55" s="5">
        <f t="shared" ca="1" si="8"/>
        <v>0</v>
      </c>
      <c r="E55" s="2">
        <f t="shared" ca="1" si="9"/>
        <v>4611861.8210808216</v>
      </c>
      <c r="F55" s="2">
        <f t="shared" si="10"/>
        <v>2495008.8942499999</v>
      </c>
      <c r="G55" s="2">
        <f t="shared" ca="1" si="2"/>
        <v>461186.18210808217</v>
      </c>
      <c r="H55" s="5">
        <f t="shared" ca="1" si="3"/>
        <v>1.6454861146793176E-2</v>
      </c>
      <c r="I55" s="2">
        <f t="shared" ca="1" si="4"/>
        <v>344049.74654777348</v>
      </c>
      <c r="J55" s="2">
        <f t="shared" ca="1" si="5"/>
        <v>21252749.217088368</v>
      </c>
      <c r="K55" s="2">
        <f t="shared" ca="1" si="11"/>
        <v>168325919.5427703</v>
      </c>
      <c r="L55" s="5">
        <f t="shared" ca="1" si="0"/>
        <v>0.12625951650713074</v>
      </c>
      <c r="N55" s="1" t="s">
        <v>73</v>
      </c>
      <c r="O55" s="4">
        <v>19720584794.190411</v>
      </c>
      <c r="P55" s="10">
        <v>4.0691559497935588</v>
      </c>
      <c r="Q55" s="1">
        <v>130</v>
      </c>
    </row>
    <row r="56" spans="1:17" x14ac:dyDescent="0.3">
      <c r="A56" s="1">
        <f t="shared" si="6"/>
        <v>4</v>
      </c>
      <c r="B56" s="1">
        <f t="shared" si="7"/>
        <v>9</v>
      </c>
      <c r="C56" s="2">
        <f t="shared" ca="1" si="1"/>
        <v>21252749.217088368</v>
      </c>
      <c r="D56" s="5">
        <f t="shared" ca="1" si="8"/>
        <v>0</v>
      </c>
      <c r="E56" s="2">
        <f t="shared" ca="1" si="9"/>
        <v>4611861.8210808216</v>
      </c>
      <c r="F56" s="2">
        <f t="shared" si="10"/>
        <v>2495008.8942499999</v>
      </c>
      <c r="G56" s="2">
        <f t="shared" ca="1" si="2"/>
        <v>461186.18210808217</v>
      </c>
      <c r="H56" s="5">
        <f t="shared" ca="1" si="3"/>
        <v>1.5355728107868449E-2</v>
      </c>
      <c r="I56" s="2">
        <f t="shared" ca="1" si="4"/>
        <v>333433.28814188065</v>
      </c>
      <c r="J56" s="2">
        <f t="shared" ca="1" si="5"/>
        <v>22047368.68733833</v>
      </c>
      <c r="K56" s="2">
        <f t="shared" ca="1" si="11"/>
        <v>168325919.5427703</v>
      </c>
      <c r="L56" s="5">
        <f t="shared" ca="1" si="0"/>
        <v>0.13098023612303075</v>
      </c>
      <c r="N56" s="1" t="s">
        <v>74</v>
      </c>
      <c r="O56" s="4">
        <v>17270661250.999538</v>
      </c>
      <c r="P56" s="10">
        <v>3.8118910819624467</v>
      </c>
      <c r="Q56" s="1">
        <v>130</v>
      </c>
    </row>
    <row r="57" spans="1:17" x14ac:dyDescent="0.3">
      <c r="A57" s="1">
        <f t="shared" si="6"/>
        <v>4</v>
      </c>
      <c r="B57" s="1">
        <f t="shared" si="7"/>
        <v>10</v>
      </c>
      <c r="C57" s="2">
        <f t="shared" ca="1" si="1"/>
        <v>22047368.68733833</v>
      </c>
      <c r="D57" s="5">
        <f t="shared" ca="1" si="8"/>
        <v>0</v>
      </c>
      <c r="E57" s="2">
        <f t="shared" ca="1" si="9"/>
        <v>4611861.8210808216</v>
      </c>
      <c r="F57" s="2">
        <f t="shared" si="10"/>
        <v>2495008.8942499999</v>
      </c>
      <c r="G57" s="2">
        <f t="shared" ca="1" si="2"/>
        <v>461186.18210808217</v>
      </c>
      <c r="H57" s="5">
        <f t="shared" ca="1" si="3"/>
        <v>1.4302621894732637E-2</v>
      </c>
      <c r="I57" s="2">
        <f t="shared" ca="1" si="4"/>
        <v>321931.34969453514</v>
      </c>
      <c r="J57" s="2">
        <f t="shared" ca="1" si="5"/>
        <v>22830486.219140947</v>
      </c>
      <c r="K57" s="2">
        <f t="shared" ca="1" si="11"/>
        <v>168325919.5427703</v>
      </c>
      <c r="L57" s="5">
        <f t="shared" ca="1" si="0"/>
        <v>0.13563262438224732</v>
      </c>
      <c r="N57" s="1" t="s">
        <v>75</v>
      </c>
      <c r="O57" s="4">
        <v>18804723039.511917</v>
      </c>
      <c r="P57" s="10">
        <v>3.6257758070206565</v>
      </c>
      <c r="Q57" s="1">
        <v>129</v>
      </c>
    </row>
    <row r="58" spans="1:17" x14ac:dyDescent="0.3">
      <c r="A58" s="1">
        <f t="shared" si="6"/>
        <v>4</v>
      </c>
      <c r="B58" s="1">
        <f t="shared" si="7"/>
        <v>11</v>
      </c>
      <c r="C58" s="2">
        <f t="shared" ca="1" si="1"/>
        <v>22830486.219140947</v>
      </c>
      <c r="D58" s="5">
        <f t="shared" ca="1" si="8"/>
        <v>0</v>
      </c>
      <c r="E58" s="2">
        <f t="shared" ca="1" si="9"/>
        <v>4611861.8210808216</v>
      </c>
      <c r="F58" s="2">
        <f t="shared" si="10"/>
        <v>2495008.8942499999</v>
      </c>
      <c r="G58" s="2">
        <f t="shared" ca="1" si="2"/>
        <v>461186.18210808217</v>
      </c>
      <c r="H58" s="5">
        <f t="shared" ca="1" si="3"/>
        <v>1.4604738342885559E-2</v>
      </c>
      <c r="I58" s="2">
        <f t="shared" ca="1" si="4"/>
        <v>340168.78098845104</v>
      </c>
      <c r="J58" s="2">
        <f t="shared" ca="1" si="5"/>
        <v>23631841.18223748</v>
      </c>
      <c r="K58" s="2">
        <f t="shared" ca="1" si="11"/>
        <v>168325919.5427703</v>
      </c>
      <c r="L58" s="5">
        <f t="shared" ca="1" si="0"/>
        <v>0.14039335858927426</v>
      </c>
      <c r="N58" s="1" t="s">
        <v>76</v>
      </c>
      <c r="O58" s="4">
        <v>19247957532.231022</v>
      </c>
      <c r="P58" s="10">
        <v>3.7507941421889619</v>
      </c>
      <c r="Q58" s="1">
        <v>129</v>
      </c>
    </row>
    <row r="59" spans="1:17" x14ac:dyDescent="0.3">
      <c r="A59" s="1">
        <f t="shared" si="6"/>
        <v>4</v>
      </c>
      <c r="B59" s="1">
        <f t="shared" si="7"/>
        <v>12</v>
      </c>
      <c r="C59" s="2">
        <f t="shared" ca="1" si="1"/>
        <v>23631841.18223748</v>
      </c>
      <c r="D59" s="5">
        <f t="shared" ca="1" si="8"/>
        <v>0</v>
      </c>
      <c r="E59" s="2">
        <f t="shared" ca="1" si="9"/>
        <v>4611861.8210808216</v>
      </c>
      <c r="F59" s="2">
        <f t="shared" si="10"/>
        <v>2495008.8942499999</v>
      </c>
      <c r="G59" s="2">
        <f t="shared" ca="1" si="2"/>
        <v>922372.36421616434</v>
      </c>
      <c r="H59" s="5">
        <f t="shared" ca="1" si="3"/>
        <v>1.2169495474505743E-2</v>
      </c>
      <c r="I59" s="2">
        <f t="shared" ca="1" si="4"/>
        <v>298812.3906336152</v>
      </c>
      <c r="J59" s="2">
        <f t="shared" ca="1" si="5"/>
        <v>24853025.93708726</v>
      </c>
      <c r="K59" s="2">
        <f t="shared" ca="1" si="11"/>
        <v>168325919.5427703</v>
      </c>
      <c r="L59" s="5">
        <f t="shared" ca="1" si="0"/>
        <v>0.14764824101122645</v>
      </c>
      <c r="N59" s="1" t="s">
        <v>77</v>
      </c>
      <c r="O59" s="4">
        <v>17108251534.722549</v>
      </c>
      <c r="P59" s="10">
        <v>3.1224047708747209</v>
      </c>
      <c r="Q59" s="1">
        <v>131</v>
      </c>
    </row>
    <row r="60" spans="1:17" x14ac:dyDescent="0.3">
      <c r="A60" s="1">
        <f t="shared" si="6"/>
        <v>5</v>
      </c>
      <c r="B60" s="1">
        <f t="shared" si="7"/>
        <v>1</v>
      </c>
      <c r="C60" s="2">
        <f t="shared" ca="1" si="1"/>
        <v>24853025.93708726</v>
      </c>
      <c r="D60" s="5">
        <f t="shared" ca="1" si="8"/>
        <v>3.4924660150109102E-2</v>
      </c>
      <c r="E60" s="2">
        <f t="shared" ca="1" si="9"/>
        <v>4772929.5278413333</v>
      </c>
      <c r="F60" s="2">
        <f t="shared" si="10"/>
        <v>2685877.0746601247</v>
      </c>
      <c r="G60" s="2">
        <f t="shared" ca="1" si="2"/>
        <v>477292.95278413338</v>
      </c>
      <c r="H60" s="5">
        <f t="shared" ca="1" si="3"/>
        <v>1.3741705185724262E-2</v>
      </c>
      <c r="I60" s="2">
        <f t="shared" ca="1" si="4"/>
        <v>348081.77444499492</v>
      </c>
      <c r="J60" s="2">
        <f t="shared" ca="1" si="5"/>
        <v>25678400.664316386</v>
      </c>
      <c r="K60" s="2">
        <f t="shared" ca="1" si="11"/>
        <v>172033137.95798492</v>
      </c>
      <c r="L60" s="5">
        <f t="shared" ca="1" si="0"/>
        <v>0.14926426948386964</v>
      </c>
      <c r="N60" s="1" t="s">
        <v>78</v>
      </c>
      <c r="O60" s="4">
        <v>20571015119.97366</v>
      </c>
      <c r="P60" s="10">
        <v>3.5925368569583394</v>
      </c>
      <c r="Q60" s="1">
        <v>126</v>
      </c>
    </row>
    <row r="61" spans="1:17" x14ac:dyDescent="0.3">
      <c r="A61" s="1">
        <f t="shared" si="6"/>
        <v>5</v>
      </c>
      <c r="B61" s="1">
        <f t="shared" si="7"/>
        <v>2</v>
      </c>
      <c r="C61" s="2">
        <f t="shared" ca="1" si="1"/>
        <v>25678400.664316386</v>
      </c>
      <c r="D61" s="5">
        <f t="shared" ca="1" si="8"/>
        <v>0</v>
      </c>
      <c r="E61" s="2">
        <f t="shared" ca="1" si="9"/>
        <v>4772929.5278413333</v>
      </c>
      <c r="F61" s="2">
        <f t="shared" si="10"/>
        <v>2685877.0746601247</v>
      </c>
      <c r="G61" s="2">
        <f t="shared" ca="1" si="2"/>
        <v>477292.95278413338</v>
      </c>
      <c r="H61" s="5">
        <f t="shared" ca="1" si="3"/>
        <v>1.7659072805907838E-2</v>
      </c>
      <c r="I61" s="2">
        <f t="shared" ca="1" si="4"/>
        <v>461885.29787339701</v>
      </c>
      <c r="J61" s="2">
        <f t="shared" ca="1" si="5"/>
        <v>26617578.914973915</v>
      </c>
      <c r="K61" s="2">
        <f t="shared" ca="1" si="11"/>
        <v>172033137.95798492</v>
      </c>
      <c r="L61" s="5">
        <f t="shared" ca="1" si="0"/>
        <v>0.15472355635037383</v>
      </c>
      <c r="N61" s="1" t="s">
        <v>79</v>
      </c>
      <c r="O61" s="4">
        <v>21230100710.565094</v>
      </c>
      <c r="P61" s="10">
        <v>4.1534222635555826</v>
      </c>
      <c r="Q61" s="1">
        <v>128</v>
      </c>
    </row>
    <row r="62" spans="1:17" x14ac:dyDescent="0.3">
      <c r="A62" s="1">
        <f t="shared" si="6"/>
        <v>5</v>
      </c>
      <c r="B62" s="1">
        <f t="shared" si="7"/>
        <v>3</v>
      </c>
      <c r="C62" s="2">
        <f t="shared" ca="1" si="1"/>
        <v>26617578.914973915</v>
      </c>
      <c r="D62" s="5">
        <f t="shared" ca="1" si="8"/>
        <v>0</v>
      </c>
      <c r="E62" s="2">
        <f t="shared" ca="1" si="9"/>
        <v>4772929.5278413333</v>
      </c>
      <c r="F62" s="2">
        <f t="shared" si="10"/>
        <v>2685877.0746601247</v>
      </c>
      <c r="G62" s="2">
        <f t="shared" ca="1" si="2"/>
        <v>477292.95278413338</v>
      </c>
      <c r="H62" s="5">
        <f t="shared" ca="1" si="3"/>
        <v>1.5596838748605624E-2</v>
      </c>
      <c r="I62" s="2">
        <f t="shared" ca="1" si="4"/>
        <v>422594.34743555315</v>
      </c>
      <c r="J62" s="2">
        <f t="shared" ca="1" si="5"/>
        <v>27517466.215193599</v>
      </c>
      <c r="K62" s="2">
        <f t="shared" ca="1" si="11"/>
        <v>172033137.95798492</v>
      </c>
      <c r="L62" s="5">
        <f t="shared" ca="1" si="0"/>
        <v>0.15995445146105572</v>
      </c>
      <c r="N62" s="1" t="s">
        <v>80</v>
      </c>
      <c r="O62" s="4">
        <v>18464753527.057262</v>
      </c>
      <c r="P62" s="10">
        <v>2.8475159822235314</v>
      </c>
      <c r="Q62" s="1">
        <v>129</v>
      </c>
    </row>
    <row r="63" spans="1:17" x14ac:dyDescent="0.3">
      <c r="A63" s="1">
        <f t="shared" si="6"/>
        <v>5</v>
      </c>
      <c r="B63" s="1">
        <f t="shared" si="7"/>
        <v>4</v>
      </c>
      <c r="C63" s="2">
        <f t="shared" ca="1" si="1"/>
        <v>27517466.215193599</v>
      </c>
      <c r="D63" s="5">
        <f t="shared" ca="1" si="8"/>
        <v>0</v>
      </c>
      <c r="E63" s="2">
        <f t="shared" ca="1" si="9"/>
        <v>4772929.5278413333</v>
      </c>
      <c r="F63" s="2">
        <f t="shared" si="10"/>
        <v>2685877.0746601247</v>
      </c>
      <c r="G63" s="2">
        <f t="shared" ca="1" si="2"/>
        <v>477292.95278413338</v>
      </c>
      <c r="H63" s="5">
        <f t="shared" ca="1" si="3"/>
        <v>1.7851704784818789E-2</v>
      </c>
      <c r="I63" s="2">
        <f t="shared" ca="1" si="4"/>
        <v>499754.17618883774</v>
      </c>
      <c r="J63" s="2">
        <f t="shared" ca="1" si="5"/>
        <v>28494513.344166569</v>
      </c>
      <c r="K63" s="2">
        <f t="shared" ca="1" si="11"/>
        <v>172033137.95798492</v>
      </c>
      <c r="L63" s="5">
        <f t="shared" ca="1" si="0"/>
        <v>0.16563386381480577</v>
      </c>
      <c r="N63" s="1" t="s">
        <v>81</v>
      </c>
      <c r="O63" s="4">
        <v>17514361791.749069</v>
      </c>
      <c r="P63" s="10">
        <v>2.9226454010489054</v>
      </c>
      <c r="Q63" s="1">
        <v>132</v>
      </c>
    </row>
    <row r="64" spans="1:17" x14ac:dyDescent="0.3">
      <c r="A64" s="1">
        <f t="shared" si="6"/>
        <v>5</v>
      </c>
      <c r="B64" s="1">
        <f t="shared" si="7"/>
        <v>5</v>
      </c>
      <c r="C64" s="2">
        <f t="shared" ca="1" si="1"/>
        <v>28494513.344166569</v>
      </c>
      <c r="D64" s="5">
        <f t="shared" ca="1" si="8"/>
        <v>0</v>
      </c>
      <c r="E64" s="2">
        <f t="shared" ca="1" si="9"/>
        <v>4772929.5278413333</v>
      </c>
      <c r="F64" s="2">
        <f t="shared" si="10"/>
        <v>2685877.0746601247</v>
      </c>
      <c r="G64" s="2">
        <f t="shared" ca="1" si="2"/>
        <v>477292.95278413338</v>
      </c>
      <c r="H64" s="5">
        <f t="shared" ca="1" si="3"/>
        <v>1.2116289985464546E-2</v>
      </c>
      <c r="I64" s="2">
        <f t="shared" ca="1" si="4"/>
        <v>351030.80649656244</v>
      </c>
      <c r="J64" s="2">
        <f t="shared" ca="1" si="5"/>
        <v>29322837.103447266</v>
      </c>
      <c r="K64" s="2">
        <f t="shared" ca="1" si="11"/>
        <v>172033137.95798492</v>
      </c>
      <c r="L64" s="5">
        <f t="shared" ca="1" si="0"/>
        <v>0.17044877197211089</v>
      </c>
      <c r="N64" s="1" t="s">
        <v>82</v>
      </c>
      <c r="O64" s="4">
        <v>20681126456.253559</v>
      </c>
      <c r="P64" s="10">
        <v>3.6066881381309535</v>
      </c>
      <c r="Q64" s="1">
        <v>125</v>
      </c>
    </row>
    <row r="65" spans="1:17" x14ac:dyDescent="0.3">
      <c r="A65" s="1">
        <f t="shared" si="6"/>
        <v>5</v>
      </c>
      <c r="B65" s="1">
        <f t="shared" si="7"/>
        <v>6</v>
      </c>
      <c r="C65" s="2">
        <f t="shared" ca="1" si="1"/>
        <v>29322837.103447266</v>
      </c>
      <c r="D65" s="5">
        <f t="shared" ca="1" si="8"/>
        <v>0</v>
      </c>
      <c r="E65" s="2">
        <f t="shared" ca="1" si="9"/>
        <v>4772929.5278413333</v>
      </c>
      <c r="F65" s="2">
        <f t="shared" si="10"/>
        <v>2685877.0746601247</v>
      </c>
      <c r="G65" s="2">
        <f t="shared" ca="1" si="2"/>
        <v>954585.90556826675</v>
      </c>
      <c r="H65" s="5">
        <f t="shared" ca="1" si="3"/>
        <v>1.7265281605182148E-2</v>
      </c>
      <c r="I65" s="2">
        <f t="shared" ca="1" si="4"/>
        <v>522748.23452987464</v>
      </c>
      <c r="J65" s="2">
        <f t="shared" ca="1" si="5"/>
        <v>30800171.243545409</v>
      </c>
      <c r="K65" s="2">
        <f t="shared" ca="1" si="11"/>
        <v>172033137.95798492</v>
      </c>
      <c r="L65" s="5">
        <f t="shared" ca="1" si="0"/>
        <v>0.17903626946029219</v>
      </c>
      <c r="N65" s="1" t="s">
        <v>83</v>
      </c>
      <c r="O65" s="4">
        <v>20960382471.584648</v>
      </c>
      <c r="P65" s="10">
        <v>4.4787483864892597</v>
      </c>
      <c r="Q65" s="1">
        <v>126</v>
      </c>
    </row>
    <row r="66" spans="1:17" x14ac:dyDescent="0.3">
      <c r="A66" s="1">
        <f t="shared" si="6"/>
        <v>5</v>
      </c>
      <c r="B66" s="1">
        <f t="shared" si="7"/>
        <v>7</v>
      </c>
      <c r="C66" s="2">
        <f t="shared" ca="1" si="1"/>
        <v>30800171.243545409</v>
      </c>
      <c r="D66" s="5">
        <f t="shared" ca="1" si="8"/>
        <v>0</v>
      </c>
      <c r="E66" s="2">
        <f t="shared" ca="1" si="9"/>
        <v>4772929.5278413333</v>
      </c>
      <c r="F66" s="2">
        <f t="shared" si="10"/>
        <v>2685877.0746601247</v>
      </c>
      <c r="G66" s="2">
        <f t="shared" ca="1" si="2"/>
        <v>477292.95278413338</v>
      </c>
      <c r="H66" s="5">
        <f t="shared" ca="1" si="3"/>
        <v>1.5904515022692189E-2</v>
      </c>
      <c r="I66" s="2">
        <f t="shared" ca="1" si="4"/>
        <v>497452.8991822403</v>
      </c>
      <c r="J66" s="2">
        <f t="shared" ca="1" si="5"/>
        <v>31774917.095511783</v>
      </c>
      <c r="K66" s="2">
        <f t="shared" ca="1" si="11"/>
        <v>172033137.95798492</v>
      </c>
      <c r="L66" s="5">
        <f t="shared" ca="1" si="0"/>
        <v>0.18470230487379741</v>
      </c>
      <c r="N66" s="1" t="s">
        <v>84</v>
      </c>
      <c r="O66" s="4">
        <v>20935753309.572598</v>
      </c>
      <c r="P66" s="10">
        <v>4.6725155723504086</v>
      </c>
      <c r="Q66" s="1">
        <v>127</v>
      </c>
    </row>
    <row r="67" spans="1:17" x14ac:dyDescent="0.3">
      <c r="A67" s="1">
        <f t="shared" si="6"/>
        <v>5</v>
      </c>
      <c r="B67" s="1">
        <f t="shared" si="7"/>
        <v>8</v>
      </c>
      <c r="C67" s="2">
        <f t="shared" ca="1" si="1"/>
        <v>31774917.095511783</v>
      </c>
      <c r="D67" s="5">
        <f t="shared" ca="1" si="8"/>
        <v>0</v>
      </c>
      <c r="E67" s="2">
        <f t="shared" ca="1" si="9"/>
        <v>4772929.5278413333</v>
      </c>
      <c r="F67" s="2">
        <f t="shared" si="10"/>
        <v>2685877.0746601247</v>
      </c>
      <c r="G67" s="2">
        <f t="shared" ca="1" si="2"/>
        <v>477292.95278413338</v>
      </c>
      <c r="H67" s="5">
        <f t="shared" ca="1" si="3"/>
        <v>1.4479234912498695E-2</v>
      </c>
      <c r="I67" s="2">
        <f t="shared" ca="1" si="4"/>
        <v>466987.32573652745</v>
      </c>
      <c r="J67" s="2">
        <f t="shared" ca="1" si="5"/>
        <v>32719197.374032442</v>
      </c>
      <c r="K67" s="2">
        <f t="shared" ca="1" si="11"/>
        <v>172033137.95798492</v>
      </c>
      <c r="L67" s="5">
        <f t="shared" ca="1" si="0"/>
        <v>0.19019124897915507</v>
      </c>
      <c r="N67" s="1" t="s">
        <v>85</v>
      </c>
      <c r="O67" s="4">
        <v>18082221974.772564</v>
      </c>
      <c r="P67" s="10">
        <v>2.7179233366672393</v>
      </c>
      <c r="Q67" s="1">
        <v>130</v>
      </c>
    </row>
    <row r="68" spans="1:17" x14ac:dyDescent="0.3">
      <c r="A68" s="1">
        <f t="shared" si="6"/>
        <v>5</v>
      </c>
      <c r="B68" s="1">
        <f t="shared" si="7"/>
        <v>9</v>
      </c>
      <c r="C68" s="2">
        <f t="shared" ca="1" si="1"/>
        <v>32719197.374032442</v>
      </c>
      <c r="D68" s="5">
        <f t="shared" ca="1" si="8"/>
        <v>0</v>
      </c>
      <c r="E68" s="2">
        <f t="shared" ca="1" si="9"/>
        <v>4772929.5278413333</v>
      </c>
      <c r="F68" s="2">
        <f t="shared" si="10"/>
        <v>2685877.0746601247</v>
      </c>
      <c r="G68" s="2">
        <f t="shared" ca="1" si="2"/>
        <v>477292.95278413338</v>
      </c>
      <c r="H68" s="5">
        <f t="shared" ca="1" si="3"/>
        <v>1.4794228554775746E-2</v>
      </c>
      <c r="I68" s="2">
        <f t="shared" ca="1" si="4"/>
        <v>491116.4651113266</v>
      </c>
      <c r="J68" s="2">
        <f t="shared" ca="1" si="5"/>
        <v>33687606.791927904</v>
      </c>
      <c r="K68" s="2">
        <f t="shared" ca="1" si="11"/>
        <v>172033137.95798492</v>
      </c>
      <c r="L68" s="5">
        <f t="shared" ca="1" si="0"/>
        <v>0.19582045175595944</v>
      </c>
      <c r="N68" s="1" t="s">
        <v>86</v>
      </c>
      <c r="O68" s="4">
        <v>19042140304.940857</v>
      </c>
      <c r="P68" s="10">
        <v>4.4517392321889897</v>
      </c>
      <c r="Q68" s="1">
        <v>130</v>
      </c>
    </row>
    <row r="69" spans="1:17" x14ac:dyDescent="0.3">
      <c r="A69" s="1">
        <f t="shared" si="6"/>
        <v>5</v>
      </c>
      <c r="B69" s="1">
        <f t="shared" si="7"/>
        <v>10</v>
      </c>
      <c r="C69" s="2">
        <f t="shared" ca="1" si="1"/>
        <v>33687606.791927904</v>
      </c>
      <c r="D69" s="5">
        <f t="shared" ca="1" si="8"/>
        <v>0</v>
      </c>
      <c r="E69" s="2">
        <f t="shared" ca="1" si="9"/>
        <v>4772929.5278413333</v>
      </c>
      <c r="F69" s="2">
        <f t="shared" si="10"/>
        <v>2685877.0746601247</v>
      </c>
      <c r="G69" s="2">
        <f t="shared" ca="1" si="2"/>
        <v>477292.95278413338</v>
      </c>
      <c r="H69" s="5">
        <f t="shared" ca="1" si="3"/>
        <v>1.5394521817240214E-2</v>
      </c>
      <c r="I69" s="2">
        <f t="shared" ca="1" si="4"/>
        <v>525952.29450379417</v>
      </c>
      <c r="J69" s="2">
        <f t="shared" ca="1" si="5"/>
        <v>34690852.039215833</v>
      </c>
      <c r="K69" s="2">
        <f t="shared" ca="1" si="11"/>
        <v>172033137.95798492</v>
      </c>
      <c r="L69" s="5">
        <f t="shared" ca="1" si="0"/>
        <v>0.20165214941140155</v>
      </c>
      <c r="N69" s="1" t="s">
        <v>87</v>
      </c>
      <c r="O69" s="4">
        <v>20267130884.939201</v>
      </c>
      <c r="P69" s="10">
        <v>3.7429925844663496</v>
      </c>
      <c r="Q69" s="1">
        <v>127</v>
      </c>
    </row>
    <row r="70" spans="1:17" x14ac:dyDescent="0.3">
      <c r="A70" s="1">
        <f t="shared" si="6"/>
        <v>5</v>
      </c>
      <c r="B70" s="1">
        <f t="shared" si="7"/>
        <v>11</v>
      </c>
      <c r="C70" s="2">
        <f t="shared" ca="1" si="1"/>
        <v>34690852.039215833</v>
      </c>
      <c r="D70" s="5">
        <f t="shared" ca="1" si="8"/>
        <v>0</v>
      </c>
      <c r="E70" s="2">
        <f t="shared" ca="1" si="9"/>
        <v>4772929.5278413333</v>
      </c>
      <c r="F70" s="2">
        <f t="shared" si="10"/>
        <v>2685877.0746601247</v>
      </c>
      <c r="G70" s="2">
        <f t="shared" ca="1" si="2"/>
        <v>477292.95278413338</v>
      </c>
      <c r="H70" s="5">
        <f t="shared" ca="1" si="3"/>
        <v>1.7968372114578912E-2</v>
      </c>
      <c r="I70" s="2">
        <f t="shared" ca="1" si="4"/>
        <v>631914.31579572021</v>
      </c>
      <c r="J70" s="2">
        <f t="shared" ca="1" si="5"/>
        <v>35800059.307795689</v>
      </c>
      <c r="K70" s="2">
        <f t="shared" ca="1" si="11"/>
        <v>172033137.95798492</v>
      </c>
      <c r="L70" s="5">
        <f t="shared" ca="1" si="0"/>
        <v>0.20809978666167803</v>
      </c>
      <c r="N70" s="1" t="s">
        <v>88</v>
      </c>
      <c r="O70" s="4">
        <v>19124600213.052158</v>
      </c>
      <c r="P70" s="10">
        <v>3.8050438385048073</v>
      </c>
      <c r="Q70" s="1">
        <v>129</v>
      </c>
    </row>
    <row r="71" spans="1:17" x14ac:dyDescent="0.3">
      <c r="A71" s="1">
        <f t="shared" si="6"/>
        <v>5</v>
      </c>
      <c r="B71" s="1">
        <f t="shared" si="7"/>
        <v>12</v>
      </c>
      <c r="C71" s="2">
        <f t="shared" ca="1" si="1"/>
        <v>35800059.307795689</v>
      </c>
      <c r="D71" s="5">
        <f t="shared" ca="1" si="8"/>
        <v>0</v>
      </c>
      <c r="E71" s="2">
        <f t="shared" ca="1" si="9"/>
        <v>4772929.5278413333</v>
      </c>
      <c r="F71" s="2">
        <f t="shared" si="10"/>
        <v>2685877.0746601247</v>
      </c>
      <c r="G71" s="2">
        <f t="shared" ca="1" si="2"/>
        <v>954585.90556826675</v>
      </c>
      <c r="H71" s="5">
        <f t="shared" ca="1" si="3"/>
        <v>1.4160719695438306E-2</v>
      </c>
      <c r="I71" s="2">
        <f t="shared" ca="1" si="4"/>
        <v>520472.22837173019</v>
      </c>
      <c r="J71" s="2">
        <f t="shared" ca="1" si="5"/>
        <v>37275117.441735685</v>
      </c>
      <c r="K71" s="2">
        <f t="shared" ca="1" si="11"/>
        <v>172033137.95798492</v>
      </c>
      <c r="L71" s="5">
        <f t="shared" ca="1" si="0"/>
        <v>0.21667405410485077</v>
      </c>
      <c r="N71" s="1" t="s">
        <v>89</v>
      </c>
      <c r="O71" s="4">
        <v>17821670350.64201</v>
      </c>
      <c r="P71" s="10">
        <v>2.4707368343086991</v>
      </c>
      <c r="Q71" s="1">
        <v>130</v>
      </c>
    </row>
    <row r="72" spans="1:17" x14ac:dyDescent="0.3">
      <c r="A72" s="1">
        <f t="shared" si="6"/>
        <v>6</v>
      </c>
      <c r="B72" s="1">
        <f t="shared" si="7"/>
        <v>1</v>
      </c>
      <c r="C72" s="2">
        <f t="shared" ca="1" si="1"/>
        <v>37275117.441735685</v>
      </c>
      <c r="D72" s="5">
        <f t="shared" ca="1" si="8"/>
        <v>4.8435894897102864E-2</v>
      </c>
      <c r="E72" s="2">
        <f t="shared" ca="1" si="9"/>
        <v>5004110.640803135</v>
      </c>
      <c r="F72" s="2">
        <f t="shared" si="10"/>
        <v>2891346.6708716243</v>
      </c>
      <c r="G72" s="2">
        <f t="shared" ca="1" si="2"/>
        <v>500411.06408031355</v>
      </c>
      <c r="H72" s="5">
        <f t="shared" ca="1" si="3"/>
        <v>1.6089128157872779E-2</v>
      </c>
      <c r="I72" s="2">
        <f t="shared" ca="1" si="4"/>
        <v>607775.31936145003</v>
      </c>
      <c r="J72" s="2">
        <f t="shared" ca="1" si="5"/>
        <v>38383303.825177446</v>
      </c>
      <c r="K72" s="2">
        <f t="shared" ca="1" si="11"/>
        <v>179831351.30653763</v>
      </c>
      <c r="L72" s="5">
        <f t="shared" ca="1" si="0"/>
        <v>0.21344055720156316</v>
      </c>
      <c r="N72" s="1" t="s">
        <v>90</v>
      </c>
      <c r="O72" s="4">
        <v>18227370741.416927</v>
      </c>
      <c r="P72" s="10">
        <v>3.1497559916969684</v>
      </c>
      <c r="Q72" s="1">
        <v>128</v>
      </c>
    </row>
    <row r="73" spans="1:17" x14ac:dyDescent="0.3">
      <c r="A73" s="1">
        <f t="shared" si="6"/>
        <v>6</v>
      </c>
      <c r="B73" s="1">
        <f t="shared" si="7"/>
        <v>2</v>
      </c>
      <c r="C73" s="2">
        <f t="shared" ca="1" si="1"/>
        <v>38383303.825177446</v>
      </c>
      <c r="D73" s="5">
        <f t="shared" ca="1" si="8"/>
        <v>0</v>
      </c>
      <c r="E73" s="2">
        <f t="shared" ca="1" si="9"/>
        <v>5004110.640803135</v>
      </c>
      <c r="F73" s="2">
        <f t="shared" si="10"/>
        <v>2891346.6708716243</v>
      </c>
      <c r="G73" s="2">
        <f t="shared" ca="1" si="2"/>
        <v>500411.06408031355</v>
      </c>
      <c r="H73" s="5">
        <f t="shared" ca="1" si="3"/>
        <v>1.307670575651243E-2</v>
      </c>
      <c r="I73" s="2">
        <f t="shared" ca="1" si="4"/>
        <v>508470.89832694503</v>
      </c>
      <c r="J73" s="2">
        <f t="shared" ca="1" si="5"/>
        <v>39392185.787584707</v>
      </c>
      <c r="K73" s="2">
        <f t="shared" ca="1" si="11"/>
        <v>179831351.30653763</v>
      </c>
      <c r="L73" s="5">
        <f t="shared" ca="1" si="0"/>
        <v>0.21905071335663504</v>
      </c>
      <c r="N73" s="1" t="s">
        <v>91</v>
      </c>
      <c r="O73" s="4">
        <v>19162137775.389084</v>
      </c>
      <c r="P73" s="10">
        <v>3.4483694296225282</v>
      </c>
      <c r="Q73" s="1">
        <v>128</v>
      </c>
    </row>
    <row r="74" spans="1:17" x14ac:dyDescent="0.3">
      <c r="A74" s="1">
        <f t="shared" si="6"/>
        <v>6</v>
      </c>
      <c r="B74" s="1">
        <f t="shared" si="7"/>
        <v>3</v>
      </c>
      <c r="C74" s="2">
        <f t="shared" ca="1" si="1"/>
        <v>39392185.787584707</v>
      </c>
      <c r="D74" s="5">
        <f t="shared" ca="1" si="8"/>
        <v>0</v>
      </c>
      <c r="E74" s="2">
        <f t="shared" ca="1" si="9"/>
        <v>5004110.640803135</v>
      </c>
      <c r="F74" s="2">
        <f t="shared" si="10"/>
        <v>2891346.6708716243</v>
      </c>
      <c r="G74" s="2">
        <f t="shared" ca="1" si="2"/>
        <v>500411.06408031355</v>
      </c>
      <c r="H74" s="5">
        <f t="shared" ca="1" si="3"/>
        <v>1.6387872142024973E-2</v>
      </c>
      <c r="I74" s="2">
        <f t="shared" ca="1" si="4"/>
        <v>653754.77661843435</v>
      </c>
      <c r="J74" s="2">
        <f t="shared" ca="1" si="5"/>
        <v>40546351.628283456</v>
      </c>
      <c r="K74" s="2">
        <f t="shared" ca="1" si="11"/>
        <v>179831351.30653763</v>
      </c>
      <c r="L74" s="5">
        <f t="shared" ca="1" si="0"/>
        <v>0.2254687591106892</v>
      </c>
      <c r="N74" s="1" t="s">
        <v>92</v>
      </c>
      <c r="O74" s="4">
        <v>16862325240.104589</v>
      </c>
      <c r="P74" s="10">
        <v>2.9293169870295959</v>
      </c>
      <c r="Q74" s="1">
        <v>131</v>
      </c>
    </row>
    <row r="75" spans="1:17" x14ac:dyDescent="0.3">
      <c r="A75" s="1">
        <f t="shared" si="6"/>
        <v>6</v>
      </c>
      <c r="B75" s="1">
        <f t="shared" si="7"/>
        <v>4</v>
      </c>
      <c r="C75" s="2">
        <f t="shared" ca="1" si="1"/>
        <v>40546351.628283456</v>
      </c>
      <c r="D75" s="5">
        <f t="shared" ca="1" si="8"/>
        <v>0</v>
      </c>
      <c r="E75" s="2">
        <f t="shared" ca="1" si="9"/>
        <v>5004110.640803135</v>
      </c>
      <c r="F75" s="2">
        <f t="shared" si="10"/>
        <v>2891346.6708716243</v>
      </c>
      <c r="G75" s="2">
        <f t="shared" ca="1" si="2"/>
        <v>500411.06408031355</v>
      </c>
      <c r="H75" s="5">
        <f t="shared" ca="1" si="3"/>
        <v>1.6807520742794679E-2</v>
      </c>
      <c r="I75" s="2">
        <f t="shared" ca="1" si="4"/>
        <v>689894.31537647487</v>
      </c>
      <c r="J75" s="2">
        <f t="shared" ca="1" si="5"/>
        <v>41736657.007740244</v>
      </c>
      <c r="K75" s="2">
        <f t="shared" ca="1" si="11"/>
        <v>179831351.30653763</v>
      </c>
      <c r="L75" s="5">
        <f t="shared" ca="1" si="0"/>
        <v>0.23208776837024714</v>
      </c>
      <c r="N75" s="1" t="s">
        <v>93</v>
      </c>
      <c r="O75" s="4">
        <v>20066500806.018597</v>
      </c>
      <c r="P75" s="10">
        <v>3.229598365998529</v>
      </c>
      <c r="Q75" s="1">
        <v>128</v>
      </c>
    </row>
    <row r="76" spans="1:17" x14ac:dyDescent="0.3">
      <c r="A76" s="1">
        <f t="shared" si="6"/>
        <v>6</v>
      </c>
      <c r="B76" s="1">
        <f t="shared" si="7"/>
        <v>5</v>
      </c>
      <c r="C76" s="2">
        <f t="shared" ca="1" si="1"/>
        <v>41736657.007740244</v>
      </c>
      <c r="D76" s="5">
        <f t="shared" ca="1" si="8"/>
        <v>0</v>
      </c>
      <c r="E76" s="2">
        <f t="shared" ca="1" si="9"/>
        <v>5004110.640803135</v>
      </c>
      <c r="F76" s="2">
        <f t="shared" si="10"/>
        <v>2891346.6708716243</v>
      </c>
      <c r="G76" s="2">
        <f t="shared" ca="1" si="2"/>
        <v>500411.06408031355</v>
      </c>
      <c r="H76" s="5">
        <f t="shared" ca="1" si="3"/>
        <v>1.4489647533211247E-2</v>
      </c>
      <c r="I76" s="2">
        <f t="shared" ca="1" si="4"/>
        <v>612000.2291969303</v>
      </c>
      <c r="J76" s="2">
        <f t="shared" ca="1" si="5"/>
        <v>42849068.301017486</v>
      </c>
      <c r="K76" s="2">
        <f t="shared" ca="1" si="11"/>
        <v>179831351.30653763</v>
      </c>
      <c r="L76" s="5">
        <f t="shared" ref="L76:L139" ca="1" si="12">(J76/K76)</f>
        <v>0.23827362687153283</v>
      </c>
      <c r="N76" s="1" t="s">
        <v>94</v>
      </c>
      <c r="O76" s="4">
        <v>16668350869.084244</v>
      </c>
      <c r="P76" s="10">
        <v>2.4798542854089392</v>
      </c>
      <c r="Q76" s="1">
        <v>131</v>
      </c>
    </row>
    <row r="77" spans="1:17" x14ac:dyDescent="0.3">
      <c r="A77" s="1">
        <f t="shared" si="6"/>
        <v>6</v>
      </c>
      <c r="B77" s="1">
        <f t="shared" si="7"/>
        <v>6</v>
      </c>
      <c r="C77" s="2">
        <f t="shared" ref="C77:C140" ca="1" si="13">J76</f>
        <v>42849068.301017486</v>
      </c>
      <c r="D77" s="5">
        <f t="shared" ca="1" si="8"/>
        <v>0</v>
      </c>
      <c r="E77" s="2">
        <f t="shared" ca="1" si="9"/>
        <v>5004110.640803135</v>
      </c>
      <c r="F77" s="2">
        <f t="shared" si="10"/>
        <v>2891346.6708716243</v>
      </c>
      <c r="G77" s="2">
        <f t="shared" ref="G77:G140" ca="1" si="14">IF(OR(B77=6,B77=12),E77*$B$2*2,E77*$B$2)</f>
        <v>1000822.1281606271</v>
      </c>
      <c r="H77" s="5">
        <f t="shared" ref="H77:H140" ca="1" si="15">(NORMINV(RAND(),$E$3,$F$3)+1)^(1/12)-1</f>
        <v>1.2537053645230056E-2</v>
      </c>
      <c r="I77" s="2">
        <f t="shared" ref="I77:I140" ca="1" si="16">(J76+G77)*H77</f>
        <v>549748.42864806601</v>
      </c>
      <c r="J77" s="2">
        <f t="shared" ref="J77:J140" ca="1" si="17">G77+C77+I77</f>
        <v>44399638.857826181</v>
      </c>
      <c r="K77" s="2">
        <f t="shared" ca="1" si="11"/>
        <v>179831351.30653763</v>
      </c>
      <c r="L77" s="5">
        <f t="shared" ca="1" si="12"/>
        <v>0.24689598635191964</v>
      </c>
      <c r="N77" s="1" t="s">
        <v>95</v>
      </c>
      <c r="O77" s="4">
        <v>19913913499.071156</v>
      </c>
      <c r="P77" s="10">
        <v>3.097028540335812</v>
      </c>
      <c r="Q77" s="1">
        <v>127</v>
      </c>
    </row>
    <row r="78" spans="1:17" x14ac:dyDescent="0.3">
      <c r="A78" s="1">
        <f t="shared" ref="A78:A141" si="18">IF(B78=1,A77+1,A77)</f>
        <v>6</v>
      </c>
      <c r="B78" s="1">
        <f t="shared" ref="B78:B141" si="19">IF(B77=12,1,B77+1)</f>
        <v>7</v>
      </c>
      <c r="C78" s="2">
        <f t="shared" ca="1" si="13"/>
        <v>44399638.857826181</v>
      </c>
      <c r="D78" s="5">
        <f t="shared" ref="D78:D141" ca="1" si="20">IF(B78&lt;&gt;1,0,LOGINV(RAND(),LN($E$6),SQRT($F$6)))</f>
        <v>0</v>
      </c>
      <c r="E78" s="2">
        <f t="shared" ref="E78:E141" ca="1" si="21">IF(B78&lt;&gt;1,E77,IF(AND(A78=3,B78=1),E77*2,IF(AND(A78=10,B78=1),E77*2,E77*(1+IF(E77&gt;F77,D78,$B$4)))))</f>
        <v>5004110.640803135</v>
      </c>
      <c r="F78" s="2">
        <f t="shared" ref="F78:F141" si="22">IF(B78&lt;&gt;1,F77,F77*(1+$B$4))</f>
        <v>2891346.6708716243</v>
      </c>
      <c r="G78" s="2">
        <f t="shared" ca="1" si="14"/>
        <v>500411.06408031355</v>
      </c>
      <c r="H78" s="5">
        <f t="shared" ca="1" si="15"/>
        <v>1.5329444844503159E-2</v>
      </c>
      <c r="I78" s="2">
        <f t="shared" ca="1" si="16"/>
        <v>688292.83879330393</v>
      </c>
      <c r="J78" s="2">
        <f t="shared" ca="1" si="17"/>
        <v>45588342.760699801</v>
      </c>
      <c r="K78" s="2">
        <f t="shared" ref="K78:K141" ca="1" si="23">IF(B78=1,K77*(1+NORMINV(RAND(),$E$5,$F$5)),K77)</f>
        <v>179831351.30653763</v>
      </c>
      <c r="L78" s="5">
        <f t="shared" ca="1" si="12"/>
        <v>0.25350609017551473</v>
      </c>
      <c r="N78" s="1" t="s">
        <v>96</v>
      </c>
      <c r="O78" s="4">
        <v>18450130814.401161</v>
      </c>
      <c r="P78" s="10">
        <v>3.5232899045741446</v>
      </c>
      <c r="Q78" s="1">
        <v>130</v>
      </c>
    </row>
    <row r="79" spans="1:17" x14ac:dyDescent="0.3">
      <c r="A79" s="1">
        <f t="shared" si="18"/>
        <v>6</v>
      </c>
      <c r="B79" s="1">
        <f t="shared" si="19"/>
        <v>8</v>
      </c>
      <c r="C79" s="2">
        <f t="shared" ca="1" si="13"/>
        <v>45588342.760699801</v>
      </c>
      <c r="D79" s="5">
        <f t="shared" ca="1" si="20"/>
        <v>0</v>
      </c>
      <c r="E79" s="2">
        <f t="shared" ca="1" si="21"/>
        <v>5004110.640803135</v>
      </c>
      <c r="F79" s="2">
        <f t="shared" si="22"/>
        <v>2891346.6708716243</v>
      </c>
      <c r="G79" s="2">
        <f t="shared" ca="1" si="14"/>
        <v>500411.06408031355</v>
      </c>
      <c r="H79" s="5">
        <f t="shared" ca="1" si="15"/>
        <v>1.9202114591985397E-2</v>
      </c>
      <c r="I79" s="2">
        <f t="shared" ca="1" si="16"/>
        <v>885001.53234523302</v>
      </c>
      <c r="J79" s="2">
        <f t="shared" ca="1" si="17"/>
        <v>46973755.357125349</v>
      </c>
      <c r="K79" s="2">
        <f t="shared" ca="1" si="23"/>
        <v>179831351.30653763</v>
      </c>
      <c r="L79" s="5">
        <f t="shared" ca="1" si="12"/>
        <v>0.2612100449440245</v>
      </c>
      <c r="N79" s="1" t="s">
        <v>97</v>
      </c>
      <c r="O79" s="4">
        <v>20125058263.499245</v>
      </c>
      <c r="P79" s="10">
        <v>4.615805669048612</v>
      </c>
      <c r="Q79" s="1">
        <v>129</v>
      </c>
    </row>
    <row r="80" spans="1:17" x14ac:dyDescent="0.3">
      <c r="A80" s="1">
        <f t="shared" si="18"/>
        <v>6</v>
      </c>
      <c r="B80" s="1">
        <f t="shared" si="19"/>
        <v>9</v>
      </c>
      <c r="C80" s="2">
        <f t="shared" ca="1" si="13"/>
        <v>46973755.357125349</v>
      </c>
      <c r="D80" s="5">
        <f t="shared" ca="1" si="20"/>
        <v>0</v>
      </c>
      <c r="E80" s="2">
        <f t="shared" ca="1" si="21"/>
        <v>5004110.640803135</v>
      </c>
      <c r="F80" s="2">
        <f t="shared" si="22"/>
        <v>2891346.6708716243</v>
      </c>
      <c r="G80" s="2">
        <f t="shared" ca="1" si="14"/>
        <v>500411.06408031355</v>
      </c>
      <c r="H80" s="5">
        <f t="shared" ca="1" si="15"/>
        <v>1.6118494287935103E-2</v>
      </c>
      <c r="I80" s="2">
        <f t="shared" ca="1" si="16"/>
        <v>765212.08028468397</v>
      </c>
      <c r="J80" s="2">
        <f t="shared" ca="1" si="17"/>
        <v>48239378.501490347</v>
      </c>
      <c r="K80" s="2">
        <f t="shared" ca="1" si="23"/>
        <v>179831351.30653763</v>
      </c>
      <c r="L80" s="5">
        <f t="shared" ca="1" si="12"/>
        <v>0.26824787864304195</v>
      </c>
      <c r="N80" s="1" t="s">
        <v>98</v>
      </c>
      <c r="O80" s="4">
        <v>16608029631.058407</v>
      </c>
      <c r="P80" s="10">
        <v>3.1036331683286984</v>
      </c>
      <c r="Q80" s="1">
        <v>132</v>
      </c>
    </row>
    <row r="81" spans="1:17" x14ac:dyDescent="0.3">
      <c r="A81" s="1">
        <f t="shared" si="18"/>
        <v>6</v>
      </c>
      <c r="B81" s="1">
        <f t="shared" si="19"/>
        <v>10</v>
      </c>
      <c r="C81" s="2">
        <f t="shared" ca="1" si="13"/>
        <v>48239378.501490347</v>
      </c>
      <c r="D81" s="5">
        <f t="shared" ca="1" si="20"/>
        <v>0</v>
      </c>
      <c r="E81" s="2">
        <f t="shared" ca="1" si="21"/>
        <v>5004110.640803135</v>
      </c>
      <c r="F81" s="2">
        <f t="shared" si="22"/>
        <v>2891346.6708716243</v>
      </c>
      <c r="G81" s="2">
        <f t="shared" ca="1" si="14"/>
        <v>500411.06408031355</v>
      </c>
      <c r="H81" s="5">
        <f t="shared" ca="1" si="15"/>
        <v>1.3722267246284447E-2</v>
      </c>
      <c r="I81" s="2">
        <f t="shared" ca="1" si="16"/>
        <v>668820.41794642678</v>
      </c>
      <c r="J81" s="2">
        <f t="shared" ca="1" si="17"/>
        <v>49408609.983517088</v>
      </c>
      <c r="K81" s="2">
        <f t="shared" ca="1" si="23"/>
        <v>179831351.30653763</v>
      </c>
      <c r="L81" s="5">
        <f t="shared" ca="1" si="12"/>
        <v>0.27474970089779266</v>
      </c>
      <c r="N81" s="1" t="s">
        <v>99</v>
      </c>
      <c r="O81" s="4">
        <v>18828001110.604565</v>
      </c>
      <c r="P81" s="10">
        <v>2.8312150052117131</v>
      </c>
      <c r="Q81" s="1">
        <v>127</v>
      </c>
    </row>
    <row r="82" spans="1:17" x14ac:dyDescent="0.3">
      <c r="A82" s="1">
        <f t="shared" si="18"/>
        <v>6</v>
      </c>
      <c r="B82" s="1">
        <f t="shared" si="19"/>
        <v>11</v>
      </c>
      <c r="C82" s="2">
        <f t="shared" ca="1" si="13"/>
        <v>49408609.983517088</v>
      </c>
      <c r="D82" s="5">
        <f t="shared" ca="1" si="20"/>
        <v>0</v>
      </c>
      <c r="E82" s="2">
        <f t="shared" ca="1" si="21"/>
        <v>5004110.640803135</v>
      </c>
      <c r="F82" s="2">
        <f t="shared" si="22"/>
        <v>2891346.6708716243</v>
      </c>
      <c r="G82" s="2">
        <f t="shared" ca="1" si="14"/>
        <v>500411.06408031355</v>
      </c>
      <c r="H82" s="5">
        <f t="shared" ca="1" si="15"/>
        <v>1.6638504500606777E-2</v>
      </c>
      <c r="I82" s="2">
        <f t="shared" ca="1" si="16"/>
        <v>830411.47132132773</v>
      </c>
      <c r="J82" s="2">
        <f t="shared" ca="1" si="17"/>
        <v>50739432.51891873</v>
      </c>
      <c r="K82" s="2">
        <f t="shared" ca="1" si="23"/>
        <v>179831351.30653763</v>
      </c>
      <c r="L82" s="5">
        <f t="shared" ca="1" si="12"/>
        <v>0.28215009313047484</v>
      </c>
      <c r="N82" s="1" t="s">
        <v>100</v>
      </c>
      <c r="O82" s="4">
        <v>19789596908.224632</v>
      </c>
      <c r="P82" s="10">
        <v>5.4630965323096223</v>
      </c>
      <c r="Q82" s="1">
        <v>131</v>
      </c>
    </row>
    <row r="83" spans="1:17" x14ac:dyDescent="0.3">
      <c r="A83" s="1">
        <f t="shared" si="18"/>
        <v>6</v>
      </c>
      <c r="B83" s="1">
        <f t="shared" si="19"/>
        <v>12</v>
      </c>
      <c r="C83" s="2">
        <f t="shared" ca="1" si="13"/>
        <v>50739432.51891873</v>
      </c>
      <c r="D83" s="5">
        <f t="shared" ca="1" si="20"/>
        <v>0</v>
      </c>
      <c r="E83" s="2">
        <f t="shared" ca="1" si="21"/>
        <v>5004110.640803135</v>
      </c>
      <c r="F83" s="2">
        <f t="shared" si="22"/>
        <v>2891346.6708716243</v>
      </c>
      <c r="G83" s="2">
        <f t="shared" ca="1" si="14"/>
        <v>1000822.1281606271</v>
      </c>
      <c r="H83" s="5">
        <f t="shared" ca="1" si="15"/>
        <v>1.6352584557000727E-2</v>
      </c>
      <c r="I83" s="2">
        <f t="shared" ca="1" si="16"/>
        <v>846086.88911711494</v>
      </c>
      <c r="J83" s="2">
        <f t="shared" ca="1" si="17"/>
        <v>52586341.53619647</v>
      </c>
      <c r="K83" s="2">
        <f t="shared" ca="1" si="23"/>
        <v>179831351.30653763</v>
      </c>
      <c r="L83" s="5">
        <f t="shared" ca="1" si="12"/>
        <v>0.29242032134073576</v>
      </c>
      <c r="N83" s="1" t="s">
        <v>101</v>
      </c>
      <c r="O83" s="4">
        <v>17046455044.932076</v>
      </c>
      <c r="P83" s="10">
        <v>2.6626794754148233</v>
      </c>
      <c r="Q83" s="1">
        <v>131</v>
      </c>
    </row>
    <row r="84" spans="1:17" x14ac:dyDescent="0.3">
      <c r="A84" s="1">
        <f t="shared" si="18"/>
        <v>7</v>
      </c>
      <c r="B84" s="1">
        <f t="shared" si="19"/>
        <v>1</v>
      </c>
      <c r="C84" s="2">
        <f t="shared" ca="1" si="13"/>
        <v>52586341.53619647</v>
      </c>
      <c r="D84" s="5">
        <f t="shared" ca="1" si="20"/>
        <v>6.2301691569486485E-2</v>
      </c>
      <c r="E84" s="2">
        <f t="shared" ca="1" si="21"/>
        <v>5315875.1985260379</v>
      </c>
      <c r="F84" s="2">
        <f t="shared" si="22"/>
        <v>3112534.6911933036</v>
      </c>
      <c r="G84" s="2">
        <f t="shared" ca="1" si="14"/>
        <v>531587.51985260379</v>
      </c>
      <c r="H84" s="5">
        <f t="shared" ca="1" si="15"/>
        <v>1.917729997134221E-2</v>
      </c>
      <c r="I84" s="2">
        <f t="shared" ca="1" si="16"/>
        <v>1018658.4593643274</v>
      </c>
      <c r="J84" s="2">
        <f t="shared" ca="1" si="17"/>
        <v>54136587.515413396</v>
      </c>
      <c r="K84" s="2">
        <f t="shared" ca="1" si="23"/>
        <v>186659260.8380169</v>
      </c>
      <c r="L84" s="5">
        <f t="shared" ca="1" si="12"/>
        <v>0.29002893975023925</v>
      </c>
      <c r="N84" s="1" t="s">
        <v>102</v>
      </c>
      <c r="O84" s="4">
        <v>18110792494.803436</v>
      </c>
      <c r="P84" s="10">
        <v>3.5080069869721178</v>
      </c>
      <c r="Q84" s="1">
        <v>130</v>
      </c>
    </row>
    <row r="85" spans="1:17" x14ac:dyDescent="0.3">
      <c r="A85" s="1">
        <f t="shared" si="18"/>
        <v>7</v>
      </c>
      <c r="B85" s="1">
        <f t="shared" si="19"/>
        <v>2</v>
      </c>
      <c r="C85" s="2">
        <f t="shared" ca="1" si="13"/>
        <v>54136587.515413396</v>
      </c>
      <c r="D85" s="5">
        <f t="shared" ca="1" si="20"/>
        <v>0</v>
      </c>
      <c r="E85" s="2">
        <f t="shared" ca="1" si="21"/>
        <v>5315875.1985260379</v>
      </c>
      <c r="F85" s="2">
        <f t="shared" si="22"/>
        <v>3112534.6911933036</v>
      </c>
      <c r="G85" s="2">
        <f t="shared" ca="1" si="14"/>
        <v>531587.51985260379</v>
      </c>
      <c r="H85" s="5">
        <f t="shared" ca="1" si="15"/>
        <v>1.4691589001437189E-2</v>
      </c>
      <c r="I85" s="2">
        <f t="shared" ca="1" si="16"/>
        <v>803162.35907675698</v>
      </c>
      <c r="J85" s="2">
        <f t="shared" ca="1" si="17"/>
        <v>55471337.39434275</v>
      </c>
      <c r="K85" s="2">
        <f t="shared" ca="1" si="23"/>
        <v>186659260.8380169</v>
      </c>
      <c r="L85" s="5">
        <f t="shared" ca="1" si="12"/>
        <v>0.29717966922884598</v>
      </c>
      <c r="N85" s="1" t="s">
        <v>103</v>
      </c>
      <c r="O85" s="4">
        <v>18456865245.723469</v>
      </c>
      <c r="P85" s="10">
        <v>3.3821906387250302</v>
      </c>
      <c r="Q85" s="1">
        <v>129</v>
      </c>
    </row>
    <row r="86" spans="1:17" x14ac:dyDescent="0.3">
      <c r="A86" s="1">
        <f t="shared" si="18"/>
        <v>7</v>
      </c>
      <c r="B86" s="1">
        <f t="shared" si="19"/>
        <v>3</v>
      </c>
      <c r="C86" s="2">
        <f t="shared" ca="1" si="13"/>
        <v>55471337.39434275</v>
      </c>
      <c r="D86" s="5">
        <f t="shared" ca="1" si="20"/>
        <v>0</v>
      </c>
      <c r="E86" s="2">
        <f t="shared" ca="1" si="21"/>
        <v>5315875.1985260379</v>
      </c>
      <c r="F86" s="2">
        <f t="shared" si="22"/>
        <v>3112534.6911933036</v>
      </c>
      <c r="G86" s="2">
        <f t="shared" ca="1" si="14"/>
        <v>531587.51985260379</v>
      </c>
      <c r="H86" s="5">
        <f t="shared" ca="1" si="15"/>
        <v>1.1601462917257166E-2</v>
      </c>
      <c r="I86" s="2">
        <f t="shared" ca="1" si="16"/>
        <v>649715.85664997483</v>
      </c>
      <c r="J86" s="2">
        <f t="shared" ca="1" si="17"/>
        <v>56652640.770845324</v>
      </c>
      <c r="K86" s="2">
        <f t="shared" ca="1" si="23"/>
        <v>186659260.8380169</v>
      </c>
      <c r="L86" s="5">
        <f t="shared" ca="1" si="12"/>
        <v>0.30350833125825216</v>
      </c>
      <c r="N86" s="1" t="s">
        <v>104</v>
      </c>
      <c r="O86" s="4">
        <v>19776430088.073536</v>
      </c>
      <c r="P86" s="10">
        <v>5.1088017242284751</v>
      </c>
      <c r="Q86" s="1">
        <v>128</v>
      </c>
    </row>
    <row r="87" spans="1:17" x14ac:dyDescent="0.3">
      <c r="A87" s="1">
        <f t="shared" si="18"/>
        <v>7</v>
      </c>
      <c r="B87" s="1">
        <f t="shared" si="19"/>
        <v>4</v>
      </c>
      <c r="C87" s="2">
        <f t="shared" ca="1" si="13"/>
        <v>56652640.770845324</v>
      </c>
      <c r="D87" s="5">
        <f t="shared" ca="1" si="20"/>
        <v>0</v>
      </c>
      <c r="E87" s="2">
        <f t="shared" ca="1" si="21"/>
        <v>5315875.1985260379</v>
      </c>
      <c r="F87" s="2">
        <f t="shared" si="22"/>
        <v>3112534.6911933036</v>
      </c>
      <c r="G87" s="2">
        <f t="shared" ca="1" si="14"/>
        <v>531587.51985260379</v>
      </c>
      <c r="H87" s="5">
        <f t="shared" ca="1" si="15"/>
        <v>1.7275953298447222E-2</v>
      </c>
      <c r="I87" s="2">
        <f t="shared" ca="1" si="16"/>
        <v>987912.05735784175</v>
      </c>
      <c r="J87" s="2">
        <f t="shared" ca="1" si="17"/>
        <v>58172140.348055765</v>
      </c>
      <c r="K87" s="2">
        <f t="shared" ca="1" si="23"/>
        <v>186659260.8380169</v>
      </c>
      <c r="L87" s="5">
        <f t="shared" ca="1" si="12"/>
        <v>0.31164883053157277</v>
      </c>
      <c r="N87" s="1" t="s">
        <v>105</v>
      </c>
      <c r="O87" s="4">
        <v>19327911877.491138</v>
      </c>
      <c r="P87" s="10">
        <v>4.2072733091745356</v>
      </c>
      <c r="Q87" s="1">
        <v>129</v>
      </c>
    </row>
    <row r="88" spans="1:17" x14ac:dyDescent="0.3">
      <c r="A88" s="1">
        <f t="shared" si="18"/>
        <v>7</v>
      </c>
      <c r="B88" s="1">
        <f t="shared" si="19"/>
        <v>5</v>
      </c>
      <c r="C88" s="2">
        <f t="shared" ca="1" si="13"/>
        <v>58172140.348055765</v>
      </c>
      <c r="D88" s="5">
        <f t="shared" ca="1" si="20"/>
        <v>0</v>
      </c>
      <c r="E88" s="2">
        <f t="shared" ca="1" si="21"/>
        <v>5315875.1985260379</v>
      </c>
      <c r="F88" s="2">
        <f t="shared" si="22"/>
        <v>3112534.6911933036</v>
      </c>
      <c r="G88" s="2">
        <f t="shared" ca="1" si="14"/>
        <v>531587.51985260379</v>
      </c>
      <c r="H88" s="5">
        <f t="shared" ca="1" si="15"/>
        <v>1.5940384237707717E-2</v>
      </c>
      <c r="I88" s="2">
        <f t="shared" ca="1" si="16"/>
        <v>935759.97840028978</v>
      </c>
      <c r="J88" s="2">
        <f t="shared" ca="1" si="17"/>
        <v>59639487.846308656</v>
      </c>
      <c r="K88" s="2">
        <f t="shared" ca="1" si="23"/>
        <v>186659260.8380169</v>
      </c>
      <c r="L88" s="5">
        <f t="shared" ca="1" si="12"/>
        <v>0.31950993258279248</v>
      </c>
      <c r="N88" s="1" t="s">
        <v>106</v>
      </c>
      <c r="O88" s="4">
        <v>18870999115.724724</v>
      </c>
      <c r="P88" s="10">
        <v>3.4422481433163168</v>
      </c>
      <c r="Q88" s="1">
        <v>126</v>
      </c>
    </row>
    <row r="89" spans="1:17" x14ac:dyDescent="0.3">
      <c r="A89" s="1">
        <f t="shared" si="18"/>
        <v>7</v>
      </c>
      <c r="B89" s="1">
        <f t="shared" si="19"/>
        <v>6</v>
      </c>
      <c r="C89" s="2">
        <f t="shared" ca="1" si="13"/>
        <v>59639487.846308656</v>
      </c>
      <c r="D89" s="5">
        <f t="shared" ca="1" si="20"/>
        <v>0</v>
      </c>
      <c r="E89" s="2">
        <f t="shared" ca="1" si="21"/>
        <v>5315875.1985260379</v>
      </c>
      <c r="F89" s="2">
        <f t="shared" si="22"/>
        <v>3112534.6911933036</v>
      </c>
      <c r="G89" s="2">
        <f t="shared" ca="1" si="14"/>
        <v>1063175.0397052076</v>
      </c>
      <c r="H89" s="5">
        <f t="shared" ca="1" si="15"/>
        <v>1.4741796100993465E-2</v>
      </c>
      <c r="I89" s="2">
        <f t="shared" ca="1" si="16"/>
        <v>894866.27905295987</v>
      </c>
      <c r="J89" s="2">
        <f t="shared" ca="1" si="17"/>
        <v>61597529.165066823</v>
      </c>
      <c r="K89" s="2">
        <f t="shared" ca="1" si="23"/>
        <v>186659260.8380169</v>
      </c>
      <c r="L89" s="5">
        <f t="shared" ca="1" si="12"/>
        <v>0.32999985582564384</v>
      </c>
      <c r="N89" s="1" t="s">
        <v>107</v>
      </c>
      <c r="O89" s="4">
        <v>24079397335.6735</v>
      </c>
      <c r="P89" s="10">
        <v>3.466845585306817</v>
      </c>
      <c r="Q89" s="1">
        <v>120</v>
      </c>
    </row>
    <row r="90" spans="1:17" x14ac:dyDescent="0.3">
      <c r="A90" s="1">
        <f t="shared" si="18"/>
        <v>7</v>
      </c>
      <c r="B90" s="1">
        <f t="shared" si="19"/>
        <v>7</v>
      </c>
      <c r="C90" s="2">
        <f t="shared" ca="1" si="13"/>
        <v>61597529.165066823</v>
      </c>
      <c r="D90" s="5">
        <f t="shared" ca="1" si="20"/>
        <v>0</v>
      </c>
      <c r="E90" s="2">
        <f t="shared" ca="1" si="21"/>
        <v>5315875.1985260379</v>
      </c>
      <c r="F90" s="2">
        <f t="shared" si="22"/>
        <v>3112534.6911933036</v>
      </c>
      <c r="G90" s="2">
        <f t="shared" ca="1" si="14"/>
        <v>531587.51985260379</v>
      </c>
      <c r="H90" s="5">
        <f t="shared" ca="1" si="15"/>
        <v>1.1490776503362055E-2</v>
      </c>
      <c r="I90" s="2">
        <f t="shared" ca="1" si="16"/>
        <v>713911.79417771148</v>
      </c>
      <c r="J90" s="2">
        <f t="shared" ca="1" si="17"/>
        <v>62843028.479097135</v>
      </c>
      <c r="K90" s="2">
        <f t="shared" ca="1" si="23"/>
        <v>186659260.8380169</v>
      </c>
      <c r="L90" s="5">
        <f t="shared" ca="1" si="12"/>
        <v>0.33667243830796256</v>
      </c>
      <c r="N90" s="1" t="s">
        <v>108</v>
      </c>
      <c r="O90" s="4">
        <v>17078035407.943047</v>
      </c>
      <c r="P90" s="10">
        <v>3.2199421540884323</v>
      </c>
      <c r="Q90" s="1">
        <v>132</v>
      </c>
    </row>
    <row r="91" spans="1:17" x14ac:dyDescent="0.3">
      <c r="A91" s="1">
        <f t="shared" si="18"/>
        <v>7</v>
      </c>
      <c r="B91" s="1">
        <f t="shared" si="19"/>
        <v>8</v>
      </c>
      <c r="C91" s="2">
        <f t="shared" ca="1" si="13"/>
        <v>62843028.479097135</v>
      </c>
      <c r="D91" s="5">
        <f t="shared" ca="1" si="20"/>
        <v>0</v>
      </c>
      <c r="E91" s="2">
        <f t="shared" ca="1" si="21"/>
        <v>5315875.1985260379</v>
      </c>
      <c r="F91" s="2">
        <f t="shared" si="22"/>
        <v>3112534.6911933036</v>
      </c>
      <c r="G91" s="2">
        <f t="shared" ca="1" si="14"/>
        <v>531587.51985260379</v>
      </c>
      <c r="H91" s="5">
        <f t="shared" ca="1" si="15"/>
        <v>1.8535173348888323E-2</v>
      </c>
      <c r="I91" s="2">
        <f t="shared" ca="1" si="16"/>
        <v>1174659.4934597646</v>
      </c>
      <c r="J91" s="2">
        <f t="shared" ca="1" si="17"/>
        <v>64549275.492409497</v>
      </c>
      <c r="K91" s="2">
        <f t="shared" ca="1" si="23"/>
        <v>186659260.8380169</v>
      </c>
      <c r="L91" s="5">
        <f t="shared" ca="1" si="12"/>
        <v>0.34581340996750987</v>
      </c>
      <c r="N91" s="1" t="s">
        <v>109</v>
      </c>
      <c r="O91" s="4">
        <v>18425655199.706013</v>
      </c>
      <c r="P91" s="10">
        <v>3.8261929373733796</v>
      </c>
      <c r="Q91" s="1">
        <v>131</v>
      </c>
    </row>
    <row r="92" spans="1:17" x14ac:dyDescent="0.3">
      <c r="A92" s="1">
        <f t="shared" si="18"/>
        <v>7</v>
      </c>
      <c r="B92" s="1">
        <f t="shared" si="19"/>
        <v>9</v>
      </c>
      <c r="C92" s="2">
        <f t="shared" ca="1" si="13"/>
        <v>64549275.492409497</v>
      </c>
      <c r="D92" s="5">
        <f t="shared" ca="1" si="20"/>
        <v>0</v>
      </c>
      <c r="E92" s="2">
        <f t="shared" ca="1" si="21"/>
        <v>5315875.1985260379</v>
      </c>
      <c r="F92" s="2">
        <f t="shared" si="22"/>
        <v>3112534.6911933036</v>
      </c>
      <c r="G92" s="2">
        <f t="shared" ca="1" si="14"/>
        <v>531587.51985260379</v>
      </c>
      <c r="H92" s="5">
        <f t="shared" ca="1" si="15"/>
        <v>1.2157521148193462E-2</v>
      </c>
      <c r="I92" s="2">
        <f t="shared" ca="1" si="16"/>
        <v>791221.9684142581</v>
      </c>
      <c r="J92" s="2">
        <f t="shared" ca="1" si="17"/>
        <v>65872084.980676353</v>
      </c>
      <c r="K92" s="2">
        <f t="shared" ca="1" si="23"/>
        <v>186659260.8380169</v>
      </c>
      <c r="L92" s="5">
        <f t="shared" ca="1" si="12"/>
        <v>0.3529001705296595</v>
      </c>
      <c r="N92" s="1" t="s">
        <v>110</v>
      </c>
      <c r="O92" s="4">
        <v>20144822554.836948</v>
      </c>
      <c r="P92" s="10">
        <v>4.4007075050244691</v>
      </c>
      <c r="Q92" s="1">
        <v>129</v>
      </c>
    </row>
    <row r="93" spans="1:17" x14ac:dyDescent="0.3">
      <c r="A93" s="1">
        <f t="shared" si="18"/>
        <v>7</v>
      </c>
      <c r="B93" s="1">
        <f t="shared" si="19"/>
        <v>10</v>
      </c>
      <c r="C93" s="2">
        <f t="shared" ca="1" si="13"/>
        <v>65872084.980676353</v>
      </c>
      <c r="D93" s="5">
        <f t="shared" ca="1" si="20"/>
        <v>0</v>
      </c>
      <c r="E93" s="2">
        <f t="shared" ca="1" si="21"/>
        <v>5315875.1985260379</v>
      </c>
      <c r="F93" s="2">
        <f t="shared" si="22"/>
        <v>3112534.6911933036</v>
      </c>
      <c r="G93" s="2">
        <f t="shared" ca="1" si="14"/>
        <v>531587.51985260379</v>
      </c>
      <c r="H93" s="5">
        <f t="shared" ca="1" si="15"/>
        <v>1.4907855628385258E-2</v>
      </c>
      <c r="I93" s="2">
        <f t="shared" ca="1" si="16"/>
        <v>989936.36283246195</v>
      </c>
      <c r="J93" s="2">
        <f t="shared" ca="1" si="17"/>
        <v>67393608.863361418</v>
      </c>
      <c r="K93" s="2">
        <f t="shared" ca="1" si="23"/>
        <v>186659260.8380169</v>
      </c>
      <c r="L93" s="5">
        <f t="shared" ca="1" si="12"/>
        <v>0.36105151472685654</v>
      </c>
      <c r="N93" s="1" t="s">
        <v>111</v>
      </c>
      <c r="O93" s="4">
        <v>18798885581.468899</v>
      </c>
      <c r="P93" s="10">
        <v>4.0738328338826744</v>
      </c>
      <c r="Q93" s="1">
        <v>130</v>
      </c>
    </row>
    <row r="94" spans="1:17" x14ac:dyDescent="0.3">
      <c r="A94" s="1">
        <f t="shared" si="18"/>
        <v>7</v>
      </c>
      <c r="B94" s="1">
        <f t="shared" si="19"/>
        <v>11</v>
      </c>
      <c r="C94" s="2">
        <f t="shared" ca="1" si="13"/>
        <v>67393608.863361418</v>
      </c>
      <c r="D94" s="5">
        <f t="shared" ca="1" si="20"/>
        <v>0</v>
      </c>
      <c r="E94" s="2">
        <f t="shared" ca="1" si="21"/>
        <v>5315875.1985260379</v>
      </c>
      <c r="F94" s="2">
        <f t="shared" si="22"/>
        <v>3112534.6911933036</v>
      </c>
      <c r="G94" s="2">
        <f t="shared" ca="1" si="14"/>
        <v>531587.51985260379</v>
      </c>
      <c r="H94" s="5">
        <f t="shared" ca="1" si="15"/>
        <v>1.5494584147007773E-2</v>
      </c>
      <c r="I94" s="2">
        <f t="shared" ca="1" si="16"/>
        <v>1052472.6710617377</v>
      </c>
      <c r="J94" s="2">
        <f t="shared" ca="1" si="17"/>
        <v>68977669.054275766</v>
      </c>
      <c r="K94" s="2">
        <f t="shared" ca="1" si="23"/>
        <v>186659260.8380169</v>
      </c>
      <c r="L94" s="5">
        <f t="shared" ca="1" si="12"/>
        <v>0.36953788815297334</v>
      </c>
      <c r="N94" s="1" t="s">
        <v>112</v>
      </c>
      <c r="O94" s="4">
        <v>18158223723.542171</v>
      </c>
      <c r="P94" s="10">
        <v>3.2676729937858751</v>
      </c>
      <c r="Q94" s="1">
        <v>130</v>
      </c>
    </row>
    <row r="95" spans="1:17" x14ac:dyDescent="0.3">
      <c r="A95" s="1">
        <f t="shared" si="18"/>
        <v>7</v>
      </c>
      <c r="B95" s="1">
        <f t="shared" si="19"/>
        <v>12</v>
      </c>
      <c r="C95" s="2">
        <f t="shared" ca="1" si="13"/>
        <v>68977669.054275766</v>
      </c>
      <c r="D95" s="5">
        <f t="shared" ca="1" si="20"/>
        <v>0</v>
      </c>
      <c r="E95" s="2">
        <f t="shared" ca="1" si="21"/>
        <v>5315875.1985260379</v>
      </c>
      <c r="F95" s="2">
        <f t="shared" si="22"/>
        <v>3112534.6911933036</v>
      </c>
      <c r="G95" s="2">
        <f t="shared" ca="1" si="14"/>
        <v>1063175.0397052076</v>
      </c>
      <c r="H95" s="5">
        <f t="shared" ca="1" si="15"/>
        <v>1.7608823154165121E-2</v>
      </c>
      <c r="I95" s="2">
        <f t="shared" ca="1" si="16"/>
        <v>1233336.8372193614</v>
      </c>
      <c r="J95" s="2">
        <f t="shared" ca="1" si="17"/>
        <v>71274180.931200325</v>
      </c>
      <c r="K95" s="2">
        <f t="shared" ca="1" si="23"/>
        <v>186659260.8380169</v>
      </c>
      <c r="L95" s="5">
        <f t="shared" ca="1" si="12"/>
        <v>0.38184111847015262</v>
      </c>
      <c r="N95" s="1" t="s">
        <v>113</v>
      </c>
      <c r="O95" s="4">
        <v>17216888813.793552</v>
      </c>
      <c r="P95" s="10">
        <v>3.0933404480197244</v>
      </c>
      <c r="Q95" s="1">
        <v>130</v>
      </c>
    </row>
    <row r="96" spans="1:17" x14ac:dyDescent="0.3">
      <c r="A96" s="1">
        <f t="shared" si="18"/>
        <v>8</v>
      </c>
      <c r="B96" s="1">
        <f t="shared" si="19"/>
        <v>1</v>
      </c>
      <c r="C96" s="2">
        <f t="shared" ca="1" si="13"/>
        <v>71274180.931200325</v>
      </c>
      <c r="D96" s="5">
        <f t="shared" ca="1" si="20"/>
        <v>5.4248319751224877E-2</v>
      </c>
      <c r="E96" s="2">
        <f t="shared" ca="1" si="21"/>
        <v>5604252.496053285</v>
      </c>
      <c r="F96" s="2">
        <f t="shared" si="22"/>
        <v>3350643.5950695914</v>
      </c>
      <c r="G96" s="2">
        <f t="shared" ca="1" si="14"/>
        <v>560425.24960532854</v>
      </c>
      <c r="H96" s="5">
        <f t="shared" ca="1" si="15"/>
        <v>1.4847049536097501E-2</v>
      </c>
      <c r="I96" s="2">
        <f t="shared" ca="1" si="16"/>
        <v>1066531.9563724773</v>
      </c>
      <c r="J96" s="2">
        <f t="shared" ca="1" si="17"/>
        <v>72901138.137178138</v>
      </c>
      <c r="K96" s="2">
        <f t="shared" ca="1" si="23"/>
        <v>192169252.24800184</v>
      </c>
      <c r="L96" s="5">
        <f t="shared" ca="1" si="12"/>
        <v>0.37935901443325803</v>
      </c>
      <c r="N96" s="1" t="s">
        <v>114</v>
      </c>
      <c r="O96" s="4">
        <v>23301792470.739494</v>
      </c>
      <c r="P96" s="10">
        <v>4.4384840923606097</v>
      </c>
      <c r="Q96" s="1">
        <v>123</v>
      </c>
    </row>
    <row r="97" spans="1:17" x14ac:dyDescent="0.3">
      <c r="A97" s="1">
        <f t="shared" si="18"/>
        <v>8</v>
      </c>
      <c r="B97" s="1">
        <f t="shared" si="19"/>
        <v>2</v>
      </c>
      <c r="C97" s="2">
        <f t="shared" ca="1" si="13"/>
        <v>72901138.137178138</v>
      </c>
      <c r="D97" s="5">
        <f t="shared" ca="1" si="20"/>
        <v>0</v>
      </c>
      <c r="E97" s="2">
        <f t="shared" ca="1" si="21"/>
        <v>5604252.496053285</v>
      </c>
      <c r="F97" s="2">
        <f t="shared" si="22"/>
        <v>3350643.5950695914</v>
      </c>
      <c r="G97" s="2">
        <f t="shared" ca="1" si="14"/>
        <v>560425.24960532854</v>
      </c>
      <c r="H97" s="5">
        <f t="shared" ca="1" si="15"/>
        <v>1.5133411406248021E-2</v>
      </c>
      <c r="I97" s="2">
        <f t="shared" ca="1" si="16"/>
        <v>1111724.0612783609</v>
      </c>
      <c r="J97" s="2">
        <f t="shared" ca="1" si="17"/>
        <v>74573287.448061824</v>
      </c>
      <c r="K97" s="2">
        <f t="shared" ca="1" si="23"/>
        <v>192169252.24800184</v>
      </c>
      <c r="L97" s="5">
        <f t="shared" ca="1" si="12"/>
        <v>0.38806045491513969</v>
      </c>
      <c r="N97" s="1" t="s">
        <v>115</v>
      </c>
      <c r="O97" s="4">
        <v>18592958886.787739</v>
      </c>
      <c r="P97" s="10">
        <v>2.7443214662809234</v>
      </c>
      <c r="Q97" s="1">
        <v>128</v>
      </c>
    </row>
    <row r="98" spans="1:17" x14ac:dyDescent="0.3">
      <c r="A98" s="1">
        <f t="shared" si="18"/>
        <v>8</v>
      </c>
      <c r="B98" s="1">
        <f t="shared" si="19"/>
        <v>3</v>
      </c>
      <c r="C98" s="2">
        <f t="shared" ca="1" si="13"/>
        <v>74573287.448061824</v>
      </c>
      <c r="D98" s="5">
        <f t="shared" ca="1" si="20"/>
        <v>0</v>
      </c>
      <c r="E98" s="2">
        <f t="shared" ca="1" si="21"/>
        <v>5604252.496053285</v>
      </c>
      <c r="F98" s="2">
        <f t="shared" si="22"/>
        <v>3350643.5950695914</v>
      </c>
      <c r="G98" s="2">
        <f t="shared" ca="1" si="14"/>
        <v>560425.24960532854</v>
      </c>
      <c r="H98" s="5">
        <f t="shared" ca="1" si="15"/>
        <v>1.7356469646980122E-2</v>
      </c>
      <c r="I98" s="2">
        <f t="shared" ca="1" si="16"/>
        <v>1304056.0039019848</v>
      </c>
      <c r="J98" s="2">
        <f t="shared" ca="1" si="17"/>
        <v>76437768.70156914</v>
      </c>
      <c r="K98" s="2">
        <f t="shared" ca="1" si="23"/>
        <v>192169252.24800184</v>
      </c>
      <c r="L98" s="5">
        <f t="shared" ca="1" si="12"/>
        <v>0.39776274199643158</v>
      </c>
      <c r="N98" s="1" t="s">
        <v>116</v>
      </c>
      <c r="O98" s="4">
        <v>17621898812.837559</v>
      </c>
      <c r="P98" s="10">
        <v>3.5907140264304971</v>
      </c>
      <c r="Q98" s="1">
        <v>130</v>
      </c>
    </row>
    <row r="99" spans="1:17" x14ac:dyDescent="0.3">
      <c r="A99" s="1">
        <f t="shared" si="18"/>
        <v>8</v>
      </c>
      <c r="B99" s="1">
        <f t="shared" si="19"/>
        <v>4</v>
      </c>
      <c r="C99" s="2">
        <f t="shared" ca="1" si="13"/>
        <v>76437768.70156914</v>
      </c>
      <c r="D99" s="5">
        <f t="shared" ca="1" si="20"/>
        <v>0</v>
      </c>
      <c r="E99" s="2">
        <f t="shared" ca="1" si="21"/>
        <v>5604252.496053285</v>
      </c>
      <c r="F99" s="2">
        <f t="shared" si="22"/>
        <v>3350643.5950695914</v>
      </c>
      <c r="G99" s="2">
        <f t="shared" ca="1" si="14"/>
        <v>560425.24960532854</v>
      </c>
      <c r="H99" s="5">
        <f t="shared" ca="1" si="15"/>
        <v>1.5384181279545883E-2</v>
      </c>
      <c r="I99" s="2">
        <f t="shared" ca="1" si="16"/>
        <v>1184554.1739425014</v>
      </c>
      <c r="J99" s="2">
        <f t="shared" ca="1" si="17"/>
        <v>78182748.125116974</v>
      </c>
      <c r="K99" s="2">
        <f t="shared" ca="1" si="23"/>
        <v>192169252.24800184</v>
      </c>
      <c r="L99" s="5">
        <f t="shared" ca="1" si="12"/>
        <v>0.40684317189421709</v>
      </c>
      <c r="N99" s="1" t="s">
        <v>117</v>
      </c>
      <c r="O99" s="4">
        <v>17565372901.212254</v>
      </c>
      <c r="P99" s="10">
        <v>3.0143403433046418</v>
      </c>
      <c r="Q99" s="1">
        <v>131</v>
      </c>
    </row>
    <row r="100" spans="1:17" x14ac:dyDescent="0.3">
      <c r="A100" s="1">
        <f t="shared" si="18"/>
        <v>8</v>
      </c>
      <c r="B100" s="1">
        <f t="shared" si="19"/>
        <v>5</v>
      </c>
      <c r="C100" s="2">
        <f t="shared" ca="1" si="13"/>
        <v>78182748.125116974</v>
      </c>
      <c r="D100" s="5">
        <f t="shared" ca="1" si="20"/>
        <v>0</v>
      </c>
      <c r="E100" s="2">
        <f t="shared" ca="1" si="21"/>
        <v>5604252.496053285</v>
      </c>
      <c r="F100" s="2">
        <f t="shared" si="22"/>
        <v>3350643.5950695914</v>
      </c>
      <c r="G100" s="2">
        <f t="shared" ca="1" si="14"/>
        <v>560425.24960532854</v>
      </c>
      <c r="H100" s="5">
        <f t="shared" ca="1" si="15"/>
        <v>1.5159829496537602E-2</v>
      </c>
      <c r="I100" s="2">
        <f t="shared" ca="1" si="16"/>
        <v>1193733.0823770894</v>
      </c>
      <c r="J100" s="2">
        <f t="shared" ca="1" si="17"/>
        <v>79936906.457099393</v>
      </c>
      <c r="K100" s="2">
        <f t="shared" ca="1" si="23"/>
        <v>192169252.24800184</v>
      </c>
      <c r="L100" s="5">
        <f t="shared" ca="1" si="12"/>
        <v>0.4159713665011181</v>
      </c>
      <c r="N100" s="1" t="s">
        <v>118</v>
      </c>
      <c r="O100" s="4">
        <v>19131786923.881264</v>
      </c>
      <c r="P100" s="10">
        <v>4.6462614130320148</v>
      </c>
      <c r="Q100" s="1">
        <v>130</v>
      </c>
    </row>
    <row r="101" spans="1:17" x14ac:dyDescent="0.3">
      <c r="A101" s="1">
        <f t="shared" si="18"/>
        <v>8</v>
      </c>
      <c r="B101" s="1">
        <f t="shared" si="19"/>
        <v>6</v>
      </c>
      <c r="C101" s="2">
        <f t="shared" ca="1" si="13"/>
        <v>79936906.457099393</v>
      </c>
      <c r="D101" s="5">
        <f t="shared" ca="1" si="20"/>
        <v>0</v>
      </c>
      <c r="E101" s="2">
        <f t="shared" ca="1" si="21"/>
        <v>5604252.496053285</v>
      </c>
      <c r="F101" s="2">
        <f t="shared" si="22"/>
        <v>3350643.5950695914</v>
      </c>
      <c r="G101" s="2">
        <f t="shared" ca="1" si="14"/>
        <v>1120850.4992106571</v>
      </c>
      <c r="H101" s="5">
        <f t="shared" ca="1" si="15"/>
        <v>1.5036673310826698E-2</v>
      </c>
      <c r="I101" s="2">
        <f t="shared" ca="1" si="16"/>
        <v>1218839.0106604244</v>
      </c>
      <c r="J101" s="2">
        <f t="shared" ca="1" si="17"/>
        <v>82276595.966970474</v>
      </c>
      <c r="K101" s="2">
        <f t="shared" ca="1" si="23"/>
        <v>192169252.24800184</v>
      </c>
      <c r="L101" s="5">
        <f t="shared" ca="1" si="12"/>
        <v>0.42814651670075371</v>
      </c>
      <c r="N101" s="1" t="s">
        <v>119</v>
      </c>
      <c r="O101" s="4">
        <v>20103049833.297722</v>
      </c>
      <c r="P101" s="10">
        <v>4.1737900838168303</v>
      </c>
      <c r="Q101" s="1">
        <v>127</v>
      </c>
    </row>
    <row r="102" spans="1:17" x14ac:dyDescent="0.3">
      <c r="A102" s="1">
        <f t="shared" si="18"/>
        <v>8</v>
      </c>
      <c r="B102" s="1">
        <f t="shared" si="19"/>
        <v>7</v>
      </c>
      <c r="C102" s="2">
        <f t="shared" ca="1" si="13"/>
        <v>82276595.966970474</v>
      </c>
      <c r="D102" s="5">
        <f t="shared" ca="1" si="20"/>
        <v>0</v>
      </c>
      <c r="E102" s="2">
        <f t="shared" ca="1" si="21"/>
        <v>5604252.496053285</v>
      </c>
      <c r="F102" s="2">
        <f t="shared" si="22"/>
        <v>3350643.5950695914</v>
      </c>
      <c r="G102" s="2">
        <f t="shared" ca="1" si="14"/>
        <v>560425.24960532854</v>
      </c>
      <c r="H102" s="5">
        <f t="shared" ca="1" si="15"/>
        <v>1.5973801202517901E-2</v>
      </c>
      <c r="I102" s="2">
        <f t="shared" ca="1" si="16"/>
        <v>1323222.1091223394</v>
      </c>
      <c r="J102" s="2">
        <f t="shared" ca="1" si="17"/>
        <v>84160243.325698137</v>
      </c>
      <c r="K102" s="2">
        <f t="shared" ca="1" si="23"/>
        <v>192169252.24800184</v>
      </c>
      <c r="L102" s="5">
        <f t="shared" ca="1" si="12"/>
        <v>0.43794853932764483</v>
      </c>
      <c r="N102" s="1" t="s">
        <v>120</v>
      </c>
      <c r="O102" s="4">
        <v>19172419715.956974</v>
      </c>
      <c r="P102" s="10">
        <v>3.6814026360869545</v>
      </c>
      <c r="Q102" s="1">
        <v>128</v>
      </c>
    </row>
    <row r="103" spans="1:17" x14ac:dyDescent="0.3">
      <c r="A103" s="1">
        <f t="shared" si="18"/>
        <v>8</v>
      </c>
      <c r="B103" s="1">
        <f t="shared" si="19"/>
        <v>8</v>
      </c>
      <c r="C103" s="2">
        <f t="shared" ca="1" si="13"/>
        <v>84160243.325698137</v>
      </c>
      <c r="D103" s="5">
        <f t="shared" ca="1" si="20"/>
        <v>0</v>
      </c>
      <c r="E103" s="2">
        <f t="shared" ca="1" si="21"/>
        <v>5604252.496053285</v>
      </c>
      <c r="F103" s="2">
        <f t="shared" si="22"/>
        <v>3350643.5950695914</v>
      </c>
      <c r="G103" s="2">
        <f t="shared" ca="1" si="14"/>
        <v>560425.24960532854</v>
      </c>
      <c r="H103" s="5">
        <f t="shared" ca="1" si="15"/>
        <v>1.348852687382518E-2</v>
      </c>
      <c r="I103" s="2">
        <f t="shared" ca="1" si="16"/>
        <v>1142757.0148464171</v>
      </c>
      <c r="J103" s="2">
        <f t="shared" ca="1" si="17"/>
        <v>85863425.590149879</v>
      </c>
      <c r="K103" s="2">
        <f t="shared" ca="1" si="23"/>
        <v>192169252.24800184</v>
      </c>
      <c r="L103" s="5">
        <f t="shared" ca="1" si="12"/>
        <v>0.44681146742112421</v>
      </c>
      <c r="N103" s="1" t="s">
        <v>121</v>
      </c>
      <c r="O103" s="4">
        <v>19030872795.080975</v>
      </c>
      <c r="P103" s="10">
        <v>4.0219863219067697</v>
      </c>
      <c r="Q103" s="1">
        <v>127</v>
      </c>
    </row>
    <row r="104" spans="1:17" x14ac:dyDescent="0.3">
      <c r="A104" s="1">
        <f t="shared" si="18"/>
        <v>8</v>
      </c>
      <c r="B104" s="1">
        <f t="shared" si="19"/>
        <v>9</v>
      </c>
      <c r="C104" s="2">
        <f t="shared" ca="1" si="13"/>
        <v>85863425.590149879</v>
      </c>
      <c r="D104" s="5">
        <f t="shared" ca="1" si="20"/>
        <v>0</v>
      </c>
      <c r="E104" s="2">
        <f t="shared" ca="1" si="21"/>
        <v>5604252.496053285</v>
      </c>
      <c r="F104" s="2">
        <f t="shared" si="22"/>
        <v>3350643.5950695914</v>
      </c>
      <c r="G104" s="2">
        <f t="shared" ca="1" si="14"/>
        <v>560425.24960532854</v>
      </c>
      <c r="H104" s="5">
        <f t="shared" ca="1" si="15"/>
        <v>1.9637395146510306E-2</v>
      </c>
      <c r="I104" s="2">
        <f t="shared" ca="1" si="16"/>
        <v>1697139.3090233395</v>
      </c>
      <c r="J104" s="2">
        <f t="shared" ca="1" si="17"/>
        <v>88120990.148778543</v>
      </c>
      <c r="K104" s="2">
        <f t="shared" ca="1" si="23"/>
        <v>192169252.24800184</v>
      </c>
      <c r="L104" s="5">
        <f t="shared" ca="1" si="12"/>
        <v>0.45855926022470545</v>
      </c>
      <c r="N104" s="1" t="s">
        <v>122</v>
      </c>
      <c r="O104" s="4">
        <v>18439078775.569431</v>
      </c>
      <c r="P104" s="10">
        <v>3.7967912223781055</v>
      </c>
      <c r="Q104" s="1">
        <v>129</v>
      </c>
    </row>
    <row r="105" spans="1:17" x14ac:dyDescent="0.3">
      <c r="A105" s="1">
        <f t="shared" si="18"/>
        <v>8</v>
      </c>
      <c r="B105" s="1">
        <f t="shared" si="19"/>
        <v>10</v>
      </c>
      <c r="C105" s="2">
        <f t="shared" ca="1" si="13"/>
        <v>88120990.148778543</v>
      </c>
      <c r="D105" s="5">
        <f t="shared" ca="1" si="20"/>
        <v>0</v>
      </c>
      <c r="E105" s="2">
        <f t="shared" ca="1" si="21"/>
        <v>5604252.496053285</v>
      </c>
      <c r="F105" s="2">
        <f t="shared" si="22"/>
        <v>3350643.5950695914</v>
      </c>
      <c r="G105" s="2">
        <f t="shared" ca="1" si="14"/>
        <v>560425.24960532854</v>
      </c>
      <c r="H105" s="5">
        <f t="shared" ca="1" si="15"/>
        <v>1.7423384408061349E-2</v>
      </c>
      <c r="I105" s="2">
        <f t="shared" ca="1" si="16"/>
        <v>1545130.3903370132</v>
      </c>
      <c r="J105" s="2">
        <f t="shared" ca="1" si="17"/>
        <v>90226545.788720891</v>
      </c>
      <c r="K105" s="2">
        <f t="shared" ca="1" si="23"/>
        <v>192169252.24800184</v>
      </c>
      <c r="L105" s="5">
        <f t="shared" ca="1" si="12"/>
        <v>0.46951603720807555</v>
      </c>
      <c r="N105" s="1" t="s">
        <v>123</v>
      </c>
      <c r="O105" s="4">
        <v>21966844447.699017</v>
      </c>
      <c r="P105" s="10">
        <v>4.8480641659548604</v>
      </c>
      <c r="Q105" s="1">
        <v>128</v>
      </c>
    </row>
    <row r="106" spans="1:17" x14ac:dyDescent="0.3">
      <c r="A106" s="1">
        <f t="shared" si="18"/>
        <v>8</v>
      </c>
      <c r="B106" s="1">
        <f t="shared" si="19"/>
        <v>11</v>
      </c>
      <c r="C106" s="2">
        <f t="shared" ca="1" si="13"/>
        <v>90226545.788720891</v>
      </c>
      <c r="D106" s="5">
        <f t="shared" ca="1" si="20"/>
        <v>0</v>
      </c>
      <c r="E106" s="2">
        <f t="shared" ca="1" si="21"/>
        <v>5604252.496053285</v>
      </c>
      <c r="F106" s="2">
        <f t="shared" si="22"/>
        <v>3350643.5950695914</v>
      </c>
      <c r="G106" s="2">
        <f t="shared" ca="1" si="14"/>
        <v>560425.24960532854</v>
      </c>
      <c r="H106" s="5">
        <f t="shared" ca="1" si="15"/>
        <v>1.6145865253708314E-2</v>
      </c>
      <c r="I106" s="2">
        <f t="shared" ca="1" si="16"/>
        <v>1465834.2011771342</v>
      </c>
      <c r="J106" s="2">
        <f t="shared" ca="1" si="17"/>
        <v>92252805.239503354</v>
      </c>
      <c r="K106" s="2">
        <f t="shared" ca="1" si="23"/>
        <v>192169252.24800184</v>
      </c>
      <c r="L106" s="5">
        <f t="shared" ca="1" si="12"/>
        <v>0.48006017695509134</v>
      </c>
      <c r="N106" s="1" t="s">
        <v>124</v>
      </c>
      <c r="O106" s="4">
        <v>21568633098.967819</v>
      </c>
      <c r="P106" s="10">
        <v>4.3871578606545345</v>
      </c>
      <c r="Q106" s="1">
        <v>126</v>
      </c>
    </row>
    <row r="107" spans="1:17" x14ac:dyDescent="0.3">
      <c r="A107" s="1">
        <f t="shared" si="18"/>
        <v>8</v>
      </c>
      <c r="B107" s="1">
        <f t="shared" si="19"/>
        <v>12</v>
      </c>
      <c r="C107" s="2">
        <f t="shared" ca="1" si="13"/>
        <v>92252805.239503354</v>
      </c>
      <c r="D107" s="5">
        <f t="shared" ca="1" si="20"/>
        <v>0</v>
      </c>
      <c r="E107" s="2">
        <f t="shared" ca="1" si="21"/>
        <v>5604252.496053285</v>
      </c>
      <c r="F107" s="2">
        <f t="shared" si="22"/>
        <v>3350643.5950695914</v>
      </c>
      <c r="G107" s="2">
        <f t="shared" ca="1" si="14"/>
        <v>1120850.4992106571</v>
      </c>
      <c r="H107" s="5">
        <f t="shared" ca="1" si="15"/>
        <v>1.5764537905602172E-2</v>
      </c>
      <c r="I107" s="2">
        <f t="shared" ca="1" si="16"/>
        <v>1471992.5352776048</v>
      </c>
      <c r="J107" s="2">
        <f t="shared" ca="1" si="17"/>
        <v>94845648.273991615</v>
      </c>
      <c r="K107" s="2">
        <f t="shared" ca="1" si="23"/>
        <v>192169252.24800184</v>
      </c>
      <c r="L107" s="5">
        <f t="shared" ca="1" si="12"/>
        <v>0.49355267382520507</v>
      </c>
      <c r="N107" s="1" t="s">
        <v>125</v>
      </c>
      <c r="O107" s="4">
        <v>18630885866.074188</v>
      </c>
      <c r="P107" s="10">
        <v>2.9227423231451657</v>
      </c>
      <c r="Q107" s="1">
        <v>126</v>
      </c>
    </row>
    <row r="108" spans="1:17" x14ac:dyDescent="0.3">
      <c r="A108" s="1">
        <f t="shared" si="18"/>
        <v>9</v>
      </c>
      <c r="B108" s="1">
        <f t="shared" si="19"/>
        <v>1</v>
      </c>
      <c r="C108" s="2">
        <f t="shared" ca="1" si="13"/>
        <v>94845648.273991615</v>
      </c>
      <c r="D108" s="5">
        <f t="shared" ca="1" si="20"/>
        <v>8.2018766851312264E-2</v>
      </c>
      <c r="E108" s="2">
        <f t="shared" ca="1" si="21"/>
        <v>6063906.3749029646</v>
      </c>
      <c r="F108" s="2">
        <f t="shared" si="22"/>
        <v>3606967.8300924152</v>
      </c>
      <c r="G108" s="2">
        <f t="shared" ca="1" si="14"/>
        <v>606390.6374902965</v>
      </c>
      <c r="H108" s="5">
        <f t="shared" ca="1" si="15"/>
        <v>1.5025079156989696E-2</v>
      </c>
      <c r="I108" s="2">
        <f t="shared" ca="1" si="16"/>
        <v>1434174.4403410763</v>
      </c>
      <c r="J108" s="2">
        <f t="shared" ca="1" si="17"/>
        <v>96886213.351822987</v>
      </c>
      <c r="K108" s="2">
        <f t="shared" ca="1" si="23"/>
        <v>199083476.73213318</v>
      </c>
      <c r="L108" s="5">
        <f t="shared" ca="1" si="12"/>
        <v>0.48666124854843373</v>
      </c>
      <c r="N108" s="1" t="s">
        <v>126</v>
      </c>
      <c r="O108" s="4">
        <v>18679173105.892925</v>
      </c>
      <c r="P108" s="10">
        <v>2.7772960706918655</v>
      </c>
      <c r="Q108" s="1">
        <v>128</v>
      </c>
    </row>
    <row r="109" spans="1:17" x14ac:dyDescent="0.3">
      <c r="A109" s="1">
        <f t="shared" si="18"/>
        <v>9</v>
      </c>
      <c r="B109" s="1">
        <f t="shared" si="19"/>
        <v>2</v>
      </c>
      <c r="C109" s="2">
        <f t="shared" ca="1" si="13"/>
        <v>96886213.351822987</v>
      </c>
      <c r="D109" s="5">
        <f t="shared" ca="1" si="20"/>
        <v>0</v>
      </c>
      <c r="E109" s="2">
        <f t="shared" ca="1" si="21"/>
        <v>6063906.3749029646</v>
      </c>
      <c r="F109" s="2">
        <f t="shared" si="22"/>
        <v>3606967.8300924152</v>
      </c>
      <c r="G109" s="2">
        <f t="shared" ca="1" si="14"/>
        <v>606390.6374902965</v>
      </c>
      <c r="H109" s="5">
        <f t="shared" ca="1" si="15"/>
        <v>1.8076470651530396E-2</v>
      </c>
      <c r="I109" s="2">
        <f t="shared" ca="1" si="16"/>
        <v>1762322.1947540969</v>
      </c>
      <c r="J109" s="2">
        <f t="shared" ca="1" si="17"/>
        <v>99254926.184067383</v>
      </c>
      <c r="K109" s="2">
        <f t="shared" ca="1" si="23"/>
        <v>199083476.73213318</v>
      </c>
      <c r="L109" s="5">
        <f t="shared" ca="1" si="12"/>
        <v>0.49855933708458833</v>
      </c>
      <c r="N109" s="1" t="s">
        <v>127</v>
      </c>
      <c r="O109" s="4">
        <v>21317006300.597931</v>
      </c>
      <c r="P109" s="10">
        <v>4.1389257351114477</v>
      </c>
      <c r="Q109" s="1">
        <v>126</v>
      </c>
    </row>
    <row r="110" spans="1:17" x14ac:dyDescent="0.3">
      <c r="A110" s="1">
        <f t="shared" si="18"/>
        <v>9</v>
      </c>
      <c r="B110" s="1">
        <f t="shared" si="19"/>
        <v>3</v>
      </c>
      <c r="C110" s="2">
        <f t="shared" ca="1" si="13"/>
        <v>99254926.184067383</v>
      </c>
      <c r="D110" s="5">
        <f t="shared" ca="1" si="20"/>
        <v>0</v>
      </c>
      <c r="E110" s="2">
        <f t="shared" ca="1" si="21"/>
        <v>6063906.3749029646</v>
      </c>
      <c r="F110" s="2">
        <f t="shared" si="22"/>
        <v>3606967.8300924152</v>
      </c>
      <c r="G110" s="2">
        <f t="shared" ca="1" si="14"/>
        <v>606390.6374902965</v>
      </c>
      <c r="H110" s="5">
        <f t="shared" ca="1" si="15"/>
        <v>1.1654843500907841E-2</v>
      </c>
      <c r="I110" s="2">
        <f t="shared" ca="1" si="16"/>
        <v>1163868.0193498305</v>
      </c>
      <c r="J110" s="2">
        <f t="shared" ca="1" si="17"/>
        <v>101025184.84090751</v>
      </c>
      <c r="K110" s="2">
        <f t="shared" ca="1" si="23"/>
        <v>199083476.73213318</v>
      </c>
      <c r="L110" s="5">
        <f t="shared" ca="1" si="12"/>
        <v>0.50745137918621397</v>
      </c>
      <c r="N110" s="1" t="s">
        <v>128</v>
      </c>
      <c r="O110" s="4">
        <v>17684006649.324421</v>
      </c>
      <c r="P110" s="10">
        <v>3.2206149306848757</v>
      </c>
      <c r="Q110" s="1">
        <v>128</v>
      </c>
    </row>
    <row r="111" spans="1:17" x14ac:dyDescent="0.3">
      <c r="A111" s="1">
        <f t="shared" si="18"/>
        <v>9</v>
      </c>
      <c r="B111" s="1">
        <f t="shared" si="19"/>
        <v>4</v>
      </c>
      <c r="C111" s="2">
        <f t="shared" ca="1" si="13"/>
        <v>101025184.84090751</v>
      </c>
      <c r="D111" s="5">
        <f t="shared" ca="1" si="20"/>
        <v>0</v>
      </c>
      <c r="E111" s="2">
        <f t="shared" ca="1" si="21"/>
        <v>6063906.3749029646</v>
      </c>
      <c r="F111" s="2">
        <f t="shared" si="22"/>
        <v>3606967.8300924152</v>
      </c>
      <c r="G111" s="2">
        <f t="shared" ca="1" si="14"/>
        <v>606390.6374902965</v>
      </c>
      <c r="H111" s="5">
        <f t="shared" ca="1" si="15"/>
        <v>1.3882043411398204E-2</v>
      </c>
      <c r="I111" s="2">
        <f t="shared" ca="1" si="16"/>
        <v>1410853.9427599118</v>
      </c>
      <c r="J111" s="2">
        <f t="shared" ca="1" si="17"/>
        <v>103042429.42115773</v>
      </c>
      <c r="K111" s="2">
        <f t="shared" ca="1" si="23"/>
        <v>199083476.73213318</v>
      </c>
      <c r="L111" s="5">
        <f t="shared" ca="1" si="12"/>
        <v>0.51758403616690563</v>
      </c>
      <c r="N111" s="1" t="s">
        <v>129</v>
      </c>
      <c r="O111" s="4">
        <v>17600729928.017624</v>
      </c>
      <c r="P111" s="10">
        <v>3.3968782601299448</v>
      </c>
      <c r="Q111" s="1">
        <v>131</v>
      </c>
    </row>
    <row r="112" spans="1:17" x14ac:dyDescent="0.3">
      <c r="A112" s="1">
        <f t="shared" si="18"/>
        <v>9</v>
      </c>
      <c r="B112" s="1">
        <f t="shared" si="19"/>
        <v>5</v>
      </c>
      <c r="C112" s="2">
        <f t="shared" ca="1" si="13"/>
        <v>103042429.42115773</v>
      </c>
      <c r="D112" s="5">
        <f t="shared" ca="1" si="20"/>
        <v>0</v>
      </c>
      <c r="E112" s="2">
        <f t="shared" ca="1" si="21"/>
        <v>6063906.3749029646</v>
      </c>
      <c r="F112" s="2">
        <f t="shared" si="22"/>
        <v>3606967.8300924152</v>
      </c>
      <c r="G112" s="2">
        <f t="shared" ca="1" si="14"/>
        <v>606390.6374902965</v>
      </c>
      <c r="H112" s="5">
        <f t="shared" ca="1" si="15"/>
        <v>1.2591179800363506E-2</v>
      </c>
      <c r="I112" s="2">
        <f t="shared" ca="1" si="16"/>
        <v>1305060.9294539609</v>
      </c>
      <c r="J112" s="2">
        <f t="shared" ca="1" si="17"/>
        <v>104953880.98810199</v>
      </c>
      <c r="K112" s="2">
        <f t="shared" ca="1" si="23"/>
        <v>199083476.73213318</v>
      </c>
      <c r="L112" s="5">
        <f t="shared" ca="1" si="12"/>
        <v>0.52718529287750704</v>
      </c>
      <c r="N112" s="1" t="s">
        <v>130</v>
      </c>
      <c r="O112" s="4">
        <v>17439181034.305859</v>
      </c>
      <c r="P112" s="10">
        <v>3.196556833240721</v>
      </c>
      <c r="Q112" s="1">
        <v>130</v>
      </c>
    </row>
    <row r="113" spans="1:17" x14ac:dyDescent="0.3">
      <c r="A113" s="1">
        <f t="shared" si="18"/>
        <v>9</v>
      </c>
      <c r="B113" s="1">
        <f t="shared" si="19"/>
        <v>6</v>
      </c>
      <c r="C113" s="2">
        <f t="shared" ca="1" si="13"/>
        <v>104953880.98810199</v>
      </c>
      <c r="D113" s="5">
        <f t="shared" ca="1" si="20"/>
        <v>0</v>
      </c>
      <c r="E113" s="2">
        <f t="shared" ca="1" si="21"/>
        <v>6063906.3749029646</v>
      </c>
      <c r="F113" s="2">
        <f t="shared" si="22"/>
        <v>3606967.8300924152</v>
      </c>
      <c r="G113" s="2">
        <f t="shared" ca="1" si="14"/>
        <v>1212781.274980593</v>
      </c>
      <c r="H113" s="5">
        <f t="shared" ca="1" si="15"/>
        <v>1.5809067061559601E-2</v>
      </c>
      <c r="I113" s="2">
        <f t="shared" ca="1" si="16"/>
        <v>1678395.8834190215</v>
      </c>
      <c r="J113" s="2">
        <f t="shared" ca="1" si="17"/>
        <v>107845058.1465016</v>
      </c>
      <c r="K113" s="2">
        <f t="shared" ca="1" si="23"/>
        <v>199083476.73213318</v>
      </c>
      <c r="L113" s="5">
        <f t="shared" ca="1" si="12"/>
        <v>0.5417077294245124</v>
      </c>
      <c r="N113" s="1" t="s">
        <v>131</v>
      </c>
      <c r="O113" s="4">
        <v>16943102877.538034</v>
      </c>
      <c r="P113" s="10">
        <v>2.8496006196796486</v>
      </c>
      <c r="Q113" s="1">
        <v>134</v>
      </c>
    </row>
    <row r="114" spans="1:17" x14ac:dyDescent="0.3">
      <c r="A114" s="1">
        <f t="shared" si="18"/>
        <v>9</v>
      </c>
      <c r="B114" s="1">
        <f t="shared" si="19"/>
        <v>7</v>
      </c>
      <c r="C114" s="2">
        <f t="shared" ca="1" si="13"/>
        <v>107845058.1465016</v>
      </c>
      <c r="D114" s="5">
        <f t="shared" ca="1" si="20"/>
        <v>0</v>
      </c>
      <c r="E114" s="2">
        <f t="shared" ca="1" si="21"/>
        <v>6063906.3749029646</v>
      </c>
      <c r="F114" s="2">
        <f t="shared" si="22"/>
        <v>3606967.8300924152</v>
      </c>
      <c r="G114" s="2">
        <f t="shared" ca="1" si="14"/>
        <v>606390.6374902965</v>
      </c>
      <c r="H114" s="5">
        <f t="shared" ca="1" si="15"/>
        <v>1.6462169255919257E-2</v>
      </c>
      <c r="I114" s="2">
        <f t="shared" ca="1" si="16"/>
        <v>1785346.1059317333</v>
      </c>
      <c r="J114" s="2">
        <f t="shared" ca="1" si="17"/>
        <v>110236794.88992363</v>
      </c>
      <c r="K114" s="2">
        <f t="shared" ca="1" si="23"/>
        <v>199083476.73213318</v>
      </c>
      <c r="L114" s="5">
        <f t="shared" ca="1" si="12"/>
        <v>0.5537214674939962</v>
      </c>
      <c r="N114" s="1" t="s">
        <v>132</v>
      </c>
      <c r="O114" s="4">
        <v>17037377084.216454</v>
      </c>
      <c r="P114" s="10">
        <v>3.0480779203501789</v>
      </c>
      <c r="Q114" s="1">
        <v>132</v>
      </c>
    </row>
    <row r="115" spans="1:17" x14ac:dyDescent="0.3">
      <c r="A115" s="1">
        <f t="shared" si="18"/>
        <v>9</v>
      </c>
      <c r="B115" s="1">
        <f t="shared" si="19"/>
        <v>8</v>
      </c>
      <c r="C115" s="2">
        <f t="shared" ca="1" si="13"/>
        <v>110236794.88992363</v>
      </c>
      <c r="D115" s="5">
        <f t="shared" ca="1" si="20"/>
        <v>0</v>
      </c>
      <c r="E115" s="2">
        <f t="shared" ca="1" si="21"/>
        <v>6063906.3749029646</v>
      </c>
      <c r="F115" s="2">
        <f t="shared" si="22"/>
        <v>3606967.8300924152</v>
      </c>
      <c r="G115" s="2">
        <f t="shared" ca="1" si="14"/>
        <v>606390.6374902965</v>
      </c>
      <c r="H115" s="5">
        <f t="shared" ca="1" si="15"/>
        <v>1.2079466323886567E-2</v>
      </c>
      <c r="I115" s="2">
        <f t="shared" ca="1" si="16"/>
        <v>1338926.5268107075</v>
      </c>
      <c r="J115" s="2">
        <f t="shared" ca="1" si="17"/>
        <v>112182112.05422464</v>
      </c>
      <c r="K115" s="2">
        <f t="shared" ca="1" si="23"/>
        <v>199083476.73213318</v>
      </c>
      <c r="L115" s="5">
        <f t="shared" ca="1" si="12"/>
        <v>0.56349283172890174</v>
      </c>
      <c r="N115" s="1" t="s">
        <v>133</v>
      </c>
      <c r="O115" s="4">
        <v>18731676406.550934</v>
      </c>
      <c r="P115" s="10">
        <v>3.5805378096666352</v>
      </c>
      <c r="Q115" s="1">
        <v>129</v>
      </c>
    </row>
    <row r="116" spans="1:17" x14ac:dyDescent="0.3">
      <c r="A116" s="1">
        <f t="shared" si="18"/>
        <v>9</v>
      </c>
      <c r="B116" s="1">
        <f t="shared" si="19"/>
        <v>9</v>
      </c>
      <c r="C116" s="2">
        <f t="shared" ca="1" si="13"/>
        <v>112182112.05422464</v>
      </c>
      <c r="D116" s="5">
        <f t="shared" ca="1" si="20"/>
        <v>0</v>
      </c>
      <c r="E116" s="2">
        <f t="shared" ca="1" si="21"/>
        <v>6063906.3749029646</v>
      </c>
      <c r="F116" s="2">
        <f t="shared" si="22"/>
        <v>3606967.8300924152</v>
      </c>
      <c r="G116" s="2">
        <f t="shared" ca="1" si="14"/>
        <v>606390.6374902965</v>
      </c>
      <c r="H116" s="5">
        <f t="shared" ca="1" si="15"/>
        <v>1.265036546535403E-2</v>
      </c>
      <c r="I116" s="2">
        <f t="shared" ca="1" si="16"/>
        <v>1426815.7793402607</v>
      </c>
      <c r="J116" s="2">
        <f t="shared" ca="1" si="17"/>
        <v>114215318.47105521</v>
      </c>
      <c r="K116" s="2">
        <f t="shared" ca="1" si="23"/>
        <v>199083476.73213318</v>
      </c>
      <c r="L116" s="5">
        <f t="shared" ca="1" si="12"/>
        <v>0.57370566531109923</v>
      </c>
      <c r="N116" s="1" t="s">
        <v>134</v>
      </c>
      <c r="O116" s="4">
        <v>19961135171.821869</v>
      </c>
      <c r="P116" s="10">
        <v>3.5885617376895351</v>
      </c>
      <c r="Q116" s="1">
        <v>130</v>
      </c>
    </row>
    <row r="117" spans="1:17" x14ac:dyDescent="0.3">
      <c r="A117" s="1">
        <f t="shared" si="18"/>
        <v>9</v>
      </c>
      <c r="B117" s="1">
        <f t="shared" si="19"/>
        <v>10</v>
      </c>
      <c r="C117" s="2">
        <f t="shared" ca="1" si="13"/>
        <v>114215318.47105521</v>
      </c>
      <c r="D117" s="5">
        <f t="shared" ca="1" si="20"/>
        <v>0</v>
      </c>
      <c r="E117" s="2">
        <f t="shared" ca="1" si="21"/>
        <v>6063906.3749029646</v>
      </c>
      <c r="F117" s="2">
        <f t="shared" si="22"/>
        <v>3606967.8300924152</v>
      </c>
      <c r="G117" s="2">
        <f t="shared" ca="1" si="14"/>
        <v>606390.6374902965</v>
      </c>
      <c r="H117" s="5">
        <f t="shared" ca="1" si="15"/>
        <v>1.6086133440277095E-2</v>
      </c>
      <c r="I117" s="2">
        <f t="shared" ca="1" si="16"/>
        <v>1847037.3345607431</v>
      </c>
      <c r="J117" s="2">
        <f t="shared" ca="1" si="17"/>
        <v>116668746.44310625</v>
      </c>
      <c r="K117" s="2">
        <f t="shared" ca="1" si="23"/>
        <v>199083476.73213318</v>
      </c>
      <c r="L117" s="5">
        <f t="shared" ca="1" si="12"/>
        <v>0.58602927956740503</v>
      </c>
      <c r="N117" s="1" t="s">
        <v>135</v>
      </c>
      <c r="O117" s="4">
        <v>20895339818.73196</v>
      </c>
      <c r="P117" s="10">
        <v>3.9712959681079889</v>
      </c>
      <c r="Q117" s="1">
        <v>125</v>
      </c>
    </row>
    <row r="118" spans="1:17" x14ac:dyDescent="0.3">
      <c r="A118" s="1">
        <f t="shared" si="18"/>
        <v>9</v>
      </c>
      <c r="B118" s="1">
        <f t="shared" si="19"/>
        <v>11</v>
      </c>
      <c r="C118" s="2">
        <f t="shared" ca="1" si="13"/>
        <v>116668746.44310625</v>
      </c>
      <c r="D118" s="5">
        <f t="shared" ca="1" si="20"/>
        <v>0</v>
      </c>
      <c r="E118" s="2">
        <f t="shared" ca="1" si="21"/>
        <v>6063906.3749029646</v>
      </c>
      <c r="F118" s="2">
        <f t="shared" si="22"/>
        <v>3606967.8300924152</v>
      </c>
      <c r="G118" s="2">
        <f t="shared" ca="1" si="14"/>
        <v>606390.6374902965</v>
      </c>
      <c r="H118" s="5">
        <f t="shared" ca="1" si="15"/>
        <v>1.462301700594959E-2</v>
      </c>
      <c r="I118" s="2">
        <f t="shared" ca="1" si="16"/>
        <v>1714916.3239046328</v>
      </c>
      <c r="J118" s="2">
        <f t="shared" ca="1" si="17"/>
        <v>118990053.40450118</v>
      </c>
      <c r="K118" s="2">
        <f t="shared" ca="1" si="23"/>
        <v>199083476.73213318</v>
      </c>
      <c r="L118" s="5">
        <f t="shared" ca="1" si="12"/>
        <v>0.59768924753410002</v>
      </c>
      <c r="N118" s="1" t="s">
        <v>136</v>
      </c>
      <c r="O118" s="4">
        <v>18599800854.171307</v>
      </c>
      <c r="P118" s="10">
        <v>3.4813630650122089</v>
      </c>
      <c r="Q118" s="1">
        <v>129</v>
      </c>
    </row>
    <row r="119" spans="1:17" x14ac:dyDescent="0.3">
      <c r="A119" s="1">
        <f t="shared" si="18"/>
        <v>9</v>
      </c>
      <c r="B119" s="1">
        <f t="shared" si="19"/>
        <v>12</v>
      </c>
      <c r="C119" s="2">
        <f t="shared" ca="1" si="13"/>
        <v>118990053.40450118</v>
      </c>
      <c r="D119" s="5">
        <f t="shared" ca="1" si="20"/>
        <v>0</v>
      </c>
      <c r="E119" s="2">
        <f t="shared" ca="1" si="21"/>
        <v>6063906.3749029646</v>
      </c>
      <c r="F119" s="2">
        <f t="shared" si="22"/>
        <v>3606967.8300924152</v>
      </c>
      <c r="G119" s="2">
        <f t="shared" ca="1" si="14"/>
        <v>1212781.274980593</v>
      </c>
      <c r="H119" s="5">
        <f t="shared" ca="1" si="15"/>
        <v>1.6134205934093648E-2</v>
      </c>
      <c r="I119" s="2">
        <f t="shared" ca="1" si="16"/>
        <v>1939377.2885805727</v>
      </c>
      <c r="J119" s="2">
        <f t="shared" ca="1" si="17"/>
        <v>122142211.96806234</v>
      </c>
      <c r="K119" s="2">
        <f t="shared" ca="1" si="23"/>
        <v>199083476.73213318</v>
      </c>
      <c r="L119" s="5">
        <f t="shared" ca="1" si="12"/>
        <v>0.61352259852486246</v>
      </c>
      <c r="N119" s="1" t="s">
        <v>137</v>
      </c>
      <c r="O119" s="4">
        <v>17510110466.701611</v>
      </c>
      <c r="P119" s="10">
        <v>2.7307168865320097</v>
      </c>
      <c r="Q119" s="1">
        <v>131</v>
      </c>
    </row>
    <row r="120" spans="1:17" x14ac:dyDescent="0.3">
      <c r="A120" s="1">
        <f t="shared" si="18"/>
        <v>10</v>
      </c>
      <c r="B120" s="1">
        <f t="shared" si="19"/>
        <v>1</v>
      </c>
      <c r="C120" s="2">
        <f t="shared" ca="1" si="13"/>
        <v>122142211.96806234</v>
      </c>
      <c r="D120" s="5">
        <f t="shared" ca="1" si="20"/>
        <v>3.3776704011826919E-2</v>
      </c>
      <c r="E120" s="2">
        <f t="shared" ca="1" si="21"/>
        <v>12127812.749805929</v>
      </c>
      <c r="F120" s="2">
        <f t="shared" si="22"/>
        <v>3882900.869094485</v>
      </c>
      <c r="G120" s="2">
        <f t="shared" ca="1" si="14"/>
        <v>1212781.274980593</v>
      </c>
      <c r="H120" s="5">
        <f t="shared" ca="1" si="15"/>
        <v>1.553420518433013E-2</v>
      </c>
      <c r="I120" s="2">
        <f t="shared" ca="1" si="16"/>
        <v>1916221.7755490856</v>
      </c>
      <c r="J120" s="2">
        <f t="shared" ca="1" si="17"/>
        <v>125271215.01859201</v>
      </c>
      <c r="K120" s="2">
        <f t="shared" ca="1" si="23"/>
        <v>206764460.50487611</v>
      </c>
      <c r="L120" s="5">
        <f t="shared" ca="1" si="12"/>
        <v>0.60586434783185461</v>
      </c>
      <c r="N120" s="1" t="s">
        <v>138</v>
      </c>
      <c r="O120" s="4">
        <v>18269317277.961143</v>
      </c>
      <c r="P120" s="10">
        <v>4.1629656513944839</v>
      </c>
      <c r="Q120" s="1">
        <v>135</v>
      </c>
    </row>
    <row r="121" spans="1:17" x14ac:dyDescent="0.3">
      <c r="A121" s="1">
        <f t="shared" si="18"/>
        <v>10</v>
      </c>
      <c r="B121" s="1">
        <f t="shared" si="19"/>
        <v>2</v>
      </c>
      <c r="C121" s="2">
        <f t="shared" ca="1" si="13"/>
        <v>125271215.01859201</v>
      </c>
      <c r="D121" s="5">
        <f t="shared" ca="1" si="20"/>
        <v>0</v>
      </c>
      <c r="E121" s="2">
        <f t="shared" ca="1" si="21"/>
        <v>12127812.749805929</v>
      </c>
      <c r="F121" s="2">
        <f t="shared" si="22"/>
        <v>3882900.869094485</v>
      </c>
      <c r="G121" s="2">
        <f t="shared" ca="1" si="14"/>
        <v>1212781.274980593</v>
      </c>
      <c r="H121" s="5">
        <f t="shared" ca="1" si="15"/>
        <v>1.5566331181850135E-2</v>
      </c>
      <c r="I121" s="2">
        <f t="shared" ca="1" si="16"/>
        <v>1968891.7755096562</v>
      </c>
      <c r="J121" s="2">
        <f t="shared" ca="1" si="17"/>
        <v>128452888.06908226</v>
      </c>
      <c r="K121" s="2">
        <f t="shared" ca="1" si="23"/>
        <v>206764460.50487611</v>
      </c>
      <c r="L121" s="5">
        <f t="shared" ca="1" si="12"/>
        <v>0.62125225851399624</v>
      </c>
      <c r="N121" s="1" t="s">
        <v>139</v>
      </c>
      <c r="O121" s="4">
        <v>19970335963.189362</v>
      </c>
      <c r="P121" s="10">
        <v>4.3495211581689084</v>
      </c>
      <c r="Q121" s="1">
        <v>127</v>
      </c>
    </row>
    <row r="122" spans="1:17" x14ac:dyDescent="0.3">
      <c r="A122" s="1">
        <f t="shared" si="18"/>
        <v>10</v>
      </c>
      <c r="B122" s="1">
        <f t="shared" si="19"/>
        <v>3</v>
      </c>
      <c r="C122" s="2">
        <f t="shared" ca="1" si="13"/>
        <v>128452888.06908226</v>
      </c>
      <c r="D122" s="5">
        <f t="shared" ca="1" si="20"/>
        <v>0</v>
      </c>
      <c r="E122" s="2">
        <f t="shared" ca="1" si="21"/>
        <v>12127812.749805929</v>
      </c>
      <c r="F122" s="2">
        <f t="shared" si="22"/>
        <v>3882900.869094485</v>
      </c>
      <c r="G122" s="2">
        <f t="shared" ca="1" si="14"/>
        <v>1212781.274980593</v>
      </c>
      <c r="H122" s="5">
        <f t="shared" ca="1" si="15"/>
        <v>1.5685692241169225E-2</v>
      </c>
      <c r="I122" s="2">
        <f t="shared" ca="1" si="16"/>
        <v>2033895.7835761809</v>
      </c>
      <c r="J122" s="2">
        <f t="shared" ca="1" si="17"/>
        <v>131699565.12763903</v>
      </c>
      <c r="K122" s="2">
        <f t="shared" ca="1" si="23"/>
        <v>206764460.50487611</v>
      </c>
      <c r="L122" s="5">
        <f t="shared" ca="1" si="12"/>
        <v>0.63695455595248762</v>
      </c>
      <c r="N122" s="1" t="s">
        <v>140</v>
      </c>
      <c r="O122" s="4">
        <v>16836091216.861809</v>
      </c>
      <c r="P122" s="10">
        <v>4.8972943659010193</v>
      </c>
      <c r="Q122" s="1">
        <v>129</v>
      </c>
    </row>
    <row r="123" spans="1:17" x14ac:dyDescent="0.3">
      <c r="A123" s="1">
        <f t="shared" si="18"/>
        <v>10</v>
      </c>
      <c r="B123" s="1">
        <f t="shared" si="19"/>
        <v>4</v>
      </c>
      <c r="C123" s="2">
        <f t="shared" ca="1" si="13"/>
        <v>131699565.12763903</v>
      </c>
      <c r="D123" s="5">
        <f t="shared" ca="1" si="20"/>
        <v>0</v>
      </c>
      <c r="E123" s="2">
        <f t="shared" ca="1" si="21"/>
        <v>12127812.749805929</v>
      </c>
      <c r="F123" s="2">
        <f t="shared" si="22"/>
        <v>3882900.869094485</v>
      </c>
      <c r="G123" s="2">
        <f t="shared" ca="1" si="14"/>
        <v>1212781.274980593</v>
      </c>
      <c r="H123" s="5">
        <f t="shared" ca="1" si="15"/>
        <v>1.7601754228683042E-2</v>
      </c>
      <c r="I123" s="2">
        <f t="shared" ca="1" si="16"/>
        <v>2339490.4553364953</v>
      </c>
      <c r="J123" s="2">
        <f t="shared" ca="1" si="17"/>
        <v>135251836.85795611</v>
      </c>
      <c r="K123" s="2">
        <f t="shared" ca="1" si="23"/>
        <v>206764460.50487611</v>
      </c>
      <c r="L123" s="5">
        <f t="shared" ca="1" si="12"/>
        <v>0.65413483791024363</v>
      </c>
      <c r="N123" s="1" t="s">
        <v>141</v>
      </c>
      <c r="O123" s="4">
        <v>15995344639.142529</v>
      </c>
      <c r="P123" s="10">
        <v>2.3833221170738463</v>
      </c>
      <c r="Q123" s="1">
        <v>131</v>
      </c>
    </row>
    <row r="124" spans="1:17" x14ac:dyDescent="0.3">
      <c r="A124" s="1">
        <f t="shared" si="18"/>
        <v>10</v>
      </c>
      <c r="B124" s="1">
        <f t="shared" si="19"/>
        <v>5</v>
      </c>
      <c r="C124" s="2">
        <f t="shared" ca="1" si="13"/>
        <v>135251836.85795611</v>
      </c>
      <c r="D124" s="5">
        <f t="shared" ca="1" si="20"/>
        <v>0</v>
      </c>
      <c r="E124" s="2">
        <f t="shared" ca="1" si="21"/>
        <v>12127812.749805929</v>
      </c>
      <c r="F124" s="2">
        <f t="shared" si="22"/>
        <v>3882900.869094485</v>
      </c>
      <c r="G124" s="2">
        <f t="shared" ca="1" si="14"/>
        <v>1212781.274980593</v>
      </c>
      <c r="H124" s="5">
        <f t="shared" ca="1" si="15"/>
        <v>1.7335677942114325E-2</v>
      </c>
      <c r="I124" s="2">
        <f t="shared" ca="1" si="16"/>
        <v>2365706.6704462054</v>
      </c>
      <c r="J124" s="2">
        <f t="shared" ca="1" si="17"/>
        <v>138830324.80338293</v>
      </c>
      <c r="K124" s="2">
        <f t="shared" ca="1" si="23"/>
        <v>206764460.50487611</v>
      </c>
      <c r="L124" s="5">
        <f t="shared" ca="1" si="12"/>
        <v>0.67144191252398</v>
      </c>
      <c r="N124" s="1" t="s">
        <v>142</v>
      </c>
      <c r="O124" s="4">
        <v>21576637987.245754</v>
      </c>
      <c r="P124" s="10">
        <v>3.9655026933680775</v>
      </c>
      <c r="Q124" s="1">
        <v>129</v>
      </c>
    </row>
    <row r="125" spans="1:17" x14ac:dyDescent="0.3">
      <c r="A125" s="1">
        <f t="shared" si="18"/>
        <v>10</v>
      </c>
      <c r="B125" s="1">
        <f t="shared" si="19"/>
        <v>6</v>
      </c>
      <c r="C125" s="2">
        <f t="shared" ca="1" si="13"/>
        <v>138830324.80338293</v>
      </c>
      <c r="D125" s="5">
        <f t="shared" ca="1" si="20"/>
        <v>0</v>
      </c>
      <c r="E125" s="2">
        <f t="shared" ca="1" si="21"/>
        <v>12127812.749805929</v>
      </c>
      <c r="F125" s="2">
        <f t="shared" si="22"/>
        <v>3882900.869094485</v>
      </c>
      <c r="G125" s="2">
        <f t="shared" ca="1" si="14"/>
        <v>2425562.549961186</v>
      </c>
      <c r="H125" s="5">
        <f t="shared" ca="1" si="15"/>
        <v>1.2994944748594861E-2</v>
      </c>
      <c r="I125" s="2">
        <f t="shared" ca="1" si="16"/>
        <v>1835612.4515704464</v>
      </c>
      <c r="J125" s="2">
        <f t="shared" ca="1" si="17"/>
        <v>143091499.80491456</v>
      </c>
      <c r="K125" s="2">
        <f t="shared" ca="1" si="23"/>
        <v>206764460.50487611</v>
      </c>
      <c r="L125" s="5">
        <f t="shared" ca="1" si="12"/>
        <v>0.69205074922215681</v>
      </c>
      <c r="N125" s="1" t="s">
        <v>143</v>
      </c>
      <c r="O125" s="4">
        <v>20340336848.775394</v>
      </c>
      <c r="P125" s="10">
        <v>3.7659402795516086</v>
      </c>
      <c r="Q125" s="1">
        <v>126</v>
      </c>
    </row>
    <row r="126" spans="1:17" x14ac:dyDescent="0.3">
      <c r="A126" s="1">
        <f t="shared" si="18"/>
        <v>10</v>
      </c>
      <c r="B126" s="1">
        <f t="shared" si="19"/>
        <v>7</v>
      </c>
      <c r="C126" s="2">
        <f t="shared" ca="1" si="13"/>
        <v>143091499.80491456</v>
      </c>
      <c r="D126" s="5">
        <f t="shared" ca="1" si="20"/>
        <v>0</v>
      </c>
      <c r="E126" s="2">
        <f t="shared" ca="1" si="21"/>
        <v>12127812.749805929</v>
      </c>
      <c r="F126" s="2">
        <f t="shared" si="22"/>
        <v>3882900.869094485</v>
      </c>
      <c r="G126" s="2">
        <f t="shared" ca="1" si="14"/>
        <v>1212781.274980593</v>
      </c>
      <c r="H126" s="5">
        <f t="shared" ca="1" si="15"/>
        <v>1.4609033437689822E-2</v>
      </c>
      <c r="I126" s="2">
        <f t="shared" ca="1" si="16"/>
        <v>2108146.0674979794</v>
      </c>
      <c r="J126" s="2">
        <f t="shared" ca="1" si="17"/>
        <v>146412427.14739314</v>
      </c>
      <c r="K126" s="2">
        <f t="shared" ca="1" si="23"/>
        <v>206764460.50487611</v>
      </c>
      <c r="L126" s="5">
        <f t="shared" ca="1" si="12"/>
        <v>0.70811215230066249</v>
      </c>
      <c r="N126" s="1" t="s">
        <v>144</v>
      </c>
      <c r="O126" s="4">
        <v>17506088893.33836</v>
      </c>
      <c r="P126" s="10">
        <v>2.5418163891675083</v>
      </c>
      <c r="Q126" s="1">
        <v>130</v>
      </c>
    </row>
    <row r="127" spans="1:17" x14ac:dyDescent="0.3">
      <c r="A127" s="1">
        <f t="shared" si="18"/>
        <v>10</v>
      </c>
      <c r="B127" s="1">
        <f t="shared" si="19"/>
        <v>8</v>
      </c>
      <c r="C127" s="2">
        <f t="shared" ca="1" si="13"/>
        <v>146412427.14739314</v>
      </c>
      <c r="D127" s="5">
        <f t="shared" ca="1" si="20"/>
        <v>0</v>
      </c>
      <c r="E127" s="2">
        <f t="shared" ca="1" si="21"/>
        <v>12127812.749805929</v>
      </c>
      <c r="F127" s="2">
        <f t="shared" si="22"/>
        <v>3882900.869094485</v>
      </c>
      <c r="G127" s="2">
        <f t="shared" ca="1" si="14"/>
        <v>1212781.274980593</v>
      </c>
      <c r="H127" s="5">
        <f t="shared" ca="1" si="15"/>
        <v>1.3542206114216748E-2</v>
      </c>
      <c r="I127" s="2">
        <f t="shared" ca="1" si="16"/>
        <v>1999171.0001099915</v>
      </c>
      <c r="J127" s="2">
        <f t="shared" ca="1" si="17"/>
        <v>149624379.42248374</v>
      </c>
      <c r="K127" s="2">
        <f t="shared" ca="1" si="23"/>
        <v>206764460.50487611</v>
      </c>
      <c r="L127" s="5">
        <f t="shared" ca="1" si="12"/>
        <v>0.72364650606362391</v>
      </c>
      <c r="N127" s="1" t="s">
        <v>145</v>
      </c>
      <c r="O127" s="4">
        <v>18762883765.26553</v>
      </c>
      <c r="P127" s="10">
        <v>3.9337920476892343</v>
      </c>
      <c r="Q127" s="1">
        <v>132</v>
      </c>
    </row>
    <row r="128" spans="1:17" x14ac:dyDescent="0.3">
      <c r="A128" s="1">
        <f t="shared" si="18"/>
        <v>10</v>
      </c>
      <c r="B128" s="1">
        <f t="shared" si="19"/>
        <v>9</v>
      </c>
      <c r="C128" s="2">
        <f t="shared" ca="1" si="13"/>
        <v>149624379.42248374</v>
      </c>
      <c r="D128" s="5">
        <f t="shared" ca="1" si="20"/>
        <v>0</v>
      </c>
      <c r="E128" s="2">
        <f t="shared" ca="1" si="21"/>
        <v>12127812.749805929</v>
      </c>
      <c r="F128" s="2">
        <f t="shared" si="22"/>
        <v>3882900.869094485</v>
      </c>
      <c r="G128" s="2">
        <f t="shared" ca="1" si="14"/>
        <v>1212781.274980593</v>
      </c>
      <c r="H128" s="5">
        <f t="shared" ca="1" si="15"/>
        <v>1.7677016461288497E-2</v>
      </c>
      <c r="I128" s="2">
        <f t="shared" ca="1" si="16"/>
        <v>2666350.9726230954</v>
      </c>
      <c r="J128" s="2">
        <f t="shared" ca="1" si="17"/>
        <v>153503511.67008746</v>
      </c>
      <c r="K128" s="2">
        <f t="shared" ca="1" si="23"/>
        <v>206764460.50487611</v>
      </c>
      <c r="L128" s="5">
        <f t="shared" ca="1" si="12"/>
        <v>0.74240762312470709</v>
      </c>
      <c r="N128" s="1" t="s">
        <v>146</v>
      </c>
      <c r="O128" s="4">
        <v>17126172974.826694</v>
      </c>
      <c r="P128" s="10">
        <v>3.9909634129578051</v>
      </c>
      <c r="Q128" s="1">
        <v>134</v>
      </c>
    </row>
    <row r="129" spans="1:17" x14ac:dyDescent="0.3">
      <c r="A129" s="1">
        <f t="shared" si="18"/>
        <v>10</v>
      </c>
      <c r="B129" s="1">
        <f t="shared" si="19"/>
        <v>10</v>
      </c>
      <c r="C129" s="2">
        <f t="shared" ca="1" si="13"/>
        <v>153503511.67008746</v>
      </c>
      <c r="D129" s="5">
        <f t="shared" ca="1" si="20"/>
        <v>0</v>
      </c>
      <c r="E129" s="2">
        <f t="shared" ca="1" si="21"/>
        <v>12127812.749805929</v>
      </c>
      <c r="F129" s="2">
        <f t="shared" si="22"/>
        <v>3882900.869094485</v>
      </c>
      <c r="G129" s="2">
        <f t="shared" ca="1" si="14"/>
        <v>1212781.274980593</v>
      </c>
      <c r="H129" s="5">
        <f t="shared" ca="1" si="15"/>
        <v>1.5548427113296848E-2</v>
      </c>
      <c r="I129" s="2">
        <f t="shared" ca="1" si="16"/>
        <v>2405595.0040958743</v>
      </c>
      <c r="J129" s="2">
        <f t="shared" ca="1" si="17"/>
        <v>157121887.94916394</v>
      </c>
      <c r="K129" s="2">
        <f t="shared" ca="1" si="23"/>
        <v>206764460.50487611</v>
      </c>
      <c r="L129" s="5">
        <f t="shared" ca="1" si="12"/>
        <v>0.75990761451704392</v>
      </c>
      <c r="N129" s="1" t="s">
        <v>147</v>
      </c>
      <c r="O129" s="4">
        <v>19090002482.448303</v>
      </c>
      <c r="P129" s="10">
        <v>2.889827778161564</v>
      </c>
      <c r="Q129" s="1">
        <v>129</v>
      </c>
    </row>
    <row r="130" spans="1:17" x14ac:dyDescent="0.3">
      <c r="A130" s="1">
        <f t="shared" si="18"/>
        <v>10</v>
      </c>
      <c r="B130" s="1">
        <f t="shared" si="19"/>
        <v>11</v>
      </c>
      <c r="C130" s="2">
        <f t="shared" ca="1" si="13"/>
        <v>157121887.94916394</v>
      </c>
      <c r="D130" s="5">
        <f t="shared" ca="1" si="20"/>
        <v>0</v>
      </c>
      <c r="E130" s="2">
        <f t="shared" ca="1" si="21"/>
        <v>12127812.749805929</v>
      </c>
      <c r="F130" s="2">
        <f t="shared" si="22"/>
        <v>3882900.869094485</v>
      </c>
      <c r="G130" s="2">
        <f t="shared" ca="1" si="14"/>
        <v>1212781.274980593</v>
      </c>
      <c r="H130" s="5">
        <f t="shared" ca="1" si="15"/>
        <v>1.4158811514352276E-2</v>
      </c>
      <c r="I130" s="2">
        <f t="shared" ca="1" si="16"/>
        <v>2241830.7377319769</v>
      </c>
      <c r="J130" s="2">
        <f t="shared" ca="1" si="17"/>
        <v>160576499.96187651</v>
      </c>
      <c r="K130" s="2">
        <f t="shared" ca="1" si="23"/>
        <v>206764460.50487611</v>
      </c>
      <c r="L130" s="5">
        <f t="shared" ca="1" si="12"/>
        <v>0.77661557295572881</v>
      </c>
      <c r="N130" s="1" t="s">
        <v>148</v>
      </c>
      <c r="O130" s="4">
        <v>20745842027.383984</v>
      </c>
      <c r="P130" s="10">
        <v>5.6620203105194031</v>
      </c>
      <c r="Q130" s="1">
        <v>127</v>
      </c>
    </row>
    <row r="131" spans="1:17" x14ac:dyDescent="0.3">
      <c r="A131" s="1">
        <f t="shared" si="18"/>
        <v>10</v>
      </c>
      <c r="B131" s="1">
        <f t="shared" si="19"/>
        <v>12</v>
      </c>
      <c r="C131" s="2">
        <f t="shared" ca="1" si="13"/>
        <v>160576499.96187651</v>
      </c>
      <c r="D131" s="5">
        <f t="shared" ca="1" si="20"/>
        <v>0</v>
      </c>
      <c r="E131" s="2">
        <f t="shared" ca="1" si="21"/>
        <v>12127812.749805929</v>
      </c>
      <c r="F131" s="2">
        <f t="shared" si="22"/>
        <v>3882900.869094485</v>
      </c>
      <c r="G131" s="2">
        <f t="shared" ca="1" si="14"/>
        <v>2425562.549961186</v>
      </c>
      <c r="H131" s="5">
        <f t="shared" ca="1" si="15"/>
        <v>1.515229769706905E-2</v>
      </c>
      <c r="I131" s="2">
        <f t="shared" ca="1" si="16"/>
        <v>2469855.7764156237</v>
      </c>
      <c r="J131" s="2">
        <f t="shared" ca="1" si="17"/>
        <v>165471918.28825331</v>
      </c>
      <c r="K131" s="2">
        <f t="shared" ca="1" si="23"/>
        <v>206764460.50487611</v>
      </c>
      <c r="L131" s="5">
        <f t="shared" ca="1" si="12"/>
        <v>0.80029187745420594</v>
      </c>
      <c r="N131" s="1" t="s">
        <v>149</v>
      </c>
      <c r="O131" s="4">
        <v>18326374346.352612</v>
      </c>
      <c r="P131" s="10">
        <v>2.9295257667994039</v>
      </c>
      <c r="Q131" s="1">
        <v>129</v>
      </c>
    </row>
    <row r="132" spans="1:17" x14ac:dyDescent="0.3">
      <c r="A132" s="1">
        <f t="shared" si="18"/>
        <v>11</v>
      </c>
      <c r="B132" s="1">
        <f t="shared" si="19"/>
        <v>1</v>
      </c>
      <c r="C132" s="2">
        <f t="shared" ca="1" si="13"/>
        <v>165471918.28825331</v>
      </c>
      <c r="D132" s="5">
        <f t="shared" ca="1" si="20"/>
        <v>4.8979138249590777E-2</v>
      </c>
      <c r="E132" s="2">
        <f t="shared" ca="1" si="21"/>
        <v>12721822.567143824</v>
      </c>
      <c r="F132" s="2">
        <f t="shared" si="22"/>
        <v>4179942.7855802132</v>
      </c>
      <c r="G132" s="2">
        <f t="shared" ca="1" si="14"/>
        <v>1272182.2567143824</v>
      </c>
      <c r="H132" s="5">
        <f t="shared" ca="1" si="15"/>
        <v>1.6919156204210362E-2</v>
      </c>
      <c r="I132" s="2">
        <f t="shared" ca="1" si="16"/>
        <v>2821169.4832508662</v>
      </c>
      <c r="J132" s="2">
        <f t="shared" ca="1" si="17"/>
        <v>169565270.02821854</v>
      </c>
      <c r="K132" s="2">
        <f t="shared" ca="1" si="23"/>
        <v>214132766.32785881</v>
      </c>
      <c r="L132" s="5">
        <f t="shared" ca="1" si="12"/>
        <v>0.79186979618335029</v>
      </c>
      <c r="N132" s="1" t="s">
        <v>150</v>
      </c>
      <c r="O132" s="4">
        <v>17714834365.008312</v>
      </c>
      <c r="P132" s="10">
        <v>2.6544862436211112</v>
      </c>
      <c r="Q132" s="1">
        <v>132</v>
      </c>
    </row>
    <row r="133" spans="1:17" x14ac:dyDescent="0.3">
      <c r="A133" s="1">
        <f t="shared" si="18"/>
        <v>11</v>
      </c>
      <c r="B133" s="1">
        <f t="shared" si="19"/>
        <v>2</v>
      </c>
      <c r="C133" s="2">
        <f t="shared" ca="1" si="13"/>
        <v>169565270.02821854</v>
      </c>
      <c r="D133" s="5">
        <f t="shared" ca="1" si="20"/>
        <v>0</v>
      </c>
      <c r="E133" s="2">
        <f t="shared" ca="1" si="21"/>
        <v>12721822.567143824</v>
      </c>
      <c r="F133" s="2">
        <f t="shared" si="22"/>
        <v>4179942.7855802132</v>
      </c>
      <c r="G133" s="2">
        <f t="shared" ca="1" si="14"/>
        <v>1272182.2567143824</v>
      </c>
      <c r="H133" s="5">
        <f t="shared" ca="1" si="15"/>
        <v>1.7904111906965392E-2</v>
      </c>
      <c r="I133" s="2">
        <f t="shared" ca="1" si="16"/>
        <v>3058692.8636102993</v>
      </c>
      <c r="J133" s="2">
        <f t="shared" ca="1" si="17"/>
        <v>173896145.14854321</v>
      </c>
      <c r="K133" s="2">
        <f t="shared" ca="1" si="23"/>
        <v>214132766.32785881</v>
      </c>
      <c r="L133" s="5">
        <f t="shared" ca="1" si="12"/>
        <v>0.81209498261602209</v>
      </c>
      <c r="N133" s="1" t="s">
        <v>151</v>
      </c>
      <c r="O133" s="4">
        <v>20453529810.142422</v>
      </c>
      <c r="P133" s="10">
        <v>3.8691332950480692</v>
      </c>
      <c r="Q133" s="1">
        <v>129</v>
      </c>
    </row>
    <row r="134" spans="1:17" x14ac:dyDescent="0.3">
      <c r="A134" s="1">
        <f t="shared" si="18"/>
        <v>11</v>
      </c>
      <c r="B134" s="1">
        <f t="shared" si="19"/>
        <v>3</v>
      </c>
      <c r="C134" s="2">
        <f t="shared" ca="1" si="13"/>
        <v>173896145.14854321</v>
      </c>
      <c r="D134" s="5">
        <f t="shared" ca="1" si="20"/>
        <v>0</v>
      </c>
      <c r="E134" s="2">
        <f t="shared" ca="1" si="21"/>
        <v>12721822.567143824</v>
      </c>
      <c r="F134" s="2">
        <f t="shared" si="22"/>
        <v>4179942.7855802132</v>
      </c>
      <c r="G134" s="2">
        <f t="shared" ca="1" si="14"/>
        <v>1272182.2567143824</v>
      </c>
      <c r="H134" s="5">
        <f t="shared" ca="1" si="15"/>
        <v>1.803185086602288E-2</v>
      </c>
      <c r="I134" s="2">
        <f t="shared" ca="1" si="16"/>
        <v>3158609.1562222736</v>
      </c>
      <c r="J134" s="2">
        <f t="shared" ca="1" si="17"/>
        <v>178326936.56147987</v>
      </c>
      <c r="K134" s="2">
        <f t="shared" ca="1" si="23"/>
        <v>214132766.32785881</v>
      </c>
      <c r="L134" s="5">
        <f t="shared" ca="1" si="12"/>
        <v>0.83278677812644231</v>
      </c>
      <c r="N134" s="1" t="s">
        <v>152</v>
      </c>
      <c r="O134" s="4">
        <v>19963865742.965496</v>
      </c>
      <c r="P134" s="10">
        <v>2.9704895960529991</v>
      </c>
      <c r="Q134" s="1">
        <v>127</v>
      </c>
    </row>
    <row r="135" spans="1:17" x14ac:dyDescent="0.3">
      <c r="A135" s="1">
        <f t="shared" si="18"/>
        <v>11</v>
      </c>
      <c r="B135" s="1">
        <f t="shared" si="19"/>
        <v>4</v>
      </c>
      <c r="C135" s="2">
        <f t="shared" ca="1" si="13"/>
        <v>178326936.56147987</v>
      </c>
      <c r="D135" s="5">
        <f t="shared" ca="1" si="20"/>
        <v>0</v>
      </c>
      <c r="E135" s="2">
        <f t="shared" ca="1" si="21"/>
        <v>12721822.567143824</v>
      </c>
      <c r="F135" s="2">
        <f t="shared" si="22"/>
        <v>4179942.7855802132</v>
      </c>
      <c r="G135" s="2">
        <f t="shared" ca="1" si="14"/>
        <v>1272182.2567143824</v>
      </c>
      <c r="H135" s="5">
        <f t="shared" ca="1" si="15"/>
        <v>1.588830539549746E-2</v>
      </c>
      <c r="I135" s="2">
        <f t="shared" ca="1" si="16"/>
        <v>2853525.6485457048</v>
      </c>
      <c r="J135" s="2">
        <f t="shared" ca="1" si="17"/>
        <v>182452644.46673995</v>
      </c>
      <c r="K135" s="2">
        <f t="shared" ca="1" si="23"/>
        <v>214132766.32785881</v>
      </c>
      <c r="L135" s="5">
        <f t="shared" ca="1" si="12"/>
        <v>0.85205383368272836</v>
      </c>
      <c r="N135" s="1" t="s">
        <v>153</v>
      </c>
      <c r="O135" s="4">
        <v>16708799827.174517</v>
      </c>
      <c r="P135" s="10">
        <v>2.6230828851611645</v>
      </c>
      <c r="Q135" s="1">
        <v>134</v>
      </c>
    </row>
    <row r="136" spans="1:17" x14ac:dyDescent="0.3">
      <c r="A136" s="1">
        <f t="shared" si="18"/>
        <v>11</v>
      </c>
      <c r="B136" s="1">
        <f t="shared" si="19"/>
        <v>5</v>
      </c>
      <c r="C136" s="2">
        <f t="shared" ca="1" si="13"/>
        <v>182452644.46673995</v>
      </c>
      <c r="D136" s="5">
        <f t="shared" ca="1" si="20"/>
        <v>0</v>
      </c>
      <c r="E136" s="2">
        <f t="shared" ca="1" si="21"/>
        <v>12721822.567143824</v>
      </c>
      <c r="F136" s="2">
        <f t="shared" si="22"/>
        <v>4179942.7855802132</v>
      </c>
      <c r="G136" s="2">
        <f t="shared" ca="1" si="14"/>
        <v>1272182.2567143824</v>
      </c>
      <c r="H136" s="5">
        <f t="shared" ca="1" si="15"/>
        <v>1.5730835205451932E-2</v>
      </c>
      <c r="I136" s="2">
        <f t="shared" ca="1" si="16"/>
        <v>2890144.9723368711</v>
      </c>
      <c r="J136" s="2">
        <f t="shared" ca="1" si="17"/>
        <v>186614971.69579118</v>
      </c>
      <c r="K136" s="2">
        <f t="shared" ca="1" si="23"/>
        <v>214132766.32785881</v>
      </c>
      <c r="L136" s="5">
        <f t="shared" ca="1" si="12"/>
        <v>0.87149190147791245</v>
      </c>
      <c r="N136" s="1" t="s">
        <v>154</v>
      </c>
      <c r="O136" s="4">
        <v>19924895351.121643</v>
      </c>
      <c r="P136" s="10">
        <v>3.9941071227056049</v>
      </c>
      <c r="Q136" s="1">
        <v>129</v>
      </c>
    </row>
    <row r="137" spans="1:17" x14ac:dyDescent="0.3">
      <c r="A137" s="1">
        <f t="shared" si="18"/>
        <v>11</v>
      </c>
      <c r="B137" s="1">
        <f t="shared" si="19"/>
        <v>6</v>
      </c>
      <c r="C137" s="2">
        <f t="shared" ca="1" si="13"/>
        <v>186614971.69579118</v>
      </c>
      <c r="D137" s="5">
        <f t="shared" ca="1" si="20"/>
        <v>0</v>
      </c>
      <c r="E137" s="2">
        <f t="shared" ca="1" si="21"/>
        <v>12721822.567143824</v>
      </c>
      <c r="F137" s="2">
        <f t="shared" si="22"/>
        <v>4179942.7855802132</v>
      </c>
      <c r="G137" s="2">
        <f t="shared" ca="1" si="14"/>
        <v>2544364.5134287649</v>
      </c>
      <c r="H137" s="5">
        <f t="shared" ca="1" si="15"/>
        <v>1.5665193817550938E-2</v>
      </c>
      <c r="I137" s="2">
        <f t="shared" ca="1" si="16"/>
        <v>2963217.6641167118</v>
      </c>
      <c r="J137" s="2">
        <f t="shared" ca="1" si="17"/>
        <v>192122553.87333667</v>
      </c>
      <c r="K137" s="2">
        <f t="shared" ca="1" si="23"/>
        <v>214132766.32785881</v>
      </c>
      <c r="L137" s="5">
        <f t="shared" ca="1" si="12"/>
        <v>0.89721230976476396</v>
      </c>
      <c r="N137" s="1" t="s">
        <v>155</v>
      </c>
      <c r="O137" s="4">
        <v>20027117585.481972</v>
      </c>
      <c r="P137" s="10">
        <v>3.3381013416218233</v>
      </c>
      <c r="Q137" s="1">
        <v>129</v>
      </c>
    </row>
    <row r="138" spans="1:17" x14ac:dyDescent="0.3">
      <c r="A138" s="1">
        <f t="shared" si="18"/>
        <v>11</v>
      </c>
      <c r="B138" s="1">
        <f t="shared" si="19"/>
        <v>7</v>
      </c>
      <c r="C138" s="2">
        <f t="shared" ca="1" si="13"/>
        <v>192122553.87333667</v>
      </c>
      <c r="D138" s="5">
        <f t="shared" ca="1" si="20"/>
        <v>0</v>
      </c>
      <c r="E138" s="2">
        <f t="shared" ca="1" si="21"/>
        <v>12721822.567143824</v>
      </c>
      <c r="F138" s="2">
        <f t="shared" si="22"/>
        <v>4179942.7855802132</v>
      </c>
      <c r="G138" s="2">
        <f t="shared" ca="1" si="14"/>
        <v>1272182.2567143824</v>
      </c>
      <c r="H138" s="5">
        <f t="shared" ca="1" si="15"/>
        <v>1.464919033102996E-2</v>
      </c>
      <c r="I138" s="2">
        <f t="shared" ca="1" si="16"/>
        <v>2833076.2985884342</v>
      </c>
      <c r="J138" s="2">
        <f t="shared" ca="1" si="17"/>
        <v>196227812.42863947</v>
      </c>
      <c r="K138" s="2">
        <f t="shared" ca="1" si="23"/>
        <v>214132766.32785881</v>
      </c>
      <c r="L138" s="5">
        <f t="shared" ca="1" si="12"/>
        <v>0.91638386685854023</v>
      </c>
      <c r="N138" s="1" t="s">
        <v>156</v>
      </c>
      <c r="O138" s="4">
        <v>21071486070.785122</v>
      </c>
      <c r="P138" s="10">
        <v>3.130676806675444</v>
      </c>
      <c r="Q138" s="1">
        <v>127</v>
      </c>
    </row>
    <row r="139" spans="1:17" x14ac:dyDescent="0.3">
      <c r="A139" s="1">
        <f t="shared" si="18"/>
        <v>11</v>
      </c>
      <c r="B139" s="1">
        <f t="shared" si="19"/>
        <v>8</v>
      </c>
      <c r="C139" s="2">
        <f t="shared" ca="1" si="13"/>
        <v>196227812.42863947</v>
      </c>
      <c r="D139" s="5">
        <f t="shared" ca="1" si="20"/>
        <v>0</v>
      </c>
      <c r="E139" s="2">
        <f t="shared" ca="1" si="21"/>
        <v>12721822.567143824</v>
      </c>
      <c r="F139" s="2">
        <f t="shared" si="22"/>
        <v>4179942.7855802132</v>
      </c>
      <c r="G139" s="2">
        <f t="shared" ca="1" si="14"/>
        <v>1272182.2567143824</v>
      </c>
      <c r="H139" s="5">
        <f t="shared" ca="1" si="15"/>
        <v>1.4384252535236897E-2</v>
      </c>
      <c r="I139" s="2">
        <f t="shared" ca="1" si="16"/>
        <v>2840889.7992620748</v>
      </c>
      <c r="J139" s="2">
        <f t="shared" ca="1" si="17"/>
        <v>200340884.48461592</v>
      </c>
      <c r="K139" s="2">
        <f t="shared" ca="1" si="23"/>
        <v>214132766.32785881</v>
      </c>
      <c r="L139" s="5">
        <f t="shared" ca="1" si="12"/>
        <v>0.93559191299977829</v>
      </c>
      <c r="N139" s="1" t="s">
        <v>157</v>
      </c>
      <c r="O139" s="4">
        <v>16924644458.453909</v>
      </c>
      <c r="P139" s="10">
        <v>2.6751012192072161</v>
      </c>
      <c r="Q139" s="1">
        <v>128</v>
      </c>
    </row>
    <row r="140" spans="1:17" x14ac:dyDescent="0.3">
      <c r="A140" s="1">
        <f t="shared" si="18"/>
        <v>11</v>
      </c>
      <c r="B140" s="1">
        <f t="shared" si="19"/>
        <v>9</v>
      </c>
      <c r="C140" s="2">
        <f t="shared" ca="1" si="13"/>
        <v>200340884.48461592</v>
      </c>
      <c r="D140" s="5">
        <f t="shared" ca="1" si="20"/>
        <v>0</v>
      </c>
      <c r="E140" s="2">
        <f t="shared" ca="1" si="21"/>
        <v>12721822.567143824</v>
      </c>
      <c r="F140" s="2">
        <f t="shared" si="22"/>
        <v>4179942.7855802132</v>
      </c>
      <c r="G140" s="2">
        <f t="shared" ca="1" si="14"/>
        <v>1272182.2567143824</v>
      </c>
      <c r="H140" s="5">
        <f t="shared" ca="1" si="15"/>
        <v>1.7071554517875676E-2</v>
      </c>
      <c r="I140" s="2">
        <f t="shared" ca="1" si="16"/>
        <v>3441848.4603907275</v>
      </c>
      <c r="J140" s="2">
        <f t="shared" ca="1" si="17"/>
        <v>205054915.20172101</v>
      </c>
      <c r="K140" s="2">
        <f t="shared" ca="1" si="23"/>
        <v>214132766.32785881</v>
      </c>
      <c r="L140" s="5">
        <f t="shared" ref="L140:L203" ca="1" si="24">(J140/K140)</f>
        <v>0.95760643603586248</v>
      </c>
      <c r="N140" s="1" t="s">
        <v>158</v>
      </c>
      <c r="O140" s="4">
        <v>17722856037.94495</v>
      </c>
      <c r="P140" s="10">
        <v>3.0355653181486031</v>
      </c>
      <c r="Q140" s="1">
        <v>129</v>
      </c>
    </row>
    <row r="141" spans="1:17" x14ac:dyDescent="0.3">
      <c r="A141" s="1">
        <f t="shared" si="18"/>
        <v>11</v>
      </c>
      <c r="B141" s="1">
        <f t="shared" si="19"/>
        <v>10</v>
      </c>
      <c r="C141" s="2">
        <f t="shared" ref="C141:C204" ca="1" si="25">J140</f>
        <v>205054915.20172101</v>
      </c>
      <c r="D141" s="5">
        <f t="shared" ca="1" si="20"/>
        <v>0</v>
      </c>
      <c r="E141" s="2">
        <f t="shared" ca="1" si="21"/>
        <v>12721822.567143824</v>
      </c>
      <c r="F141" s="2">
        <f t="shared" si="22"/>
        <v>4179942.7855802132</v>
      </c>
      <c r="G141" s="2">
        <f t="shared" ref="G141:G204" ca="1" si="26">IF(OR(B141=6,B141=12),E141*$B$2*2,E141*$B$2)</f>
        <v>1272182.2567143824</v>
      </c>
      <c r="H141" s="5">
        <f t="shared" ref="H141:H204" ca="1" si="27">(NORMINV(RAND(),$E$3,$F$3)+1)^(1/12)-1</f>
        <v>1.3907969296967027E-2</v>
      </c>
      <c r="I141" s="2">
        <f t="shared" ref="I141:I204" ca="1" si="28">(J140+G141)*H141</f>
        <v>2869590.9365842426</v>
      </c>
      <c r="J141" s="2">
        <f t="shared" ref="J141:J204" ca="1" si="29">G141+C141+I141</f>
        <v>209196688.39501962</v>
      </c>
      <c r="K141" s="2">
        <f t="shared" ca="1" si="23"/>
        <v>214132766.32785881</v>
      </c>
      <c r="L141" s="5">
        <f t="shared" ca="1" si="24"/>
        <v>0.97694851648588166</v>
      </c>
      <c r="N141" s="1" t="s">
        <v>159</v>
      </c>
      <c r="O141" s="4">
        <v>18686550662.083611</v>
      </c>
      <c r="P141" s="10">
        <v>4.384855051603088</v>
      </c>
      <c r="Q141" s="1">
        <v>128</v>
      </c>
    </row>
    <row r="142" spans="1:17" x14ac:dyDescent="0.3">
      <c r="A142" s="1">
        <f t="shared" ref="A142:A205" si="30">IF(B142=1,A141+1,A141)</f>
        <v>11</v>
      </c>
      <c r="B142" s="1">
        <f t="shared" ref="B142:B205" si="31">IF(B141=12,1,B141+1)</f>
        <v>11</v>
      </c>
      <c r="C142" s="2">
        <f t="shared" ca="1" si="25"/>
        <v>209196688.39501962</v>
      </c>
      <c r="D142" s="5">
        <f t="shared" ref="D142:D205" ca="1" si="32">IF(B142&lt;&gt;1,0,LOGINV(RAND(),LN($E$6),SQRT($F$6)))</f>
        <v>0</v>
      </c>
      <c r="E142" s="2">
        <f t="shared" ref="E142:E205" ca="1" si="33">IF(B142&lt;&gt;1,E141,IF(AND(A142=3,B142=1),E141*2,IF(AND(A142=10,B142=1),E141*2,E141*(1+IF(E141&gt;F141,D142,$B$4)))))</f>
        <v>12721822.567143824</v>
      </c>
      <c r="F142" s="2">
        <f t="shared" ref="F142:F205" si="34">IF(B142&lt;&gt;1,F141,F141*(1+$B$4))</f>
        <v>4179942.7855802132</v>
      </c>
      <c r="G142" s="2">
        <f t="shared" ca="1" si="26"/>
        <v>1272182.2567143824</v>
      </c>
      <c r="H142" s="5">
        <f t="shared" ca="1" si="27"/>
        <v>1.8274613526179317E-2</v>
      </c>
      <c r="I142" s="2">
        <f t="shared" ca="1" si="28"/>
        <v>3846237.2704518633</v>
      </c>
      <c r="J142" s="2">
        <f t="shared" ca="1" si="29"/>
        <v>214315107.92218587</v>
      </c>
      <c r="K142" s="2">
        <f t="shared" ref="K142:K205" ca="1" si="35">IF(B142=1,K141*(1+NORMINV(RAND(),$E$5,$F$5)),K141)</f>
        <v>214132766.32785881</v>
      </c>
      <c r="L142" s="5">
        <f t="shared" ca="1" si="24"/>
        <v>1.0008515352295402</v>
      </c>
      <c r="N142" s="1" t="s">
        <v>160</v>
      </c>
      <c r="O142" s="4">
        <v>19310247732.920635</v>
      </c>
      <c r="P142" s="10">
        <v>3.4494855601617891</v>
      </c>
      <c r="Q142" s="1">
        <v>129</v>
      </c>
    </row>
    <row r="143" spans="1:17" x14ac:dyDescent="0.3">
      <c r="A143" s="1">
        <f t="shared" si="30"/>
        <v>11</v>
      </c>
      <c r="B143" s="1">
        <f t="shared" si="31"/>
        <v>12</v>
      </c>
      <c r="C143" s="2">
        <f t="shared" ca="1" si="25"/>
        <v>214315107.92218587</v>
      </c>
      <c r="D143" s="5">
        <f t="shared" ca="1" si="32"/>
        <v>0</v>
      </c>
      <c r="E143" s="2">
        <f t="shared" ca="1" si="33"/>
        <v>12721822.567143824</v>
      </c>
      <c r="F143" s="2">
        <f t="shared" si="34"/>
        <v>4179942.7855802132</v>
      </c>
      <c r="G143" s="2">
        <f t="shared" ca="1" si="26"/>
        <v>2544364.5134287649</v>
      </c>
      <c r="H143" s="5">
        <f t="shared" ca="1" si="27"/>
        <v>1.1056977979679639E-2</v>
      </c>
      <c r="I143" s="2">
        <f t="shared" ca="1" si="28"/>
        <v>2397810.4114055345</v>
      </c>
      <c r="J143" s="2">
        <f t="shared" ca="1" si="29"/>
        <v>219257282.84702018</v>
      </c>
      <c r="K143" s="2">
        <f t="shared" ca="1" si="35"/>
        <v>214132766.32785881</v>
      </c>
      <c r="L143" s="5">
        <f t="shared" ca="1" si="24"/>
        <v>1.0239314916957418</v>
      </c>
      <c r="N143" s="1" t="s">
        <v>161</v>
      </c>
      <c r="O143" s="4">
        <v>20780786029.31702</v>
      </c>
      <c r="P143" s="10">
        <v>3.8366288303429328</v>
      </c>
      <c r="Q143" s="1">
        <v>126</v>
      </c>
    </row>
    <row r="144" spans="1:17" x14ac:dyDescent="0.3">
      <c r="A144" s="1">
        <f t="shared" si="30"/>
        <v>12</v>
      </c>
      <c r="B144" s="1">
        <f t="shared" si="31"/>
        <v>1</v>
      </c>
      <c r="C144" s="2">
        <f t="shared" ca="1" si="25"/>
        <v>219257282.84702018</v>
      </c>
      <c r="D144" s="5">
        <f t="shared" ca="1" si="32"/>
        <v>0.14394130910749173</v>
      </c>
      <c r="E144" s="2">
        <f t="shared" ca="1" si="33"/>
        <v>14553018.361691738</v>
      </c>
      <c r="F144" s="2">
        <f t="shared" si="34"/>
        <v>4499708.4086770993</v>
      </c>
      <c r="G144" s="2">
        <f t="shared" ca="1" si="26"/>
        <v>1455301.8361691739</v>
      </c>
      <c r="H144" s="5">
        <f t="shared" ca="1" si="27"/>
        <v>1.512363703366959E-2</v>
      </c>
      <c r="I144" s="2">
        <f t="shared" ca="1" si="28"/>
        <v>3337977.0195116182</v>
      </c>
      <c r="J144" s="2">
        <f t="shared" ca="1" si="29"/>
        <v>224050561.70270097</v>
      </c>
      <c r="K144" s="2">
        <f t="shared" ca="1" si="35"/>
        <v>220554961.20630941</v>
      </c>
      <c r="L144" s="5">
        <f t="shared" ca="1" si="24"/>
        <v>1.0158491129706293</v>
      </c>
      <c r="N144" s="1" t="s">
        <v>162</v>
      </c>
      <c r="O144" s="4">
        <v>16647158007.877289</v>
      </c>
      <c r="P144" s="10">
        <v>3.146014344390816</v>
      </c>
      <c r="Q144" s="1">
        <v>132</v>
      </c>
    </row>
    <row r="145" spans="1:17" x14ac:dyDescent="0.3">
      <c r="A145" s="1">
        <f t="shared" si="30"/>
        <v>12</v>
      </c>
      <c r="B145" s="1">
        <f t="shared" si="31"/>
        <v>2</v>
      </c>
      <c r="C145" s="2">
        <f t="shared" ca="1" si="25"/>
        <v>224050561.70270097</v>
      </c>
      <c r="D145" s="5">
        <f t="shared" ca="1" si="32"/>
        <v>0</v>
      </c>
      <c r="E145" s="2">
        <f t="shared" ca="1" si="33"/>
        <v>14553018.361691738</v>
      </c>
      <c r="F145" s="2">
        <f t="shared" si="34"/>
        <v>4499708.4086770993</v>
      </c>
      <c r="G145" s="2">
        <f t="shared" ca="1" si="26"/>
        <v>1455301.8361691739</v>
      </c>
      <c r="H145" s="5">
        <f t="shared" ca="1" si="27"/>
        <v>1.4455633651148769E-2</v>
      </c>
      <c r="I145" s="2">
        <f t="shared" ca="1" si="28"/>
        <v>3259830.1495038536</v>
      </c>
      <c r="J145" s="2">
        <f t="shared" ca="1" si="29"/>
        <v>228765693.68837401</v>
      </c>
      <c r="K145" s="2">
        <f t="shared" ca="1" si="35"/>
        <v>220554961.20630941</v>
      </c>
      <c r="L145" s="5">
        <f t="shared" ca="1" si="24"/>
        <v>1.037227602757864</v>
      </c>
      <c r="N145" s="1" t="s">
        <v>163</v>
      </c>
      <c r="O145" s="4">
        <v>21642975988.357883</v>
      </c>
      <c r="P145" s="10">
        <v>4.1139382733746892</v>
      </c>
      <c r="Q145" s="1">
        <v>128</v>
      </c>
    </row>
    <row r="146" spans="1:17" x14ac:dyDescent="0.3">
      <c r="A146" s="1">
        <f t="shared" si="30"/>
        <v>12</v>
      </c>
      <c r="B146" s="1">
        <f t="shared" si="31"/>
        <v>3</v>
      </c>
      <c r="C146" s="2">
        <f t="shared" ca="1" si="25"/>
        <v>228765693.68837401</v>
      </c>
      <c r="D146" s="5">
        <f t="shared" ca="1" si="32"/>
        <v>0</v>
      </c>
      <c r="E146" s="2">
        <f t="shared" ca="1" si="33"/>
        <v>14553018.361691738</v>
      </c>
      <c r="F146" s="2">
        <f t="shared" si="34"/>
        <v>4499708.4086770993</v>
      </c>
      <c r="G146" s="2">
        <f t="shared" ca="1" si="26"/>
        <v>1455301.8361691739</v>
      </c>
      <c r="H146" s="5">
        <f t="shared" ca="1" si="27"/>
        <v>1.6129847543941533E-2</v>
      </c>
      <c r="I146" s="2">
        <f t="shared" ca="1" si="28"/>
        <v>3713429.5592253278</v>
      </c>
      <c r="J146" s="2">
        <f t="shared" ca="1" si="29"/>
        <v>233934425.08376852</v>
      </c>
      <c r="K146" s="2">
        <f t="shared" ca="1" si="35"/>
        <v>220554961.20630941</v>
      </c>
      <c r="L146" s="5">
        <f t="shared" ca="1" si="24"/>
        <v>1.0606627200960754</v>
      </c>
      <c r="N146" s="1" t="s">
        <v>164</v>
      </c>
      <c r="O146" s="4">
        <v>19671233727.350212</v>
      </c>
      <c r="P146" s="10">
        <v>4.7842564568390564</v>
      </c>
      <c r="Q146" s="1">
        <v>130</v>
      </c>
    </row>
    <row r="147" spans="1:17" x14ac:dyDescent="0.3">
      <c r="A147" s="1">
        <f t="shared" si="30"/>
        <v>12</v>
      </c>
      <c r="B147" s="1">
        <f t="shared" si="31"/>
        <v>4</v>
      </c>
      <c r="C147" s="2">
        <f t="shared" ca="1" si="25"/>
        <v>233934425.08376852</v>
      </c>
      <c r="D147" s="5">
        <f t="shared" ca="1" si="32"/>
        <v>0</v>
      </c>
      <c r="E147" s="2">
        <f t="shared" ca="1" si="33"/>
        <v>14553018.361691738</v>
      </c>
      <c r="F147" s="2">
        <f t="shared" si="34"/>
        <v>4499708.4086770993</v>
      </c>
      <c r="G147" s="2">
        <f t="shared" ca="1" si="26"/>
        <v>1455301.8361691739</v>
      </c>
      <c r="H147" s="5">
        <f t="shared" ca="1" si="27"/>
        <v>1.8364628709572006E-2</v>
      </c>
      <c r="I147" s="2">
        <f t="shared" ca="1" si="28"/>
        <v>4322844.9369322024</v>
      </c>
      <c r="J147" s="2">
        <f t="shared" ca="1" si="29"/>
        <v>239712571.85686991</v>
      </c>
      <c r="K147" s="2">
        <f t="shared" ca="1" si="35"/>
        <v>220554961.20630941</v>
      </c>
      <c r="L147" s="5">
        <f t="shared" ca="1" si="24"/>
        <v>1.0868609372728655</v>
      </c>
      <c r="N147" s="1" t="s">
        <v>165</v>
      </c>
      <c r="O147" s="4">
        <v>18545938939.988823</v>
      </c>
      <c r="P147" s="10">
        <v>3.708282887398926</v>
      </c>
      <c r="Q147" s="1">
        <v>130</v>
      </c>
    </row>
    <row r="148" spans="1:17" x14ac:dyDescent="0.3">
      <c r="A148" s="1">
        <f t="shared" si="30"/>
        <v>12</v>
      </c>
      <c r="B148" s="1">
        <f t="shared" si="31"/>
        <v>5</v>
      </c>
      <c r="C148" s="2">
        <f t="shared" ca="1" si="25"/>
        <v>239712571.85686991</v>
      </c>
      <c r="D148" s="5">
        <f t="shared" ca="1" si="32"/>
        <v>0</v>
      </c>
      <c r="E148" s="2">
        <f t="shared" ca="1" si="33"/>
        <v>14553018.361691738</v>
      </c>
      <c r="F148" s="2">
        <f t="shared" si="34"/>
        <v>4499708.4086770993</v>
      </c>
      <c r="G148" s="2">
        <f t="shared" ca="1" si="26"/>
        <v>1455301.8361691739</v>
      </c>
      <c r="H148" s="5">
        <f t="shared" ca="1" si="27"/>
        <v>1.7220661705335205E-2</v>
      </c>
      <c r="I148" s="2">
        <f t="shared" ca="1" si="28"/>
        <v>4153070.367062836</v>
      </c>
      <c r="J148" s="2">
        <f t="shared" ca="1" si="29"/>
        <v>245320944.06010193</v>
      </c>
      <c r="K148" s="2">
        <f t="shared" ca="1" si="35"/>
        <v>220554961.20630941</v>
      </c>
      <c r="L148" s="5">
        <f t="shared" ca="1" si="24"/>
        <v>1.1122893936202423</v>
      </c>
      <c r="N148" s="1" t="s">
        <v>166</v>
      </c>
      <c r="O148" s="4">
        <v>17229174713.723888</v>
      </c>
      <c r="P148" s="10">
        <v>2.9413095260249063</v>
      </c>
      <c r="Q148" s="1">
        <v>131</v>
      </c>
    </row>
    <row r="149" spans="1:17" x14ac:dyDescent="0.3">
      <c r="A149" s="1">
        <f t="shared" si="30"/>
        <v>12</v>
      </c>
      <c r="B149" s="1">
        <f t="shared" si="31"/>
        <v>6</v>
      </c>
      <c r="C149" s="2">
        <f t="shared" ca="1" si="25"/>
        <v>245320944.06010193</v>
      </c>
      <c r="D149" s="5">
        <f t="shared" ca="1" si="32"/>
        <v>0</v>
      </c>
      <c r="E149" s="2">
        <f t="shared" ca="1" si="33"/>
        <v>14553018.361691738</v>
      </c>
      <c r="F149" s="2">
        <f t="shared" si="34"/>
        <v>4499708.4086770993</v>
      </c>
      <c r="G149" s="2">
        <f t="shared" ca="1" si="26"/>
        <v>2910603.6723383479</v>
      </c>
      <c r="H149" s="5">
        <f t="shared" ca="1" si="27"/>
        <v>1.6832771368193056E-2</v>
      </c>
      <c r="I149" s="2">
        <f t="shared" ca="1" si="28"/>
        <v>4178424.8893528683</v>
      </c>
      <c r="J149" s="2">
        <f t="shared" ca="1" si="29"/>
        <v>252409972.62179312</v>
      </c>
      <c r="K149" s="2">
        <f t="shared" ca="1" si="35"/>
        <v>220554961.20630941</v>
      </c>
      <c r="L149" s="5">
        <f t="shared" ca="1" si="24"/>
        <v>1.1444311714470399</v>
      </c>
      <c r="N149" s="1" t="s">
        <v>167</v>
      </c>
      <c r="O149" s="4">
        <v>18996770117.454208</v>
      </c>
      <c r="P149" s="10">
        <v>3.757973452289876</v>
      </c>
      <c r="Q149" s="1">
        <v>127</v>
      </c>
    </row>
    <row r="150" spans="1:17" x14ac:dyDescent="0.3">
      <c r="A150" s="1">
        <f t="shared" si="30"/>
        <v>12</v>
      </c>
      <c r="B150" s="1">
        <f t="shared" si="31"/>
        <v>7</v>
      </c>
      <c r="C150" s="2">
        <f t="shared" ca="1" si="25"/>
        <v>252409972.62179312</v>
      </c>
      <c r="D150" s="5">
        <f t="shared" ca="1" si="32"/>
        <v>0</v>
      </c>
      <c r="E150" s="2">
        <f t="shared" ca="1" si="33"/>
        <v>14553018.361691738</v>
      </c>
      <c r="F150" s="2">
        <f t="shared" si="34"/>
        <v>4499708.4086770993</v>
      </c>
      <c r="G150" s="2">
        <f t="shared" ca="1" si="26"/>
        <v>1455301.8361691739</v>
      </c>
      <c r="H150" s="5">
        <f t="shared" ca="1" si="27"/>
        <v>1.927435765692187E-2</v>
      </c>
      <c r="I150" s="2">
        <f t="shared" ca="1" si="28"/>
        <v>4893090.096575398</v>
      </c>
      <c r="J150" s="2">
        <f t="shared" ca="1" si="29"/>
        <v>258758364.55453771</v>
      </c>
      <c r="K150" s="2">
        <f t="shared" ca="1" si="35"/>
        <v>220554961.20630941</v>
      </c>
      <c r="L150" s="5">
        <f t="shared" ca="1" si="24"/>
        <v>1.1732148900177877</v>
      </c>
      <c r="N150" s="1" t="s">
        <v>168</v>
      </c>
      <c r="O150" s="4">
        <v>16743747144.117933</v>
      </c>
      <c r="P150" s="10">
        <v>2.5293609651162186</v>
      </c>
      <c r="Q150" s="1">
        <v>131</v>
      </c>
    </row>
    <row r="151" spans="1:17" x14ac:dyDescent="0.3">
      <c r="A151" s="1">
        <f t="shared" si="30"/>
        <v>12</v>
      </c>
      <c r="B151" s="1">
        <f t="shared" si="31"/>
        <v>8</v>
      </c>
      <c r="C151" s="2">
        <f t="shared" ca="1" si="25"/>
        <v>258758364.55453771</v>
      </c>
      <c r="D151" s="5">
        <f t="shared" ca="1" si="32"/>
        <v>0</v>
      </c>
      <c r="E151" s="2">
        <f t="shared" ca="1" si="33"/>
        <v>14553018.361691738</v>
      </c>
      <c r="F151" s="2">
        <f t="shared" si="34"/>
        <v>4499708.4086770993</v>
      </c>
      <c r="G151" s="2">
        <f t="shared" ca="1" si="26"/>
        <v>1455301.8361691739</v>
      </c>
      <c r="H151" s="5">
        <f t="shared" ca="1" si="27"/>
        <v>1.6771651959453182E-2</v>
      </c>
      <c r="I151" s="2">
        <f t="shared" ca="1" si="28"/>
        <v>4364213.0477981959</v>
      </c>
      <c r="J151" s="2">
        <f t="shared" ca="1" si="29"/>
        <v>264577879.43850508</v>
      </c>
      <c r="K151" s="2">
        <f t="shared" ca="1" si="35"/>
        <v>220554961.20630941</v>
      </c>
      <c r="L151" s="5">
        <f t="shared" ca="1" si="24"/>
        <v>1.1996006709230911</v>
      </c>
      <c r="N151" s="1" t="s">
        <v>169</v>
      </c>
      <c r="O151" s="4">
        <v>17123309229.38427</v>
      </c>
      <c r="P151" s="10">
        <v>2.9427173703651999</v>
      </c>
      <c r="Q151" s="1">
        <v>128</v>
      </c>
    </row>
    <row r="152" spans="1:17" x14ac:dyDescent="0.3">
      <c r="A152" s="1">
        <f t="shared" si="30"/>
        <v>12</v>
      </c>
      <c r="B152" s="1">
        <f t="shared" si="31"/>
        <v>9</v>
      </c>
      <c r="C152" s="2">
        <f t="shared" ca="1" si="25"/>
        <v>264577879.43850508</v>
      </c>
      <c r="D152" s="5">
        <f t="shared" ca="1" si="32"/>
        <v>0</v>
      </c>
      <c r="E152" s="2">
        <f t="shared" ca="1" si="33"/>
        <v>14553018.361691738</v>
      </c>
      <c r="F152" s="2">
        <f t="shared" si="34"/>
        <v>4499708.4086770993</v>
      </c>
      <c r="G152" s="2">
        <f t="shared" ca="1" si="26"/>
        <v>1455301.8361691739</v>
      </c>
      <c r="H152" s="5">
        <f t="shared" ca="1" si="27"/>
        <v>1.5110019050656343E-2</v>
      </c>
      <c r="I152" s="2">
        <f t="shared" ca="1" si="28"/>
        <v>4019766.4371670405</v>
      </c>
      <c r="J152" s="2">
        <f t="shared" ca="1" si="29"/>
        <v>270052947.71184129</v>
      </c>
      <c r="K152" s="2">
        <f t="shared" ca="1" si="35"/>
        <v>220554961.20630941</v>
      </c>
      <c r="L152" s="5">
        <f t="shared" ca="1" si="24"/>
        <v>1.224424724952031</v>
      </c>
      <c r="N152" s="1" t="s">
        <v>170</v>
      </c>
      <c r="O152" s="4">
        <v>21013770497.066669</v>
      </c>
      <c r="P152" s="10">
        <v>4.4024247341361802</v>
      </c>
      <c r="Q152" s="1">
        <v>128</v>
      </c>
    </row>
    <row r="153" spans="1:17" x14ac:dyDescent="0.3">
      <c r="A153" s="1">
        <f t="shared" si="30"/>
        <v>12</v>
      </c>
      <c r="B153" s="1">
        <f t="shared" si="31"/>
        <v>10</v>
      </c>
      <c r="C153" s="2">
        <f t="shared" ca="1" si="25"/>
        <v>270052947.71184129</v>
      </c>
      <c r="D153" s="5">
        <f t="shared" ca="1" si="32"/>
        <v>0</v>
      </c>
      <c r="E153" s="2">
        <f t="shared" ca="1" si="33"/>
        <v>14553018.361691738</v>
      </c>
      <c r="F153" s="2">
        <f t="shared" si="34"/>
        <v>4499708.4086770993</v>
      </c>
      <c r="G153" s="2">
        <f t="shared" ca="1" si="26"/>
        <v>1455301.8361691739</v>
      </c>
      <c r="H153" s="5">
        <f t="shared" ca="1" si="27"/>
        <v>1.396772603610974E-2</v>
      </c>
      <c r="I153" s="2">
        <f t="shared" ca="1" si="28"/>
        <v>3792352.8462303262</v>
      </c>
      <c r="J153" s="2">
        <f t="shared" ca="1" si="29"/>
        <v>275300602.3942408</v>
      </c>
      <c r="K153" s="2">
        <f t="shared" ca="1" si="35"/>
        <v>220554961.20630941</v>
      </c>
      <c r="L153" s="5">
        <f t="shared" ca="1" si="24"/>
        <v>1.2482176818354214</v>
      </c>
    </row>
    <row r="154" spans="1:17" x14ac:dyDescent="0.3">
      <c r="A154" s="1">
        <f t="shared" si="30"/>
        <v>12</v>
      </c>
      <c r="B154" s="1">
        <f t="shared" si="31"/>
        <v>11</v>
      </c>
      <c r="C154" s="2">
        <f t="shared" ca="1" si="25"/>
        <v>275300602.3942408</v>
      </c>
      <c r="D154" s="5">
        <f t="shared" ca="1" si="32"/>
        <v>0</v>
      </c>
      <c r="E154" s="2">
        <f t="shared" ca="1" si="33"/>
        <v>14553018.361691738</v>
      </c>
      <c r="F154" s="2">
        <f t="shared" si="34"/>
        <v>4499708.4086770993</v>
      </c>
      <c r="G154" s="2">
        <f t="shared" ca="1" si="26"/>
        <v>1455301.8361691739</v>
      </c>
      <c r="H154" s="5">
        <f t="shared" ca="1" si="27"/>
        <v>1.5617911475781732E-2</v>
      </c>
      <c r="I154" s="2">
        <f t="shared" ca="1" si="28"/>
        <v>4322349.2126704697</v>
      </c>
      <c r="J154" s="2">
        <f t="shared" ca="1" si="29"/>
        <v>281078253.44308043</v>
      </c>
      <c r="K154" s="2">
        <f t="shared" ca="1" si="35"/>
        <v>220554961.20630941</v>
      </c>
      <c r="L154" s="5">
        <f t="shared" ca="1" si="24"/>
        <v>1.2744136513898543</v>
      </c>
    </row>
    <row r="155" spans="1:17" x14ac:dyDescent="0.3">
      <c r="A155" s="1">
        <f t="shared" si="30"/>
        <v>12</v>
      </c>
      <c r="B155" s="1">
        <f t="shared" si="31"/>
        <v>12</v>
      </c>
      <c r="C155" s="2">
        <f t="shared" ca="1" si="25"/>
        <v>281078253.44308043</v>
      </c>
      <c r="D155" s="5">
        <f t="shared" ca="1" si="32"/>
        <v>0</v>
      </c>
      <c r="E155" s="2">
        <f t="shared" ca="1" si="33"/>
        <v>14553018.361691738</v>
      </c>
      <c r="F155" s="2">
        <f t="shared" si="34"/>
        <v>4499708.4086770993</v>
      </c>
      <c r="G155" s="2">
        <f t="shared" ca="1" si="26"/>
        <v>2910603.6723383479</v>
      </c>
      <c r="H155" s="5">
        <f t="shared" ca="1" si="27"/>
        <v>1.2590446114155052E-2</v>
      </c>
      <c r="I155" s="2">
        <f t="shared" ca="1" si="28"/>
        <v>3575546.4025321589</v>
      </c>
      <c r="J155" s="2">
        <f t="shared" ca="1" si="29"/>
        <v>287564403.51795095</v>
      </c>
      <c r="K155" s="2">
        <f t="shared" ca="1" si="35"/>
        <v>220554961.20630941</v>
      </c>
      <c r="L155" s="5">
        <f t="shared" ca="1" si="24"/>
        <v>1.3038219677541518</v>
      </c>
    </row>
    <row r="156" spans="1:17" x14ac:dyDescent="0.3">
      <c r="A156" s="1">
        <f t="shared" si="30"/>
        <v>13</v>
      </c>
      <c r="B156" s="1">
        <f t="shared" si="31"/>
        <v>1</v>
      </c>
      <c r="C156" s="2">
        <f t="shared" ca="1" si="25"/>
        <v>287564403.51795095</v>
      </c>
      <c r="D156" s="5">
        <f t="shared" ca="1" si="32"/>
        <v>4.2922105474608438E-2</v>
      </c>
      <c r="E156" s="2">
        <f t="shared" ca="1" si="33"/>
        <v>15177664.550786184</v>
      </c>
      <c r="F156" s="2">
        <f t="shared" si="34"/>
        <v>4843936.1019408973</v>
      </c>
      <c r="G156" s="2">
        <f t="shared" ca="1" si="26"/>
        <v>1517766.4550786186</v>
      </c>
      <c r="H156" s="5">
        <f t="shared" ca="1" si="27"/>
        <v>1.5925384058640635E-2</v>
      </c>
      <c r="I156" s="2">
        <f t="shared" ca="1" si="28"/>
        <v>4603744.5813257275</v>
      </c>
      <c r="J156" s="2">
        <f t="shared" ca="1" si="29"/>
        <v>293685914.55435526</v>
      </c>
      <c r="K156" s="2">
        <f t="shared" ca="1" si="35"/>
        <v>227403304.12432453</v>
      </c>
      <c r="L156" s="5">
        <f t="shared" ca="1" si="24"/>
        <v>1.2914760217986681</v>
      </c>
    </row>
    <row r="157" spans="1:17" x14ac:dyDescent="0.3">
      <c r="A157" s="1">
        <f t="shared" si="30"/>
        <v>13</v>
      </c>
      <c r="B157" s="1">
        <f t="shared" si="31"/>
        <v>2</v>
      </c>
      <c r="C157" s="2">
        <f t="shared" ca="1" si="25"/>
        <v>293685914.55435526</v>
      </c>
      <c r="D157" s="5">
        <f t="shared" ca="1" si="32"/>
        <v>0</v>
      </c>
      <c r="E157" s="2">
        <f t="shared" ca="1" si="33"/>
        <v>15177664.550786184</v>
      </c>
      <c r="F157" s="2">
        <f t="shared" si="34"/>
        <v>4843936.1019408973</v>
      </c>
      <c r="G157" s="2">
        <f t="shared" ca="1" si="26"/>
        <v>1517766.4550786186</v>
      </c>
      <c r="H157" s="5">
        <f t="shared" ca="1" si="27"/>
        <v>1.550798352123528E-2</v>
      </c>
      <c r="I157" s="2">
        <f t="shared" ca="1" si="28"/>
        <v>4578013.820502297</v>
      </c>
      <c r="J157" s="2">
        <f t="shared" ca="1" si="29"/>
        <v>299781694.82993615</v>
      </c>
      <c r="K157" s="2">
        <f t="shared" ca="1" si="35"/>
        <v>227403304.12432453</v>
      </c>
      <c r="L157" s="5">
        <f t="shared" ca="1" si="24"/>
        <v>1.3182820539231979</v>
      </c>
    </row>
    <row r="158" spans="1:17" x14ac:dyDescent="0.3">
      <c r="A158" s="1">
        <f t="shared" si="30"/>
        <v>13</v>
      </c>
      <c r="B158" s="1">
        <f t="shared" si="31"/>
        <v>3</v>
      </c>
      <c r="C158" s="2">
        <f t="shared" ca="1" si="25"/>
        <v>299781694.82993615</v>
      </c>
      <c r="D158" s="5">
        <f t="shared" ca="1" si="32"/>
        <v>0</v>
      </c>
      <c r="E158" s="2">
        <f t="shared" ca="1" si="33"/>
        <v>15177664.550786184</v>
      </c>
      <c r="F158" s="2">
        <f t="shared" si="34"/>
        <v>4843936.1019408973</v>
      </c>
      <c r="G158" s="2">
        <f t="shared" ca="1" si="26"/>
        <v>1517766.4550786186</v>
      </c>
      <c r="H158" s="5">
        <f t="shared" ca="1" si="27"/>
        <v>1.7982186841755121E-2</v>
      </c>
      <c r="I158" s="2">
        <f t="shared" ca="1" si="28"/>
        <v>5418023.2081472985</v>
      </c>
      <c r="J158" s="2">
        <f t="shared" ca="1" si="29"/>
        <v>306717484.49316204</v>
      </c>
      <c r="K158" s="2">
        <f t="shared" ca="1" si="35"/>
        <v>227403304.12432453</v>
      </c>
      <c r="L158" s="5">
        <f t="shared" ca="1" si="24"/>
        <v>1.3487820050559836</v>
      </c>
    </row>
    <row r="159" spans="1:17" x14ac:dyDescent="0.3">
      <c r="A159" s="1">
        <f t="shared" si="30"/>
        <v>13</v>
      </c>
      <c r="B159" s="1">
        <f t="shared" si="31"/>
        <v>4</v>
      </c>
      <c r="C159" s="2">
        <f t="shared" ca="1" si="25"/>
        <v>306717484.49316204</v>
      </c>
      <c r="D159" s="5">
        <f t="shared" ca="1" si="32"/>
        <v>0</v>
      </c>
      <c r="E159" s="2">
        <f t="shared" ca="1" si="33"/>
        <v>15177664.550786184</v>
      </c>
      <c r="F159" s="2">
        <f t="shared" si="34"/>
        <v>4843936.1019408973</v>
      </c>
      <c r="G159" s="2">
        <f t="shared" ca="1" si="26"/>
        <v>1517766.4550786186</v>
      </c>
      <c r="H159" s="5">
        <f t="shared" ca="1" si="27"/>
        <v>1.8928579357121667E-2</v>
      </c>
      <c r="I159" s="2">
        <f t="shared" ca="1" si="28"/>
        <v>5834455.4082360845</v>
      </c>
      <c r="J159" s="2">
        <f t="shared" ca="1" si="29"/>
        <v>314069706.35647672</v>
      </c>
      <c r="K159" s="2">
        <f t="shared" ca="1" si="35"/>
        <v>227403304.12432453</v>
      </c>
      <c r="L159" s="5">
        <f t="shared" ca="1" si="24"/>
        <v>1.3811132057464321</v>
      </c>
    </row>
    <row r="160" spans="1:17" x14ac:dyDescent="0.3">
      <c r="A160" s="1">
        <f t="shared" si="30"/>
        <v>13</v>
      </c>
      <c r="B160" s="1">
        <f t="shared" si="31"/>
        <v>5</v>
      </c>
      <c r="C160" s="2">
        <f t="shared" ca="1" si="25"/>
        <v>314069706.35647672</v>
      </c>
      <c r="D160" s="5">
        <f t="shared" ca="1" si="32"/>
        <v>0</v>
      </c>
      <c r="E160" s="2">
        <f t="shared" ca="1" si="33"/>
        <v>15177664.550786184</v>
      </c>
      <c r="F160" s="2">
        <f t="shared" si="34"/>
        <v>4843936.1019408973</v>
      </c>
      <c r="G160" s="2">
        <f t="shared" ca="1" si="26"/>
        <v>1517766.4550786186</v>
      </c>
      <c r="H160" s="5">
        <f t="shared" ca="1" si="27"/>
        <v>1.5603734259643121E-2</v>
      </c>
      <c r="I160" s="2">
        <f t="shared" ca="1" si="28"/>
        <v>4924343.0614238577</v>
      </c>
      <c r="J160" s="2">
        <f t="shared" ca="1" si="29"/>
        <v>320511815.87297916</v>
      </c>
      <c r="K160" s="2">
        <f t="shared" ca="1" si="35"/>
        <v>227403304.12432453</v>
      </c>
      <c r="L160" s="5">
        <f t="shared" ca="1" si="24"/>
        <v>1.409442211524556</v>
      </c>
    </row>
    <row r="161" spans="1:12" x14ac:dyDescent="0.3">
      <c r="A161" s="1">
        <f t="shared" si="30"/>
        <v>13</v>
      </c>
      <c r="B161" s="1">
        <f t="shared" si="31"/>
        <v>6</v>
      </c>
      <c r="C161" s="2">
        <f t="shared" ca="1" si="25"/>
        <v>320511815.87297916</v>
      </c>
      <c r="D161" s="5">
        <f t="shared" ca="1" si="32"/>
        <v>0</v>
      </c>
      <c r="E161" s="2">
        <f t="shared" ca="1" si="33"/>
        <v>15177664.550786184</v>
      </c>
      <c r="F161" s="2">
        <f t="shared" si="34"/>
        <v>4843936.1019408973</v>
      </c>
      <c r="G161" s="2">
        <f t="shared" ca="1" si="26"/>
        <v>3035532.9101572372</v>
      </c>
      <c r="H161" s="5">
        <f t="shared" ca="1" si="27"/>
        <v>1.6922104543517502E-2</v>
      </c>
      <c r="I161" s="2">
        <f t="shared" ca="1" si="28"/>
        <v>5475102.0608861549</v>
      </c>
      <c r="J161" s="2">
        <f t="shared" ca="1" si="29"/>
        <v>329022450.84402257</v>
      </c>
      <c r="K161" s="2">
        <f t="shared" ca="1" si="35"/>
        <v>227403304.12432453</v>
      </c>
      <c r="L161" s="5">
        <f t="shared" ca="1" si="24"/>
        <v>1.4468675031394507</v>
      </c>
    </row>
    <row r="162" spans="1:12" x14ac:dyDescent="0.3">
      <c r="A162" s="1">
        <f t="shared" si="30"/>
        <v>13</v>
      </c>
      <c r="B162" s="1">
        <f t="shared" si="31"/>
        <v>7</v>
      </c>
      <c r="C162" s="2">
        <f t="shared" ca="1" si="25"/>
        <v>329022450.84402257</v>
      </c>
      <c r="D162" s="5">
        <f t="shared" ca="1" si="32"/>
        <v>0</v>
      </c>
      <c r="E162" s="2">
        <f t="shared" ca="1" si="33"/>
        <v>15177664.550786184</v>
      </c>
      <c r="F162" s="2">
        <f t="shared" si="34"/>
        <v>4843936.1019408973</v>
      </c>
      <c r="G162" s="2">
        <f t="shared" ca="1" si="26"/>
        <v>1517766.4550786186</v>
      </c>
      <c r="H162" s="5">
        <f t="shared" ca="1" si="27"/>
        <v>1.9375856424965532E-2</v>
      </c>
      <c r="I162" s="2">
        <f t="shared" ca="1" si="28"/>
        <v>6404499.7930642925</v>
      </c>
      <c r="J162" s="2">
        <f t="shared" ca="1" si="29"/>
        <v>336944717.09216547</v>
      </c>
      <c r="K162" s="2">
        <f t="shared" ca="1" si="35"/>
        <v>227403304.12432453</v>
      </c>
      <c r="L162" s="5">
        <f t="shared" ca="1" si="24"/>
        <v>1.4817054588967324</v>
      </c>
    </row>
    <row r="163" spans="1:12" x14ac:dyDescent="0.3">
      <c r="A163" s="1">
        <f t="shared" si="30"/>
        <v>13</v>
      </c>
      <c r="B163" s="1">
        <f t="shared" si="31"/>
        <v>8</v>
      </c>
      <c r="C163" s="2">
        <f t="shared" ca="1" si="25"/>
        <v>336944717.09216547</v>
      </c>
      <c r="D163" s="5">
        <f t="shared" ca="1" si="32"/>
        <v>0</v>
      </c>
      <c r="E163" s="2">
        <f t="shared" ca="1" si="33"/>
        <v>15177664.550786184</v>
      </c>
      <c r="F163" s="2">
        <f t="shared" si="34"/>
        <v>4843936.1019408973</v>
      </c>
      <c r="G163" s="2">
        <f t="shared" ca="1" si="26"/>
        <v>1517766.4550786186</v>
      </c>
      <c r="H163" s="5">
        <f t="shared" ca="1" si="27"/>
        <v>1.2595437838200496E-2</v>
      </c>
      <c r="I163" s="2">
        <f t="shared" ca="1" si="28"/>
        <v>4263083.1720822705</v>
      </c>
      <c r="J163" s="2">
        <f t="shared" ca="1" si="29"/>
        <v>342725566.71932632</v>
      </c>
      <c r="K163" s="2">
        <f t="shared" ca="1" si="35"/>
        <v>227403304.12432453</v>
      </c>
      <c r="L163" s="5">
        <f t="shared" ca="1" si="24"/>
        <v>1.5071265918456203</v>
      </c>
    </row>
    <row r="164" spans="1:12" x14ac:dyDescent="0.3">
      <c r="A164" s="1">
        <f t="shared" si="30"/>
        <v>13</v>
      </c>
      <c r="B164" s="1">
        <f t="shared" si="31"/>
        <v>9</v>
      </c>
      <c r="C164" s="2">
        <f t="shared" ca="1" si="25"/>
        <v>342725566.71932632</v>
      </c>
      <c r="D164" s="5">
        <f t="shared" ca="1" si="32"/>
        <v>0</v>
      </c>
      <c r="E164" s="2">
        <f t="shared" ca="1" si="33"/>
        <v>15177664.550786184</v>
      </c>
      <c r="F164" s="2">
        <f t="shared" si="34"/>
        <v>4843936.1019408973</v>
      </c>
      <c r="G164" s="2">
        <f t="shared" ca="1" si="26"/>
        <v>1517766.4550786186</v>
      </c>
      <c r="H164" s="5">
        <f t="shared" ca="1" si="27"/>
        <v>1.3969776095627884E-2</v>
      </c>
      <c r="I164" s="2">
        <f t="shared" ca="1" si="28"/>
        <v>4809002.2868590672</v>
      </c>
      <c r="J164" s="2">
        <f t="shared" ca="1" si="29"/>
        <v>349052335.46126401</v>
      </c>
      <c r="K164" s="2">
        <f t="shared" ca="1" si="35"/>
        <v>227403304.12432453</v>
      </c>
      <c r="L164" s="5">
        <f t="shared" ca="1" si="24"/>
        <v>1.5349483896260023</v>
      </c>
    </row>
    <row r="165" spans="1:12" x14ac:dyDescent="0.3">
      <c r="A165" s="1">
        <f t="shared" si="30"/>
        <v>13</v>
      </c>
      <c r="B165" s="1">
        <f t="shared" si="31"/>
        <v>10</v>
      </c>
      <c r="C165" s="2">
        <f t="shared" ca="1" si="25"/>
        <v>349052335.46126401</v>
      </c>
      <c r="D165" s="5">
        <f t="shared" ca="1" si="32"/>
        <v>0</v>
      </c>
      <c r="E165" s="2">
        <f t="shared" ca="1" si="33"/>
        <v>15177664.550786184</v>
      </c>
      <c r="F165" s="2">
        <f t="shared" si="34"/>
        <v>4843936.1019408973</v>
      </c>
      <c r="G165" s="2">
        <f t="shared" ca="1" si="26"/>
        <v>1517766.4550786186</v>
      </c>
      <c r="H165" s="5">
        <f t="shared" ca="1" si="27"/>
        <v>1.7112942829721645E-2</v>
      </c>
      <c r="I165" s="2">
        <f t="shared" ca="1" si="28"/>
        <v>5999286.1119040614</v>
      </c>
      <c r="J165" s="2">
        <f t="shared" ca="1" si="29"/>
        <v>356569388.0282467</v>
      </c>
      <c r="K165" s="2">
        <f t="shared" ca="1" si="35"/>
        <v>227403304.12432453</v>
      </c>
      <c r="L165" s="5">
        <f t="shared" ca="1" si="24"/>
        <v>1.5680044289651363</v>
      </c>
    </row>
    <row r="166" spans="1:12" x14ac:dyDescent="0.3">
      <c r="A166" s="1">
        <f t="shared" si="30"/>
        <v>13</v>
      </c>
      <c r="B166" s="1">
        <f t="shared" si="31"/>
        <v>11</v>
      </c>
      <c r="C166" s="2">
        <f t="shared" ca="1" si="25"/>
        <v>356569388.0282467</v>
      </c>
      <c r="D166" s="5">
        <f t="shared" ca="1" si="32"/>
        <v>0</v>
      </c>
      <c r="E166" s="2">
        <f t="shared" ca="1" si="33"/>
        <v>15177664.550786184</v>
      </c>
      <c r="F166" s="2">
        <f t="shared" si="34"/>
        <v>4843936.1019408973</v>
      </c>
      <c r="G166" s="2">
        <f t="shared" ca="1" si="26"/>
        <v>1517766.4550786186</v>
      </c>
      <c r="H166" s="5">
        <f t="shared" ca="1" si="27"/>
        <v>1.874505958124506E-2</v>
      </c>
      <c r="I166" s="2">
        <f t="shared" ca="1" si="28"/>
        <v>6712365.0460684374</v>
      </c>
      <c r="J166" s="2">
        <f t="shared" ca="1" si="29"/>
        <v>364799519.52939373</v>
      </c>
      <c r="K166" s="2">
        <f t="shared" ca="1" si="35"/>
        <v>227403304.12432453</v>
      </c>
      <c r="L166" s="5">
        <f t="shared" ca="1" si="24"/>
        <v>1.6041962140090664</v>
      </c>
    </row>
    <row r="167" spans="1:12" x14ac:dyDescent="0.3">
      <c r="A167" s="1">
        <f t="shared" si="30"/>
        <v>13</v>
      </c>
      <c r="B167" s="1">
        <f t="shared" si="31"/>
        <v>12</v>
      </c>
      <c r="C167" s="2">
        <f t="shared" ca="1" si="25"/>
        <v>364799519.52939373</v>
      </c>
      <c r="D167" s="5">
        <f t="shared" ca="1" si="32"/>
        <v>0</v>
      </c>
      <c r="E167" s="2">
        <f t="shared" ca="1" si="33"/>
        <v>15177664.550786184</v>
      </c>
      <c r="F167" s="2">
        <f t="shared" si="34"/>
        <v>4843936.1019408973</v>
      </c>
      <c r="G167" s="2">
        <f t="shared" ca="1" si="26"/>
        <v>3035532.9101572372</v>
      </c>
      <c r="H167" s="5">
        <f t="shared" ca="1" si="27"/>
        <v>1.3386872494158819E-2</v>
      </c>
      <c r="I167" s="2">
        <f t="shared" ca="1" si="28"/>
        <v>4924160.9458904918</v>
      </c>
      <c r="J167" s="2">
        <f t="shared" ca="1" si="29"/>
        <v>372759213.38544148</v>
      </c>
      <c r="K167" s="2">
        <f t="shared" ca="1" si="35"/>
        <v>227403304.12432453</v>
      </c>
      <c r="L167" s="5">
        <f t="shared" ca="1" si="24"/>
        <v>1.6391987566796693</v>
      </c>
    </row>
    <row r="168" spans="1:12" x14ac:dyDescent="0.3">
      <c r="A168" s="1">
        <f t="shared" si="30"/>
        <v>14</v>
      </c>
      <c r="B168" s="1">
        <f t="shared" si="31"/>
        <v>1</v>
      </c>
      <c r="C168" s="2">
        <f t="shared" ca="1" si="25"/>
        <v>372759213.38544148</v>
      </c>
      <c r="D168" s="5">
        <f t="shared" ca="1" si="32"/>
        <v>5.0536159086201571E-2</v>
      </c>
      <c r="E168" s="2">
        <f t="shared" ca="1" si="33"/>
        <v>15944685.421081718</v>
      </c>
      <c r="F168" s="2">
        <f t="shared" si="34"/>
        <v>5214497.2137393756</v>
      </c>
      <c r="G168" s="2">
        <f t="shared" ca="1" si="26"/>
        <v>1594468.5421081719</v>
      </c>
      <c r="H168" s="5">
        <f t="shared" ca="1" si="27"/>
        <v>1.2220692396966326E-2</v>
      </c>
      <c r="I168" s="2">
        <f t="shared" ca="1" si="28"/>
        <v>4574861.194508356</v>
      </c>
      <c r="J168" s="2">
        <f t="shared" ca="1" si="29"/>
        <v>378928543.12205803</v>
      </c>
      <c r="K168" s="2">
        <f t="shared" ca="1" si="35"/>
        <v>235459330.1826295</v>
      </c>
      <c r="L168" s="5">
        <f t="shared" ca="1" si="24"/>
        <v>1.6093163215411741</v>
      </c>
    </row>
    <row r="169" spans="1:12" x14ac:dyDescent="0.3">
      <c r="A169" s="1">
        <f t="shared" si="30"/>
        <v>14</v>
      </c>
      <c r="B169" s="1">
        <f t="shared" si="31"/>
        <v>2</v>
      </c>
      <c r="C169" s="2">
        <f t="shared" ca="1" si="25"/>
        <v>378928543.12205803</v>
      </c>
      <c r="D169" s="5">
        <f t="shared" ca="1" si="32"/>
        <v>0</v>
      </c>
      <c r="E169" s="2">
        <f t="shared" ca="1" si="33"/>
        <v>15944685.421081718</v>
      </c>
      <c r="F169" s="2">
        <f t="shared" si="34"/>
        <v>5214497.2137393756</v>
      </c>
      <c r="G169" s="2">
        <f t="shared" ca="1" si="26"/>
        <v>1594468.5421081719</v>
      </c>
      <c r="H169" s="5">
        <f t="shared" ca="1" si="27"/>
        <v>1.520748690362117E-2</v>
      </c>
      <c r="I169" s="2">
        <f t="shared" ca="1" si="28"/>
        <v>5786798.716409293</v>
      </c>
      <c r="J169" s="2">
        <f t="shared" ca="1" si="29"/>
        <v>386309810.38057548</v>
      </c>
      <c r="K169" s="2">
        <f t="shared" ca="1" si="35"/>
        <v>235459330.1826295</v>
      </c>
      <c r="L169" s="5">
        <f t="shared" ca="1" si="24"/>
        <v>1.6406646960260258</v>
      </c>
    </row>
    <row r="170" spans="1:12" x14ac:dyDescent="0.3">
      <c r="A170" s="1">
        <f t="shared" si="30"/>
        <v>14</v>
      </c>
      <c r="B170" s="1">
        <f t="shared" si="31"/>
        <v>3</v>
      </c>
      <c r="C170" s="2">
        <f t="shared" ca="1" si="25"/>
        <v>386309810.38057548</v>
      </c>
      <c r="D170" s="5">
        <f t="shared" ca="1" si="32"/>
        <v>0</v>
      </c>
      <c r="E170" s="2">
        <f t="shared" ca="1" si="33"/>
        <v>15944685.421081718</v>
      </c>
      <c r="F170" s="2">
        <f t="shared" si="34"/>
        <v>5214497.2137393756</v>
      </c>
      <c r="G170" s="2">
        <f t="shared" ca="1" si="26"/>
        <v>1594468.5421081719</v>
      </c>
      <c r="H170" s="5">
        <f t="shared" ca="1" si="27"/>
        <v>1.818756596115656E-2</v>
      </c>
      <c r="I170" s="2">
        <f t="shared" ca="1" si="28"/>
        <v>7055034.6595211811</v>
      </c>
      <c r="J170" s="2">
        <f t="shared" ca="1" si="29"/>
        <v>394959313.58220482</v>
      </c>
      <c r="K170" s="2">
        <f t="shared" ca="1" si="35"/>
        <v>235459330.1826295</v>
      </c>
      <c r="L170" s="5">
        <f t="shared" ca="1" si="24"/>
        <v>1.6773992913165183</v>
      </c>
    </row>
    <row r="171" spans="1:12" x14ac:dyDescent="0.3">
      <c r="A171" s="1">
        <f t="shared" si="30"/>
        <v>14</v>
      </c>
      <c r="B171" s="1">
        <f t="shared" si="31"/>
        <v>4</v>
      </c>
      <c r="C171" s="2">
        <f t="shared" ca="1" si="25"/>
        <v>394959313.58220482</v>
      </c>
      <c r="D171" s="5">
        <f t="shared" ca="1" si="32"/>
        <v>0</v>
      </c>
      <c r="E171" s="2">
        <f t="shared" ca="1" si="33"/>
        <v>15944685.421081718</v>
      </c>
      <c r="F171" s="2">
        <f t="shared" si="34"/>
        <v>5214497.2137393756</v>
      </c>
      <c r="G171" s="2">
        <f t="shared" ca="1" si="26"/>
        <v>1594468.5421081719</v>
      </c>
      <c r="H171" s="5">
        <f t="shared" ca="1" si="27"/>
        <v>1.5882397454961783E-2</v>
      </c>
      <c r="I171" s="2">
        <f t="shared" ca="1" si="28"/>
        <v>6298224.779966658</v>
      </c>
      <c r="J171" s="2">
        <f t="shared" ca="1" si="29"/>
        <v>402852006.90427965</v>
      </c>
      <c r="K171" s="2">
        <f t="shared" ca="1" si="35"/>
        <v>235459330.1826295</v>
      </c>
      <c r="L171" s="5">
        <f t="shared" ca="1" si="24"/>
        <v>1.7109197014695288</v>
      </c>
    </row>
    <row r="172" spans="1:12" x14ac:dyDescent="0.3">
      <c r="A172" s="1">
        <f t="shared" si="30"/>
        <v>14</v>
      </c>
      <c r="B172" s="1">
        <f t="shared" si="31"/>
        <v>5</v>
      </c>
      <c r="C172" s="2">
        <f t="shared" ca="1" si="25"/>
        <v>402852006.90427965</v>
      </c>
      <c r="D172" s="5">
        <f t="shared" ca="1" si="32"/>
        <v>0</v>
      </c>
      <c r="E172" s="2">
        <f t="shared" ca="1" si="33"/>
        <v>15944685.421081718</v>
      </c>
      <c r="F172" s="2">
        <f t="shared" si="34"/>
        <v>5214497.2137393756</v>
      </c>
      <c r="G172" s="2">
        <f t="shared" ca="1" si="26"/>
        <v>1594468.5421081719</v>
      </c>
      <c r="H172" s="5">
        <f t="shared" ca="1" si="27"/>
        <v>1.5406077364683801E-2</v>
      </c>
      <c r="I172" s="2">
        <f t="shared" ca="1" si="28"/>
        <v>6230933.6906007379</v>
      </c>
      <c r="J172" s="2">
        <f t="shared" ca="1" si="29"/>
        <v>410677409.13698858</v>
      </c>
      <c r="K172" s="2">
        <f t="shared" ca="1" si="35"/>
        <v>235459330.1826295</v>
      </c>
      <c r="L172" s="5">
        <f t="shared" ca="1" si="24"/>
        <v>1.744154325158636</v>
      </c>
    </row>
    <row r="173" spans="1:12" x14ac:dyDescent="0.3">
      <c r="A173" s="1">
        <f t="shared" si="30"/>
        <v>14</v>
      </c>
      <c r="B173" s="1">
        <f t="shared" si="31"/>
        <v>6</v>
      </c>
      <c r="C173" s="2">
        <f t="shared" ca="1" si="25"/>
        <v>410677409.13698858</v>
      </c>
      <c r="D173" s="5">
        <f t="shared" ca="1" si="32"/>
        <v>0</v>
      </c>
      <c r="E173" s="2">
        <f t="shared" ca="1" si="33"/>
        <v>15944685.421081718</v>
      </c>
      <c r="F173" s="2">
        <f t="shared" si="34"/>
        <v>5214497.2137393756</v>
      </c>
      <c r="G173" s="2">
        <f t="shared" ca="1" si="26"/>
        <v>3188937.0842163437</v>
      </c>
      <c r="H173" s="5">
        <f t="shared" ca="1" si="27"/>
        <v>1.5499424229068248E-2</v>
      </c>
      <c r="I173" s="2">
        <f t="shared" ca="1" si="28"/>
        <v>6414690.074216892</v>
      </c>
      <c r="J173" s="2">
        <f t="shared" ca="1" si="29"/>
        <v>420281036.29542184</v>
      </c>
      <c r="K173" s="2">
        <f t="shared" ca="1" si="35"/>
        <v>235459330.1826295</v>
      </c>
      <c r="L173" s="5">
        <f t="shared" ca="1" si="24"/>
        <v>1.7849411020129844</v>
      </c>
    </row>
    <row r="174" spans="1:12" x14ac:dyDescent="0.3">
      <c r="A174" s="1">
        <f t="shared" si="30"/>
        <v>14</v>
      </c>
      <c r="B174" s="1">
        <f t="shared" si="31"/>
        <v>7</v>
      </c>
      <c r="C174" s="2">
        <f t="shared" ca="1" si="25"/>
        <v>420281036.29542184</v>
      </c>
      <c r="D174" s="5">
        <f t="shared" ca="1" si="32"/>
        <v>0</v>
      </c>
      <c r="E174" s="2">
        <f t="shared" ca="1" si="33"/>
        <v>15944685.421081718</v>
      </c>
      <c r="F174" s="2">
        <f t="shared" si="34"/>
        <v>5214497.2137393756</v>
      </c>
      <c r="G174" s="2">
        <f t="shared" ca="1" si="26"/>
        <v>1594468.5421081719</v>
      </c>
      <c r="H174" s="5">
        <f t="shared" ca="1" si="27"/>
        <v>1.1482094432054391E-2</v>
      </c>
      <c r="I174" s="2">
        <f t="shared" ca="1" si="28"/>
        <v>4844014.3851151383</v>
      </c>
      <c r="J174" s="2">
        <f t="shared" ca="1" si="29"/>
        <v>426719519.22264516</v>
      </c>
      <c r="K174" s="2">
        <f t="shared" ca="1" si="35"/>
        <v>235459330.1826295</v>
      </c>
      <c r="L174" s="5">
        <f t="shared" ca="1" si="24"/>
        <v>1.8122854545269809</v>
      </c>
    </row>
    <row r="175" spans="1:12" x14ac:dyDescent="0.3">
      <c r="A175" s="1">
        <f t="shared" si="30"/>
        <v>14</v>
      </c>
      <c r="B175" s="1">
        <f t="shared" si="31"/>
        <v>8</v>
      </c>
      <c r="C175" s="2">
        <f t="shared" ca="1" si="25"/>
        <v>426719519.22264516</v>
      </c>
      <c r="D175" s="5">
        <f t="shared" ca="1" si="32"/>
        <v>0</v>
      </c>
      <c r="E175" s="2">
        <f t="shared" ca="1" si="33"/>
        <v>15944685.421081718</v>
      </c>
      <c r="F175" s="2">
        <f t="shared" si="34"/>
        <v>5214497.2137393756</v>
      </c>
      <c r="G175" s="2">
        <f t="shared" ca="1" si="26"/>
        <v>1594468.5421081719</v>
      </c>
      <c r="H175" s="5">
        <f t="shared" ca="1" si="27"/>
        <v>1.4662396379295561E-2</v>
      </c>
      <c r="I175" s="2">
        <f t="shared" ca="1" si="28"/>
        <v>6280109.463403563</v>
      </c>
      <c r="J175" s="2">
        <f t="shared" ca="1" si="29"/>
        <v>434594097.22815692</v>
      </c>
      <c r="K175" s="2">
        <f t="shared" ca="1" si="35"/>
        <v>235459330.1826295</v>
      </c>
      <c r="L175" s="5">
        <f t="shared" ca="1" si="24"/>
        <v>1.845728928605515</v>
      </c>
    </row>
    <row r="176" spans="1:12" x14ac:dyDescent="0.3">
      <c r="A176" s="1">
        <f t="shared" si="30"/>
        <v>14</v>
      </c>
      <c r="B176" s="1">
        <f t="shared" si="31"/>
        <v>9</v>
      </c>
      <c r="C176" s="2">
        <f t="shared" ca="1" si="25"/>
        <v>434594097.22815692</v>
      </c>
      <c r="D176" s="5">
        <f t="shared" ca="1" si="32"/>
        <v>0</v>
      </c>
      <c r="E176" s="2">
        <f t="shared" ca="1" si="33"/>
        <v>15944685.421081718</v>
      </c>
      <c r="F176" s="2">
        <f t="shared" si="34"/>
        <v>5214497.2137393756</v>
      </c>
      <c r="G176" s="2">
        <f t="shared" ca="1" si="26"/>
        <v>1594468.5421081719</v>
      </c>
      <c r="H176" s="5">
        <f t="shared" ca="1" si="27"/>
        <v>1.5992323446166745E-2</v>
      </c>
      <c r="I176" s="2">
        <f t="shared" ca="1" si="28"/>
        <v>6975668.6273176558</v>
      </c>
      <c r="J176" s="2">
        <f t="shared" ca="1" si="29"/>
        <v>443164234.39758277</v>
      </c>
      <c r="K176" s="2">
        <f t="shared" ca="1" si="35"/>
        <v>235459330.1826295</v>
      </c>
      <c r="L176" s="5">
        <f t="shared" ca="1" si="24"/>
        <v>1.8821264549332191</v>
      </c>
    </row>
    <row r="177" spans="1:12" x14ac:dyDescent="0.3">
      <c r="A177" s="1">
        <f t="shared" si="30"/>
        <v>14</v>
      </c>
      <c r="B177" s="1">
        <f t="shared" si="31"/>
        <v>10</v>
      </c>
      <c r="C177" s="2">
        <f t="shared" ca="1" si="25"/>
        <v>443164234.39758277</v>
      </c>
      <c r="D177" s="5">
        <f t="shared" ca="1" si="32"/>
        <v>0</v>
      </c>
      <c r="E177" s="2">
        <f t="shared" ca="1" si="33"/>
        <v>15944685.421081718</v>
      </c>
      <c r="F177" s="2">
        <f t="shared" si="34"/>
        <v>5214497.2137393756</v>
      </c>
      <c r="G177" s="2">
        <f t="shared" ca="1" si="26"/>
        <v>1594468.5421081719</v>
      </c>
      <c r="H177" s="5">
        <f t="shared" ca="1" si="27"/>
        <v>1.6279792192660736E-2</v>
      </c>
      <c r="I177" s="2">
        <f t="shared" ca="1" si="28"/>
        <v>7240579.2597354958</v>
      </c>
      <c r="J177" s="2">
        <f t="shared" ca="1" si="29"/>
        <v>451999282.19942647</v>
      </c>
      <c r="K177" s="2">
        <f t="shared" ca="1" si="35"/>
        <v>235459330.1826295</v>
      </c>
      <c r="L177" s="5">
        <f t="shared" ca="1" si="24"/>
        <v>1.9196490614699444</v>
      </c>
    </row>
    <row r="178" spans="1:12" x14ac:dyDescent="0.3">
      <c r="A178" s="1">
        <f t="shared" si="30"/>
        <v>14</v>
      </c>
      <c r="B178" s="1">
        <f t="shared" si="31"/>
        <v>11</v>
      </c>
      <c r="C178" s="2">
        <f t="shared" ca="1" si="25"/>
        <v>451999282.19942647</v>
      </c>
      <c r="D178" s="5">
        <f t="shared" ca="1" si="32"/>
        <v>0</v>
      </c>
      <c r="E178" s="2">
        <f t="shared" ca="1" si="33"/>
        <v>15944685.421081718</v>
      </c>
      <c r="F178" s="2">
        <f t="shared" si="34"/>
        <v>5214497.2137393756</v>
      </c>
      <c r="G178" s="2">
        <f t="shared" ca="1" si="26"/>
        <v>1594468.5421081719</v>
      </c>
      <c r="H178" s="5">
        <f t="shared" ca="1" si="27"/>
        <v>1.7137598901460827E-2</v>
      </c>
      <c r="I178" s="2">
        <f t="shared" ca="1" si="28"/>
        <v>7773507.7644176204</v>
      </c>
      <c r="J178" s="2">
        <f t="shared" ca="1" si="29"/>
        <v>461367258.5059523</v>
      </c>
      <c r="K178" s="2">
        <f t="shared" ca="1" si="35"/>
        <v>235459330.1826295</v>
      </c>
      <c r="L178" s="5">
        <f t="shared" ca="1" si="24"/>
        <v>1.9594350249280912</v>
      </c>
    </row>
    <row r="179" spans="1:12" x14ac:dyDescent="0.3">
      <c r="A179" s="1">
        <f t="shared" si="30"/>
        <v>14</v>
      </c>
      <c r="B179" s="1">
        <f t="shared" si="31"/>
        <v>12</v>
      </c>
      <c r="C179" s="2">
        <f t="shared" ca="1" si="25"/>
        <v>461367258.5059523</v>
      </c>
      <c r="D179" s="5">
        <f t="shared" ca="1" si="32"/>
        <v>0</v>
      </c>
      <c r="E179" s="2">
        <f t="shared" ca="1" si="33"/>
        <v>15944685.421081718</v>
      </c>
      <c r="F179" s="2">
        <f t="shared" si="34"/>
        <v>5214497.2137393756</v>
      </c>
      <c r="G179" s="2">
        <f t="shared" ca="1" si="26"/>
        <v>3188937.0842163437</v>
      </c>
      <c r="H179" s="5">
        <f t="shared" ca="1" si="27"/>
        <v>1.5311498675450563E-2</v>
      </c>
      <c r="I179" s="2">
        <f t="shared" ca="1" si="28"/>
        <v>7113051.5734512201</v>
      </c>
      <c r="J179" s="2">
        <f t="shared" ca="1" si="29"/>
        <v>471669247.16361988</v>
      </c>
      <c r="K179" s="2">
        <f t="shared" ca="1" si="35"/>
        <v>235459330.1826295</v>
      </c>
      <c r="L179" s="5">
        <f t="shared" ca="1" si="24"/>
        <v>2.0031877555999955</v>
      </c>
    </row>
    <row r="180" spans="1:12" x14ac:dyDescent="0.3">
      <c r="A180" s="1">
        <f t="shared" si="30"/>
        <v>15</v>
      </c>
      <c r="B180" s="1">
        <f t="shared" si="31"/>
        <v>1</v>
      </c>
      <c r="C180" s="2">
        <f t="shared" ca="1" si="25"/>
        <v>471669247.16361988</v>
      </c>
      <c r="D180" s="5">
        <f t="shared" ca="1" si="32"/>
        <v>3.8344346011679332E-2</v>
      </c>
      <c r="E180" s="2">
        <f t="shared" ca="1" si="33"/>
        <v>16556073.955915052</v>
      </c>
      <c r="F180" s="2">
        <f t="shared" si="34"/>
        <v>5613406.250590438</v>
      </c>
      <c r="G180" s="2">
        <f t="shared" ca="1" si="26"/>
        <v>1655607.3955915053</v>
      </c>
      <c r="H180" s="5">
        <f t="shared" ca="1" si="27"/>
        <v>1.3909502244907834E-2</v>
      </c>
      <c r="I180" s="2">
        <f t="shared" ca="1" si="28"/>
        <v>6583713.1270620245</v>
      </c>
      <c r="J180" s="2">
        <f t="shared" ca="1" si="29"/>
        <v>479908567.6862734</v>
      </c>
      <c r="K180" s="2">
        <f t="shared" ca="1" si="35"/>
        <v>244288505.22677645</v>
      </c>
      <c r="L180" s="5">
        <f t="shared" ca="1" si="24"/>
        <v>1.9645155519731374</v>
      </c>
    </row>
    <row r="181" spans="1:12" x14ac:dyDescent="0.3">
      <c r="A181" s="1">
        <f t="shared" si="30"/>
        <v>15</v>
      </c>
      <c r="B181" s="1">
        <f t="shared" si="31"/>
        <v>2</v>
      </c>
      <c r="C181" s="2">
        <f t="shared" ca="1" si="25"/>
        <v>479908567.6862734</v>
      </c>
      <c r="D181" s="5">
        <f t="shared" ca="1" si="32"/>
        <v>0</v>
      </c>
      <c r="E181" s="2">
        <f t="shared" ca="1" si="33"/>
        <v>16556073.955915052</v>
      </c>
      <c r="F181" s="2">
        <f t="shared" si="34"/>
        <v>5613406.250590438</v>
      </c>
      <c r="G181" s="2">
        <f t="shared" ca="1" si="26"/>
        <v>1655607.3955915053</v>
      </c>
      <c r="H181" s="5">
        <f t="shared" ca="1" si="27"/>
        <v>1.6393316777569167E-2</v>
      </c>
      <c r="I181" s="2">
        <f t="shared" ca="1" si="28"/>
        <v>7894434.0708457911</v>
      </c>
      <c r="J181" s="2">
        <f t="shared" ca="1" si="29"/>
        <v>489458609.15271068</v>
      </c>
      <c r="K181" s="2">
        <f t="shared" ca="1" si="35"/>
        <v>244288505.22677645</v>
      </c>
      <c r="L181" s="5">
        <f t="shared" ca="1" si="24"/>
        <v>2.0036088423331231</v>
      </c>
    </row>
    <row r="182" spans="1:12" x14ac:dyDescent="0.3">
      <c r="A182" s="1">
        <f t="shared" si="30"/>
        <v>15</v>
      </c>
      <c r="B182" s="1">
        <f t="shared" si="31"/>
        <v>3</v>
      </c>
      <c r="C182" s="2">
        <f t="shared" ca="1" si="25"/>
        <v>489458609.15271068</v>
      </c>
      <c r="D182" s="5">
        <f t="shared" ca="1" si="32"/>
        <v>0</v>
      </c>
      <c r="E182" s="2">
        <f t="shared" ca="1" si="33"/>
        <v>16556073.955915052</v>
      </c>
      <c r="F182" s="2">
        <f t="shared" si="34"/>
        <v>5613406.250590438</v>
      </c>
      <c r="G182" s="2">
        <f t="shared" ca="1" si="26"/>
        <v>1655607.3955915053</v>
      </c>
      <c r="H182" s="5">
        <f t="shared" ca="1" si="27"/>
        <v>1.5364818088763998E-2</v>
      </c>
      <c r="I182" s="2">
        <f t="shared" ca="1" si="28"/>
        <v>7545880.5980705125</v>
      </c>
      <c r="J182" s="2">
        <f t="shared" ca="1" si="29"/>
        <v>498660097.14637268</v>
      </c>
      <c r="K182" s="2">
        <f t="shared" ca="1" si="35"/>
        <v>244288505.22677645</v>
      </c>
      <c r="L182" s="5">
        <f t="shared" ca="1" si="24"/>
        <v>2.0412753219127504</v>
      </c>
    </row>
    <row r="183" spans="1:12" x14ac:dyDescent="0.3">
      <c r="A183" s="1">
        <f t="shared" si="30"/>
        <v>15</v>
      </c>
      <c r="B183" s="1">
        <f t="shared" si="31"/>
        <v>4</v>
      </c>
      <c r="C183" s="2">
        <f t="shared" ca="1" si="25"/>
        <v>498660097.14637268</v>
      </c>
      <c r="D183" s="5">
        <f t="shared" ca="1" si="32"/>
        <v>0</v>
      </c>
      <c r="E183" s="2">
        <f t="shared" ca="1" si="33"/>
        <v>16556073.955915052</v>
      </c>
      <c r="F183" s="2">
        <f t="shared" si="34"/>
        <v>5613406.250590438</v>
      </c>
      <c r="G183" s="2">
        <f t="shared" ca="1" si="26"/>
        <v>1655607.3955915053</v>
      </c>
      <c r="H183" s="5">
        <f t="shared" ca="1" si="27"/>
        <v>1.3564158640612556E-2</v>
      </c>
      <c r="I183" s="2">
        <f t="shared" ca="1" si="28"/>
        <v>6786361.5867970418</v>
      </c>
      <c r="J183" s="2">
        <f t="shared" ca="1" si="29"/>
        <v>507102066.12876123</v>
      </c>
      <c r="K183" s="2">
        <f t="shared" ca="1" si="35"/>
        <v>244288505.22677645</v>
      </c>
      <c r="L183" s="5">
        <f t="shared" ca="1" si="24"/>
        <v>2.0758326948622132</v>
      </c>
    </row>
    <row r="184" spans="1:12" x14ac:dyDescent="0.3">
      <c r="A184" s="1">
        <f t="shared" si="30"/>
        <v>15</v>
      </c>
      <c r="B184" s="1">
        <f t="shared" si="31"/>
        <v>5</v>
      </c>
      <c r="C184" s="2">
        <f t="shared" ca="1" si="25"/>
        <v>507102066.12876123</v>
      </c>
      <c r="D184" s="5">
        <f t="shared" ca="1" si="32"/>
        <v>0</v>
      </c>
      <c r="E184" s="2">
        <f t="shared" ca="1" si="33"/>
        <v>16556073.955915052</v>
      </c>
      <c r="F184" s="2">
        <f t="shared" si="34"/>
        <v>5613406.250590438</v>
      </c>
      <c r="G184" s="2">
        <f t="shared" ca="1" si="26"/>
        <v>1655607.3955915053</v>
      </c>
      <c r="H184" s="5">
        <f t="shared" ca="1" si="27"/>
        <v>1.787914338027341E-2</v>
      </c>
      <c r="I184" s="2">
        <f t="shared" ca="1" si="28"/>
        <v>9096151.3907562327</v>
      </c>
      <c r="J184" s="2">
        <f t="shared" ca="1" si="29"/>
        <v>517853824.91510898</v>
      </c>
      <c r="K184" s="2">
        <f t="shared" ca="1" si="35"/>
        <v>244288505.22677645</v>
      </c>
      <c r="L184" s="5">
        <f t="shared" ca="1" si="24"/>
        <v>2.1198452396864846</v>
      </c>
    </row>
    <row r="185" spans="1:12" x14ac:dyDescent="0.3">
      <c r="A185" s="1">
        <f t="shared" si="30"/>
        <v>15</v>
      </c>
      <c r="B185" s="1">
        <f t="shared" si="31"/>
        <v>6</v>
      </c>
      <c r="C185" s="2">
        <f t="shared" ca="1" si="25"/>
        <v>517853824.91510898</v>
      </c>
      <c r="D185" s="5">
        <f t="shared" ca="1" si="32"/>
        <v>0</v>
      </c>
      <c r="E185" s="2">
        <f t="shared" ca="1" si="33"/>
        <v>16556073.955915052</v>
      </c>
      <c r="F185" s="2">
        <f t="shared" si="34"/>
        <v>5613406.250590438</v>
      </c>
      <c r="G185" s="2">
        <f t="shared" ca="1" si="26"/>
        <v>3311214.7911830107</v>
      </c>
      <c r="H185" s="5">
        <f t="shared" ca="1" si="27"/>
        <v>1.3762733034449193E-2</v>
      </c>
      <c r="I185" s="2">
        <f t="shared" ca="1" si="28"/>
        <v>7172655.3083658097</v>
      </c>
      <c r="J185" s="2">
        <f t="shared" ca="1" si="29"/>
        <v>528337695.0146578</v>
      </c>
      <c r="K185" s="2">
        <f t="shared" ca="1" si="35"/>
        <v>244288505.22677645</v>
      </c>
      <c r="L185" s="5">
        <f t="shared" ca="1" si="24"/>
        <v>2.1627611766840791</v>
      </c>
    </row>
    <row r="186" spans="1:12" x14ac:dyDescent="0.3">
      <c r="A186" s="1">
        <f t="shared" si="30"/>
        <v>15</v>
      </c>
      <c r="B186" s="1">
        <f t="shared" si="31"/>
        <v>7</v>
      </c>
      <c r="C186" s="2">
        <f t="shared" ca="1" si="25"/>
        <v>528337695.0146578</v>
      </c>
      <c r="D186" s="5">
        <f t="shared" ca="1" si="32"/>
        <v>0</v>
      </c>
      <c r="E186" s="2">
        <f t="shared" ca="1" si="33"/>
        <v>16556073.955915052</v>
      </c>
      <c r="F186" s="2">
        <f t="shared" si="34"/>
        <v>5613406.250590438</v>
      </c>
      <c r="G186" s="2">
        <f t="shared" ca="1" si="26"/>
        <v>1655607.3955915053</v>
      </c>
      <c r="H186" s="5">
        <f t="shared" ca="1" si="27"/>
        <v>1.5003376097705523E-2</v>
      </c>
      <c r="I186" s="2">
        <f t="shared" ca="1" si="28"/>
        <v>7951688.8453259496</v>
      </c>
      <c r="J186" s="2">
        <f t="shared" ca="1" si="29"/>
        <v>537944991.2555753</v>
      </c>
      <c r="K186" s="2">
        <f t="shared" ca="1" si="35"/>
        <v>244288505.22677645</v>
      </c>
      <c r="L186" s="5">
        <f t="shared" ca="1" si="24"/>
        <v>2.2020888406361707</v>
      </c>
    </row>
    <row r="187" spans="1:12" x14ac:dyDescent="0.3">
      <c r="A187" s="1">
        <f t="shared" si="30"/>
        <v>15</v>
      </c>
      <c r="B187" s="1">
        <f t="shared" si="31"/>
        <v>8</v>
      </c>
      <c r="C187" s="2">
        <f t="shared" ca="1" si="25"/>
        <v>537944991.2555753</v>
      </c>
      <c r="D187" s="5">
        <f t="shared" ca="1" si="32"/>
        <v>0</v>
      </c>
      <c r="E187" s="2">
        <f t="shared" ca="1" si="33"/>
        <v>16556073.955915052</v>
      </c>
      <c r="F187" s="2">
        <f t="shared" si="34"/>
        <v>5613406.250590438</v>
      </c>
      <c r="G187" s="2">
        <f t="shared" ca="1" si="26"/>
        <v>1655607.3955915053</v>
      </c>
      <c r="H187" s="5">
        <f t="shared" ca="1" si="27"/>
        <v>1.0263226865996344E-2</v>
      </c>
      <c r="I187" s="2">
        <f t="shared" ca="1" si="28"/>
        <v>5538043.3609843655</v>
      </c>
      <c r="J187" s="2">
        <f t="shared" ca="1" si="29"/>
        <v>545138642.01215112</v>
      </c>
      <c r="K187" s="2">
        <f t="shared" ca="1" si="35"/>
        <v>244288505.22677645</v>
      </c>
      <c r="L187" s="5">
        <f t="shared" ca="1" si="24"/>
        <v>2.2315361973584933</v>
      </c>
    </row>
    <row r="188" spans="1:12" x14ac:dyDescent="0.3">
      <c r="A188" s="1">
        <f t="shared" si="30"/>
        <v>15</v>
      </c>
      <c r="B188" s="1">
        <f t="shared" si="31"/>
        <v>9</v>
      </c>
      <c r="C188" s="2">
        <f t="shared" ca="1" si="25"/>
        <v>545138642.01215112</v>
      </c>
      <c r="D188" s="5">
        <f t="shared" ca="1" si="32"/>
        <v>0</v>
      </c>
      <c r="E188" s="2">
        <f t="shared" ca="1" si="33"/>
        <v>16556073.955915052</v>
      </c>
      <c r="F188" s="2">
        <f t="shared" si="34"/>
        <v>5613406.250590438</v>
      </c>
      <c r="G188" s="2">
        <f t="shared" ca="1" si="26"/>
        <v>1655607.3955915053</v>
      </c>
      <c r="H188" s="5">
        <f t="shared" ca="1" si="27"/>
        <v>1.4150831314800216E-2</v>
      </c>
      <c r="I188" s="2">
        <f t="shared" ca="1" si="28"/>
        <v>7737593.1872717636</v>
      </c>
      <c r="J188" s="2">
        <f t="shared" ca="1" si="29"/>
        <v>554531842.59501433</v>
      </c>
      <c r="K188" s="2">
        <f t="shared" ca="1" si="35"/>
        <v>244288505.22677645</v>
      </c>
      <c r="L188" s="5">
        <f t="shared" ca="1" si="24"/>
        <v>2.2699874563489373</v>
      </c>
    </row>
    <row r="189" spans="1:12" x14ac:dyDescent="0.3">
      <c r="A189" s="1">
        <f t="shared" si="30"/>
        <v>15</v>
      </c>
      <c r="B189" s="1">
        <f t="shared" si="31"/>
        <v>10</v>
      </c>
      <c r="C189" s="2">
        <f t="shared" ca="1" si="25"/>
        <v>554531842.59501433</v>
      </c>
      <c r="D189" s="5">
        <f t="shared" ca="1" si="32"/>
        <v>0</v>
      </c>
      <c r="E189" s="2">
        <f t="shared" ca="1" si="33"/>
        <v>16556073.955915052</v>
      </c>
      <c r="F189" s="2">
        <f t="shared" si="34"/>
        <v>5613406.250590438</v>
      </c>
      <c r="G189" s="2">
        <f t="shared" ca="1" si="26"/>
        <v>1655607.3955915053</v>
      </c>
      <c r="H189" s="5">
        <f t="shared" ca="1" si="27"/>
        <v>1.3541861918608289E-2</v>
      </c>
      <c r="I189" s="2">
        <f t="shared" ca="1" si="28"/>
        <v>7531813.648635637</v>
      </c>
      <c r="J189" s="2">
        <f t="shared" ca="1" si="29"/>
        <v>563719263.63924146</v>
      </c>
      <c r="K189" s="2">
        <f t="shared" ca="1" si="35"/>
        <v>244288505.22677645</v>
      </c>
      <c r="L189" s="5">
        <f t="shared" ca="1" si="24"/>
        <v>2.3075963525829142</v>
      </c>
    </row>
    <row r="190" spans="1:12" x14ac:dyDescent="0.3">
      <c r="A190" s="1">
        <f t="shared" si="30"/>
        <v>15</v>
      </c>
      <c r="B190" s="1">
        <f t="shared" si="31"/>
        <v>11</v>
      </c>
      <c r="C190" s="2">
        <f t="shared" ca="1" si="25"/>
        <v>563719263.63924146</v>
      </c>
      <c r="D190" s="5">
        <f t="shared" ca="1" si="32"/>
        <v>0</v>
      </c>
      <c r="E190" s="2">
        <f t="shared" ca="1" si="33"/>
        <v>16556073.955915052</v>
      </c>
      <c r="F190" s="2">
        <f t="shared" si="34"/>
        <v>5613406.250590438</v>
      </c>
      <c r="G190" s="2">
        <f t="shared" ca="1" si="26"/>
        <v>1655607.3955915053</v>
      </c>
      <c r="H190" s="5">
        <f t="shared" ca="1" si="27"/>
        <v>1.3386691711374521E-2</v>
      </c>
      <c r="I190" s="2">
        <f t="shared" ca="1" si="28"/>
        <v>7568499.0999014368</v>
      </c>
      <c r="J190" s="2">
        <f t="shared" ca="1" si="29"/>
        <v>572943370.13473439</v>
      </c>
      <c r="K190" s="2">
        <f t="shared" ca="1" si="35"/>
        <v>244288505.22677645</v>
      </c>
      <c r="L190" s="5">
        <f t="shared" ca="1" si="24"/>
        <v>2.3453554214630894</v>
      </c>
    </row>
    <row r="191" spans="1:12" x14ac:dyDescent="0.3">
      <c r="A191" s="1">
        <f t="shared" si="30"/>
        <v>15</v>
      </c>
      <c r="B191" s="1">
        <f t="shared" si="31"/>
        <v>12</v>
      </c>
      <c r="C191" s="2">
        <f t="shared" ca="1" si="25"/>
        <v>572943370.13473439</v>
      </c>
      <c r="D191" s="5">
        <f t="shared" ca="1" si="32"/>
        <v>0</v>
      </c>
      <c r="E191" s="2">
        <f t="shared" ca="1" si="33"/>
        <v>16556073.955915052</v>
      </c>
      <c r="F191" s="2">
        <f t="shared" si="34"/>
        <v>5613406.250590438</v>
      </c>
      <c r="G191" s="2">
        <f t="shared" ca="1" si="26"/>
        <v>3311214.7911830107</v>
      </c>
      <c r="H191" s="5">
        <f t="shared" ca="1" si="27"/>
        <v>1.5055384640518144E-2</v>
      </c>
      <c r="I191" s="2">
        <f t="shared" ca="1" si="28"/>
        <v>8675734.4269218147</v>
      </c>
      <c r="J191" s="2">
        <f t="shared" ca="1" si="29"/>
        <v>584930319.35283923</v>
      </c>
      <c r="K191" s="2">
        <f t="shared" ca="1" si="35"/>
        <v>244288505.22677645</v>
      </c>
      <c r="L191" s="5">
        <f t="shared" ca="1" si="24"/>
        <v>2.3944242436206329</v>
      </c>
    </row>
    <row r="192" spans="1:12" x14ac:dyDescent="0.3">
      <c r="A192" s="1">
        <f t="shared" si="30"/>
        <v>16</v>
      </c>
      <c r="B192" s="1">
        <f t="shared" si="31"/>
        <v>1</v>
      </c>
      <c r="C192" s="2">
        <f t="shared" ca="1" si="25"/>
        <v>584930319.35283923</v>
      </c>
      <c r="D192" s="5">
        <f t="shared" ca="1" si="32"/>
        <v>4.569363877957483E-2</v>
      </c>
      <c r="E192" s="2">
        <f t="shared" ca="1" si="33"/>
        <v>17312581.21886456</v>
      </c>
      <c r="F192" s="2">
        <f t="shared" si="34"/>
        <v>6042831.8287606062</v>
      </c>
      <c r="G192" s="2">
        <f t="shared" ca="1" si="26"/>
        <v>1731258.1218864562</v>
      </c>
      <c r="H192" s="5">
        <f t="shared" ca="1" si="27"/>
        <v>1.314061779760678E-2</v>
      </c>
      <c r="I192" s="2">
        <f t="shared" ca="1" si="28"/>
        <v>7709095.5661364496</v>
      </c>
      <c r="J192" s="2">
        <f t="shared" ca="1" si="29"/>
        <v>594370673.0408622</v>
      </c>
      <c r="K192" s="2">
        <f t="shared" ca="1" si="35"/>
        <v>254715490.54819632</v>
      </c>
      <c r="L192" s="5">
        <f t="shared" ca="1" si="24"/>
        <v>2.3334688901788545</v>
      </c>
    </row>
    <row r="193" spans="1:12" x14ac:dyDescent="0.3">
      <c r="A193" s="1">
        <f t="shared" si="30"/>
        <v>16</v>
      </c>
      <c r="B193" s="1">
        <f t="shared" si="31"/>
        <v>2</v>
      </c>
      <c r="C193" s="2">
        <f t="shared" ca="1" si="25"/>
        <v>594370673.0408622</v>
      </c>
      <c r="D193" s="5">
        <f t="shared" ca="1" si="32"/>
        <v>0</v>
      </c>
      <c r="E193" s="2">
        <f t="shared" ca="1" si="33"/>
        <v>17312581.21886456</v>
      </c>
      <c r="F193" s="2">
        <f t="shared" si="34"/>
        <v>6042831.8287606062</v>
      </c>
      <c r="G193" s="2">
        <f t="shared" ca="1" si="26"/>
        <v>1731258.1218864562</v>
      </c>
      <c r="H193" s="5">
        <f t="shared" ca="1" si="27"/>
        <v>1.6229110721507567E-2</v>
      </c>
      <c r="I193" s="2">
        <f t="shared" ca="1" si="28"/>
        <v>9674204.2421447299</v>
      </c>
      <c r="J193" s="2">
        <f t="shared" ca="1" si="29"/>
        <v>605776135.4048934</v>
      </c>
      <c r="K193" s="2">
        <f t="shared" ca="1" si="35"/>
        <v>254715490.54819632</v>
      </c>
      <c r="L193" s="5">
        <f t="shared" ca="1" si="24"/>
        <v>2.3782461526040195</v>
      </c>
    </row>
    <row r="194" spans="1:12" x14ac:dyDescent="0.3">
      <c r="A194" s="1">
        <f t="shared" si="30"/>
        <v>16</v>
      </c>
      <c r="B194" s="1">
        <f t="shared" si="31"/>
        <v>3</v>
      </c>
      <c r="C194" s="2">
        <f t="shared" ca="1" si="25"/>
        <v>605776135.4048934</v>
      </c>
      <c r="D194" s="5">
        <f t="shared" ca="1" si="32"/>
        <v>0</v>
      </c>
      <c r="E194" s="2">
        <f t="shared" ca="1" si="33"/>
        <v>17312581.21886456</v>
      </c>
      <c r="F194" s="2">
        <f t="shared" si="34"/>
        <v>6042831.8287606062</v>
      </c>
      <c r="G194" s="2">
        <f t="shared" ca="1" si="26"/>
        <v>1731258.1218864562</v>
      </c>
      <c r="H194" s="5">
        <f t="shared" ca="1" si="27"/>
        <v>1.3034847398894156E-2</v>
      </c>
      <c r="I194" s="2">
        <f t="shared" ca="1" si="28"/>
        <v>7918766.1683215154</v>
      </c>
      <c r="J194" s="2">
        <f t="shared" ca="1" si="29"/>
        <v>615426159.69510138</v>
      </c>
      <c r="K194" s="2">
        <f t="shared" ca="1" si="35"/>
        <v>254715490.54819632</v>
      </c>
      <c r="L194" s="5">
        <f t="shared" ca="1" si="24"/>
        <v>2.4161316548537624</v>
      </c>
    </row>
    <row r="195" spans="1:12" x14ac:dyDescent="0.3">
      <c r="A195" s="1">
        <f t="shared" si="30"/>
        <v>16</v>
      </c>
      <c r="B195" s="1">
        <f t="shared" si="31"/>
        <v>4</v>
      </c>
      <c r="C195" s="2">
        <f t="shared" ca="1" si="25"/>
        <v>615426159.69510138</v>
      </c>
      <c r="D195" s="5">
        <f t="shared" ca="1" si="32"/>
        <v>0</v>
      </c>
      <c r="E195" s="2">
        <f t="shared" ca="1" si="33"/>
        <v>17312581.21886456</v>
      </c>
      <c r="F195" s="2">
        <f t="shared" si="34"/>
        <v>6042831.8287606062</v>
      </c>
      <c r="G195" s="2">
        <f t="shared" ca="1" si="26"/>
        <v>1731258.1218864562</v>
      </c>
      <c r="H195" s="5">
        <f t="shared" ca="1" si="27"/>
        <v>1.4025286315002328E-2</v>
      </c>
      <c r="I195" s="2">
        <f t="shared" ca="1" si="28"/>
        <v>8655809.4863107745</v>
      </c>
      <c r="J195" s="2">
        <f t="shared" ca="1" si="29"/>
        <v>625813227.30329859</v>
      </c>
      <c r="K195" s="2">
        <f t="shared" ca="1" si="35"/>
        <v>254715490.54819632</v>
      </c>
      <c r="L195" s="5">
        <f t="shared" ca="1" si="24"/>
        <v>2.4569107515072175</v>
      </c>
    </row>
    <row r="196" spans="1:12" x14ac:dyDescent="0.3">
      <c r="A196" s="1">
        <f t="shared" si="30"/>
        <v>16</v>
      </c>
      <c r="B196" s="1">
        <f t="shared" si="31"/>
        <v>5</v>
      </c>
      <c r="C196" s="2">
        <f t="shared" ca="1" si="25"/>
        <v>625813227.30329859</v>
      </c>
      <c r="D196" s="5">
        <f t="shared" ca="1" si="32"/>
        <v>0</v>
      </c>
      <c r="E196" s="2">
        <f t="shared" ca="1" si="33"/>
        <v>17312581.21886456</v>
      </c>
      <c r="F196" s="2">
        <f t="shared" si="34"/>
        <v>6042831.8287606062</v>
      </c>
      <c r="G196" s="2">
        <f t="shared" ca="1" si="26"/>
        <v>1731258.1218864562</v>
      </c>
      <c r="H196" s="5">
        <f t="shared" ca="1" si="27"/>
        <v>1.3212048205267113E-2</v>
      </c>
      <c r="I196" s="2">
        <f t="shared" ca="1" si="28"/>
        <v>8291147.9923870908</v>
      </c>
      <c r="J196" s="2">
        <f t="shared" ca="1" si="29"/>
        <v>635835633.41757214</v>
      </c>
      <c r="K196" s="2">
        <f t="shared" ca="1" si="35"/>
        <v>254715490.54819632</v>
      </c>
      <c r="L196" s="5">
        <f t="shared" ca="1" si="24"/>
        <v>2.4962582057696316</v>
      </c>
    </row>
    <row r="197" spans="1:12" x14ac:dyDescent="0.3">
      <c r="A197" s="1">
        <f t="shared" si="30"/>
        <v>16</v>
      </c>
      <c r="B197" s="1">
        <f t="shared" si="31"/>
        <v>6</v>
      </c>
      <c r="C197" s="2">
        <f t="shared" ca="1" si="25"/>
        <v>635835633.41757214</v>
      </c>
      <c r="D197" s="5">
        <f t="shared" ca="1" si="32"/>
        <v>0</v>
      </c>
      <c r="E197" s="2">
        <f t="shared" ca="1" si="33"/>
        <v>17312581.21886456</v>
      </c>
      <c r="F197" s="2">
        <f t="shared" si="34"/>
        <v>6042831.8287606062</v>
      </c>
      <c r="G197" s="2">
        <f t="shared" ca="1" si="26"/>
        <v>3462516.2437729123</v>
      </c>
      <c r="H197" s="5">
        <f t="shared" ca="1" si="27"/>
        <v>1.9864753828495063E-2</v>
      </c>
      <c r="I197" s="2">
        <f t="shared" ca="1" si="28"/>
        <v>12699500.366035013</v>
      </c>
      <c r="J197" s="2">
        <f t="shared" ca="1" si="29"/>
        <v>651997650.02737999</v>
      </c>
      <c r="K197" s="2">
        <f t="shared" ca="1" si="35"/>
        <v>254715490.54819632</v>
      </c>
      <c r="L197" s="5">
        <f t="shared" ca="1" si="24"/>
        <v>2.5597094571050887</v>
      </c>
    </row>
    <row r="198" spans="1:12" x14ac:dyDescent="0.3">
      <c r="A198" s="1">
        <f t="shared" si="30"/>
        <v>16</v>
      </c>
      <c r="B198" s="1">
        <f t="shared" si="31"/>
        <v>7</v>
      </c>
      <c r="C198" s="2">
        <f t="shared" ca="1" si="25"/>
        <v>651997650.02737999</v>
      </c>
      <c r="D198" s="5">
        <f t="shared" ca="1" si="32"/>
        <v>0</v>
      </c>
      <c r="E198" s="2">
        <f t="shared" ca="1" si="33"/>
        <v>17312581.21886456</v>
      </c>
      <c r="F198" s="2">
        <f t="shared" si="34"/>
        <v>6042831.8287606062</v>
      </c>
      <c r="G198" s="2">
        <f t="shared" ca="1" si="26"/>
        <v>1731258.1218864562</v>
      </c>
      <c r="H198" s="5">
        <f t="shared" ca="1" si="27"/>
        <v>1.6885188212761193E-2</v>
      </c>
      <c r="I198" s="2">
        <f t="shared" ca="1" si="28"/>
        <v>11038335.654223239</v>
      </c>
      <c r="J198" s="2">
        <f t="shared" ca="1" si="29"/>
        <v>664767243.80348969</v>
      </c>
      <c r="K198" s="2">
        <f t="shared" ca="1" si="35"/>
        <v>254715490.54819632</v>
      </c>
      <c r="L198" s="5">
        <f t="shared" ca="1" si="24"/>
        <v>2.60984222974733</v>
      </c>
    </row>
    <row r="199" spans="1:12" x14ac:dyDescent="0.3">
      <c r="A199" s="1">
        <f t="shared" si="30"/>
        <v>16</v>
      </c>
      <c r="B199" s="1">
        <f t="shared" si="31"/>
        <v>8</v>
      </c>
      <c r="C199" s="2">
        <f t="shared" ca="1" si="25"/>
        <v>664767243.80348969</v>
      </c>
      <c r="D199" s="5">
        <f t="shared" ca="1" si="32"/>
        <v>0</v>
      </c>
      <c r="E199" s="2">
        <f t="shared" ca="1" si="33"/>
        <v>17312581.21886456</v>
      </c>
      <c r="F199" s="2">
        <f t="shared" si="34"/>
        <v>6042831.8287606062</v>
      </c>
      <c r="G199" s="2">
        <f t="shared" ca="1" si="26"/>
        <v>1731258.1218864562</v>
      </c>
      <c r="H199" s="5">
        <f t="shared" ca="1" si="27"/>
        <v>1.6625725349765919E-2</v>
      </c>
      <c r="I199" s="2">
        <f t="shared" ca="1" si="28"/>
        <v>11081021.039041735</v>
      </c>
      <c r="J199" s="2">
        <f t="shared" ca="1" si="29"/>
        <v>677579522.96441793</v>
      </c>
      <c r="K199" s="2">
        <f t="shared" ca="1" si="35"/>
        <v>254715490.54819632</v>
      </c>
      <c r="L199" s="5">
        <f t="shared" ca="1" si="24"/>
        <v>2.6601425830291578</v>
      </c>
    </row>
    <row r="200" spans="1:12" x14ac:dyDescent="0.3">
      <c r="A200" s="1">
        <f t="shared" si="30"/>
        <v>16</v>
      </c>
      <c r="B200" s="1">
        <f t="shared" si="31"/>
        <v>9</v>
      </c>
      <c r="C200" s="2">
        <f t="shared" ca="1" si="25"/>
        <v>677579522.96441793</v>
      </c>
      <c r="D200" s="5">
        <f t="shared" ca="1" si="32"/>
        <v>0</v>
      </c>
      <c r="E200" s="2">
        <f t="shared" ca="1" si="33"/>
        <v>17312581.21886456</v>
      </c>
      <c r="F200" s="2">
        <f t="shared" si="34"/>
        <v>6042831.8287606062</v>
      </c>
      <c r="G200" s="2">
        <f t="shared" ca="1" si="26"/>
        <v>1731258.1218864562</v>
      </c>
      <c r="H200" s="5">
        <f t="shared" ca="1" si="27"/>
        <v>1.3130460474496397E-2</v>
      </c>
      <c r="I200" s="2">
        <f t="shared" ca="1" si="28"/>
        <v>8919663.3609529957</v>
      </c>
      <c r="J200" s="2">
        <f t="shared" ca="1" si="29"/>
        <v>688230444.4472574</v>
      </c>
      <c r="K200" s="2">
        <f t="shared" ca="1" si="35"/>
        <v>254715490.54819632</v>
      </c>
      <c r="L200" s="5">
        <f t="shared" ca="1" si="24"/>
        <v>2.7019575565115974</v>
      </c>
    </row>
    <row r="201" spans="1:12" x14ac:dyDescent="0.3">
      <c r="A201" s="1">
        <f t="shared" si="30"/>
        <v>16</v>
      </c>
      <c r="B201" s="1">
        <f t="shared" si="31"/>
        <v>10</v>
      </c>
      <c r="C201" s="2">
        <f t="shared" ca="1" si="25"/>
        <v>688230444.4472574</v>
      </c>
      <c r="D201" s="5">
        <f t="shared" ca="1" si="32"/>
        <v>0</v>
      </c>
      <c r="E201" s="2">
        <f t="shared" ca="1" si="33"/>
        <v>17312581.21886456</v>
      </c>
      <c r="F201" s="2">
        <f t="shared" si="34"/>
        <v>6042831.8287606062</v>
      </c>
      <c r="G201" s="2">
        <f t="shared" ca="1" si="26"/>
        <v>1731258.1218864562</v>
      </c>
      <c r="H201" s="5">
        <f t="shared" ca="1" si="27"/>
        <v>1.5582911969263202E-2</v>
      </c>
      <c r="I201" s="2">
        <f t="shared" ca="1" si="28"/>
        <v>10751612.473297929</v>
      </c>
      <c r="J201" s="2">
        <f t="shared" ca="1" si="29"/>
        <v>700713315.04244184</v>
      </c>
      <c r="K201" s="2">
        <f t="shared" ca="1" si="35"/>
        <v>254715490.54819632</v>
      </c>
      <c r="L201" s="5">
        <f t="shared" ca="1" si="24"/>
        <v>2.7509646685970028</v>
      </c>
    </row>
    <row r="202" spans="1:12" x14ac:dyDescent="0.3">
      <c r="A202" s="1">
        <f t="shared" si="30"/>
        <v>16</v>
      </c>
      <c r="B202" s="1">
        <f t="shared" si="31"/>
        <v>11</v>
      </c>
      <c r="C202" s="2">
        <f t="shared" ca="1" si="25"/>
        <v>700713315.04244184</v>
      </c>
      <c r="D202" s="5">
        <f t="shared" ca="1" si="32"/>
        <v>0</v>
      </c>
      <c r="E202" s="2">
        <f t="shared" ca="1" si="33"/>
        <v>17312581.21886456</v>
      </c>
      <c r="F202" s="2">
        <f t="shared" si="34"/>
        <v>6042831.8287606062</v>
      </c>
      <c r="G202" s="2">
        <f t="shared" ca="1" si="26"/>
        <v>1731258.1218864562</v>
      </c>
      <c r="H202" s="5">
        <f t="shared" ca="1" si="27"/>
        <v>1.5936199264619422E-2</v>
      </c>
      <c r="I202" s="2">
        <f t="shared" ca="1" si="28"/>
        <v>11194296.690297272</v>
      </c>
      <c r="J202" s="2">
        <f t="shared" ca="1" si="29"/>
        <v>713638869.85462558</v>
      </c>
      <c r="K202" s="2">
        <f t="shared" ca="1" si="35"/>
        <v>254715490.54819632</v>
      </c>
      <c r="L202" s="5">
        <f t="shared" ca="1" si="24"/>
        <v>2.8017097362973042</v>
      </c>
    </row>
    <row r="203" spans="1:12" x14ac:dyDescent="0.3">
      <c r="A203" s="1">
        <f t="shared" si="30"/>
        <v>16</v>
      </c>
      <c r="B203" s="1">
        <f t="shared" si="31"/>
        <v>12</v>
      </c>
      <c r="C203" s="2">
        <f t="shared" ca="1" si="25"/>
        <v>713638869.85462558</v>
      </c>
      <c r="D203" s="5">
        <f t="shared" ca="1" si="32"/>
        <v>0</v>
      </c>
      <c r="E203" s="2">
        <f t="shared" ca="1" si="33"/>
        <v>17312581.21886456</v>
      </c>
      <c r="F203" s="2">
        <f t="shared" si="34"/>
        <v>6042831.8287606062</v>
      </c>
      <c r="G203" s="2">
        <f t="shared" ca="1" si="26"/>
        <v>3462516.2437729123</v>
      </c>
      <c r="H203" s="5">
        <f t="shared" ca="1" si="27"/>
        <v>1.4019412392801023E-2</v>
      </c>
      <c r="I203" s="2">
        <f t="shared" ca="1" si="28"/>
        <v>10053340.059162678</v>
      </c>
      <c r="J203" s="2">
        <f t="shared" ca="1" si="29"/>
        <v>727154726.15756118</v>
      </c>
      <c r="K203" s="2">
        <f t="shared" ca="1" si="35"/>
        <v>254715490.54819632</v>
      </c>
      <c r="L203" s="5">
        <f t="shared" ca="1" si="24"/>
        <v>2.8547722974860519</v>
      </c>
    </row>
    <row r="204" spans="1:12" x14ac:dyDescent="0.3">
      <c r="A204" s="1">
        <f t="shared" si="30"/>
        <v>17</v>
      </c>
      <c r="B204" s="1">
        <f t="shared" si="31"/>
        <v>1</v>
      </c>
      <c r="C204" s="2">
        <f t="shared" ca="1" si="25"/>
        <v>727154726.15756118</v>
      </c>
      <c r="D204" s="5">
        <f t="shared" ca="1" si="32"/>
        <v>0.20374922371968021</v>
      </c>
      <c r="E204" s="2">
        <f t="shared" ca="1" si="33"/>
        <v>20840006.20279213</v>
      </c>
      <c r="F204" s="2">
        <f t="shared" si="34"/>
        <v>6505108.4636607924</v>
      </c>
      <c r="G204" s="2">
        <f t="shared" ca="1" si="26"/>
        <v>2084000.6202792132</v>
      </c>
      <c r="H204" s="5">
        <f t="shared" ca="1" si="27"/>
        <v>1.7634128821952144E-2</v>
      </c>
      <c r="I204" s="2">
        <f t="shared" ca="1" si="28"/>
        <v>12859489.6499568</v>
      </c>
      <c r="J204" s="2">
        <f t="shared" ca="1" si="29"/>
        <v>742098216.4277972</v>
      </c>
      <c r="K204" s="2">
        <f t="shared" ca="1" si="35"/>
        <v>262934212.29629555</v>
      </c>
      <c r="L204" s="5">
        <f t="shared" ref="L204:L267" ca="1" si="36">(J204/K204)</f>
        <v>2.8223722198294259</v>
      </c>
    </row>
    <row r="205" spans="1:12" x14ac:dyDescent="0.3">
      <c r="A205" s="1">
        <f t="shared" si="30"/>
        <v>17</v>
      </c>
      <c r="B205" s="1">
        <f t="shared" si="31"/>
        <v>2</v>
      </c>
      <c r="C205" s="2">
        <f t="shared" ref="C205:C268" ca="1" si="37">J204</f>
        <v>742098216.4277972</v>
      </c>
      <c r="D205" s="5">
        <f t="shared" ca="1" si="32"/>
        <v>0</v>
      </c>
      <c r="E205" s="2">
        <f t="shared" ca="1" si="33"/>
        <v>20840006.20279213</v>
      </c>
      <c r="F205" s="2">
        <f t="shared" si="34"/>
        <v>6505108.4636607924</v>
      </c>
      <c r="G205" s="2">
        <f t="shared" ref="G205:G268" ca="1" si="38">IF(OR(B205=6,B205=12),E205*$B$2*2,E205*$B$2)</f>
        <v>2084000.6202792132</v>
      </c>
      <c r="H205" s="5">
        <f t="shared" ref="H205:H268" ca="1" si="39">(NORMINV(RAND(),$E$3,$F$3)+1)^(1/12)-1</f>
        <v>1.181443850459063E-2</v>
      </c>
      <c r="I205" s="2">
        <f t="shared" ref="I205:I268" ca="1" si="40">(J204+G205)*H205</f>
        <v>8792095.0395244155</v>
      </c>
      <c r="J205" s="2">
        <f t="shared" ref="J205:J268" ca="1" si="41">G205+C205+I205</f>
        <v>752974312.08760083</v>
      </c>
      <c r="K205" s="2">
        <f t="shared" ca="1" si="35"/>
        <v>262934212.29629555</v>
      </c>
      <c r="L205" s="5">
        <f t="shared" ca="1" si="36"/>
        <v>2.8637365427329344</v>
      </c>
    </row>
    <row r="206" spans="1:12" x14ac:dyDescent="0.3">
      <c r="A206" s="1">
        <f t="shared" ref="A206:A269" si="42">IF(B206=1,A205+1,A205)</f>
        <v>17</v>
      </c>
      <c r="B206" s="1">
        <f t="shared" ref="B206:B269" si="43">IF(B205=12,1,B205+1)</f>
        <v>3</v>
      </c>
      <c r="C206" s="2">
        <f t="shared" ca="1" si="37"/>
        <v>752974312.08760083</v>
      </c>
      <c r="D206" s="5">
        <f t="shared" ref="D206:D269" ca="1" si="44">IF(B206&lt;&gt;1,0,LOGINV(RAND(),LN($E$6),SQRT($F$6)))</f>
        <v>0</v>
      </c>
      <c r="E206" s="2">
        <f t="shared" ref="E206:E269" ca="1" si="45">IF(B206&lt;&gt;1,E205,IF(AND(A206=3,B206=1),E205*2,IF(AND(A206=10,B206=1),E205*2,E205*(1+IF(E205&gt;F205,D206,$B$4)))))</f>
        <v>20840006.20279213</v>
      </c>
      <c r="F206" s="2">
        <f t="shared" ref="F206:F269" si="46">IF(B206&lt;&gt;1,F205,F205*(1+$B$4))</f>
        <v>6505108.4636607924</v>
      </c>
      <c r="G206" s="2">
        <f t="shared" ca="1" si="38"/>
        <v>2084000.6202792132</v>
      </c>
      <c r="H206" s="5">
        <f t="shared" ca="1" si="39"/>
        <v>1.5868518755737471E-2</v>
      </c>
      <c r="I206" s="2">
        <f t="shared" ca="1" si="40"/>
        <v>11981656.996880483</v>
      </c>
      <c r="J206" s="2">
        <f t="shared" ca="1" si="41"/>
        <v>767039969.70476055</v>
      </c>
      <c r="K206" s="2">
        <f t="shared" ref="K206:K269" ca="1" si="47">IF(B206=1,K205*(1+NORMINV(RAND(),$E$5,$F$5)),K205)</f>
        <v>262934212.29629555</v>
      </c>
      <c r="L206" s="5">
        <f t="shared" ca="1" si="36"/>
        <v>2.9172315120422514</v>
      </c>
    </row>
    <row r="207" spans="1:12" x14ac:dyDescent="0.3">
      <c r="A207" s="1">
        <f t="shared" si="42"/>
        <v>17</v>
      </c>
      <c r="B207" s="1">
        <f t="shared" si="43"/>
        <v>4</v>
      </c>
      <c r="C207" s="2">
        <f t="shared" ca="1" si="37"/>
        <v>767039969.70476055</v>
      </c>
      <c r="D207" s="5">
        <f t="shared" ca="1" si="44"/>
        <v>0</v>
      </c>
      <c r="E207" s="2">
        <f t="shared" ca="1" si="45"/>
        <v>20840006.20279213</v>
      </c>
      <c r="F207" s="2">
        <f t="shared" si="46"/>
        <v>6505108.4636607924</v>
      </c>
      <c r="G207" s="2">
        <f t="shared" ca="1" si="38"/>
        <v>2084000.6202792132</v>
      </c>
      <c r="H207" s="5">
        <f t="shared" ca="1" si="39"/>
        <v>1.2733363176623547E-2</v>
      </c>
      <c r="I207" s="2">
        <f t="shared" ca="1" si="40"/>
        <v>9793534.8419953622</v>
      </c>
      <c r="J207" s="2">
        <f t="shared" ca="1" si="41"/>
        <v>778917505.1670351</v>
      </c>
      <c r="K207" s="2">
        <f t="shared" ca="1" si="47"/>
        <v>262934212.29629555</v>
      </c>
      <c r="L207" s="5">
        <f t="shared" ca="1" si="36"/>
        <v>2.9624045435718642</v>
      </c>
    </row>
    <row r="208" spans="1:12" x14ac:dyDescent="0.3">
      <c r="A208" s="1">
        <f t="shared" si="42"/>
        <v>17</v>
      </c>
      <c r="B208" s="1">
        <f t="shared" si="43"/>
        <v>5</v>
      </c>
      <c r="C208" s="2">
        <f t="shared" ca="1" si="37"/>
        <v>778917505.1670351</v>
      </c>
      <c r="D208" s="5">
        <f t="shared" ca="1" si="44"/>
        <v>0</v>
      </c>
      <c r="E208" s="2">
        <f t="shared" ca="1" si="45"/>
        <v>20840006.20279213</v>
      </c>
      <c r="F208" s="2">
        <f t="shared" si="46"/>
        <v>6505108.4636607924</v>
      </c>
      <c r="G208" s="2">
        <f t="shared" ca="1" si="38"/>
        <v>2084000.6202792132</v>
      </c>
      <c r="H208" s="5">
        <f t="shared" ca="1" si="39"/>
        <v>9.9408214468361678E-3</v>
      </c>
      <c r="I208" s="2">
        <f t="shared" ca="1" si="40"/>
        <v>7763796.518741875</v>
      </c>
      <c r="J208" s="2">
        <f t="shared" ca="1" si="41"/>
        <v>788765302.30605614</v>
      </c>
      <c r="K208" s="2">
        <f t="shared" ca="1" si="47"/>
        <v>262934212.29629555</v>
      </c>
      <c r="L208" s="5">
        <f t="shared" ca="1" si="36"/>
        <v>2.9998580078929082</v>
      </c>
    </row>
    <row r="209" spans="1:12" x14ac:dyDescent="0.3">
      <c r="A209" s="1">
        <f t="shared" si="42"/>
        <v>17</v>
      </c>
      <c r="B209" s="1">
        <f t="shared" si="43"/>
        <v>6</v>
      </c>
      <c r="C209" s="2">
        <f t="shared" ca="1" si="37"/>
        <v>788765302.30605614</v>
      </c>
      <c r="D209" s="5">
        <f t="shared" ca="1" si="44"/>
        <v>0</v>
      </c>
      <c r="E209" s="2">
        <f t="shared" ca="1" si="45"/>
        <v>20840006.20279213</v>
      </c>
      <c r="F209" s="2">
        <f t="shared" si="46"/>
        <v>6505108.4636607924</v>
      </c>
      <c r="G209" s="2">
        <f t="shared" ca="1" si="38"/>
        <v>4168001.2405584264</v>
      </c>
      <c r="H209" s="5">
        <f t="shared" ca="1" si="39"/>
        <v>1.8084215055359287E-2</v>
      </c>
      <c r="I209" s="2">
        <f t="shared" ca="1" si="40"/>
        <v>14339576.385893462</v>
      </c>
      <c r="J209" s="2">
        <f t="shared" ca="1" si="41"/>
        <v>807272879.93250799</v>
      </c>
      <c r="K209" s="2">
        <f t="shared" ca="1" si="47"/>
        <v>262934212.29629555</v>
      </c>
      <c r="L209" s="5">
        <f t="shared" ca="1" si="36"/>
        <v>3.0702466327311089</v>
      </c>
    </row>
    <row r="210" spans="1:12" x14ac:dyDescent="0.3">
      <c r="A210" s="1">
        <f t="shared" si="42"/>
        <v>17</v>
      </c>
      <c r="B210" s="1">
        <f t="shared" si="43"/>
        <v>7</v>
      </c>
      <c r="C210" s="2">
        <f t="shared" ca="1" si="37"/>
        <v>807272879.93250799</v>
      </c>
      <c r="D210" s="5">
        <f t="shared" ca="1" si="44"/>
        <v>0</v>
      </c>
      <c r="E210" s="2">
        <f t="shared" ca="1" si="45"/>
        <v>20840006.20279213</v>
      </c>
      <c r="F210" s="2">
        <f t="shared" si="46"/>
        <v>6505108.4636607924</v>
      </c>
      <c r="G210" s="2">
        <f t="shared" ca="1" si="38"/>
        <v>2084000.6202792132</v>
      </c>
      <c r="H210" s="5">
        <f t="shared" ca="1" si="39"/>
        <v>1.7994394452810036E-2</v>
      </c>
      <c r="I210" s="2">
        <f t="shared" ca="1" si="40"/>
        <v>14563886.96176271</v>
      </c>
      <c r="J210" s="2">
        <f t="shared" ca="1" si="41"/>
        <v>823920767.51454985</v>
      </c>
      <c r="K210" s="2">
        <f t="shared" ca="1" si="47"/>
        <v>262934212.29629555</v>
      </c>
      <c r="L210" s="5">
        <f t="shared" ca="1" si="36"/>
        <v>3.1335624235391979</v>
      </c>
    </row>
    <row r="211" spans="1:12" x14ac:dyDescent="0.3">
      <c r="A211" s="1">
        <f t="shared" si="42"/>
        <v>17</v>
      </c>
      <c r="B211" s="1">
        <f t="shared" si="43"/>
        <v>8</v>
      </c>
      <c r="C211" s="2">
        <f t="shared" ca="1" si="37"/>
        <v>823920767.51454985</v>
      </c>
      <c r="D211" s="5">
        <f t="shared" ca="1" si="44"/>
        <v>0</v>
      </c>
      <c r="E211" s="2">
        <f t="shared" ca="1" si="45"/>
        <v>20840006.20279213</v>
      </c>
      <c r="F211" s="2">
        <f t="shared" si="46"/>
        <v>6505108.4636607924</v>
      </c>
      <c r="G211" s="2">
        <f t="shared" ca="1" si="38"/>
        <v>2084000.6202792132</v>
      </c>
      <c r="H211" s="5">
        <f t="shared" ca="1" si="39"/>
        <v>1.3755503376861933E-2</v>
      </c>
      <c r="I211" s="2">
        <f t="shared" ca="1" si="40"/>
        <v>11362111.377382699</v>
      </c>
      <c r="J211" s="2">
        <f t="shared" ca="1" si="41"/>
        <v>837366879.5122118</v>
      </c>
      <c r="K211" s="2">
        <f t="shared" ca="1" si="47"/>
        <v>262934212.29629555</v>
      </c>
      <c r="L211" s="5">
        <f t="shared" ca="1" si="36"/>
        <v>3.1847011166755244</v>
      </c>
    </row>
    <row r="212" spans="1:12" x14ac:dyDescent="0.3">
      <c r="A212" s="1">
        <f t="shared" si="42"/>
        <v>17</v>
      </c>
      <c r="B212" s="1">
        <f t="shared" si="43"/>
        <v>9</v>
      </c>
      <c r="C212" s="2">
        <f t="shared" ca="1" si="37"/>
        <v>837366879.5122118</v>
      </c>
      <c r="D212" s="5">
        <f t="shared" ca="1" si="44"/>
        <v>0</v>
      </c>
      <c r="E212" s="2">
        <f t="shared" ca="1" si="45"/>
        <v>20840006.20279213</v>
      </c>
      <c r="F212" s="2">
        <f t="shared" si="46"/>
        <v>6505108.4636607924</v>
      </c>
      <c r="G212" s="2">
        <f t="shared" ca="1" si="38"/>
        <v>2084000.6202792132</v>
      </c>
      <c r="H212" s="5">
        <f t="shared" ca="1" si="39"/>
        <v>1.5813749468757576E-2</v>
      </c>
      <c r="I212" s="2">
        <f t="shared" ca="1" si="40"/>
        <v>13274865.909743259</v>
      </c>
      <c r="J212" s="2">
        <f t="shared" ca="1" si="41"/>
        <v>852725746.0422343</v>
      </c>
      <c r="K212" s="2">
        <f t="shared" ca="1" si="47"/>
        <v>262934212.29629555</v>
      </c>
      <c r="L212" s="5">
        <f t="shared" ca="1" si="36"/>
        <v>3.243114460438925</v>
      </c>
    </row>
    <row r="213" spans="1:12" x14ac:dyDescent="0.3">
      <c r="A213" s="1">
        <f t="shared" si="42"/>
        <v>17</v>
      </c>
      <c r="B213" s="1">
        <f t="shared" si="43"/>
        <v>10</v>
      </c>
      <c r="C213" s="2">
        <f t="shared" ca="1" si="37"/>
        <v>852725746.0422343</v>
      </c>
      <c r="D213" s="5">
        <f t="shared" ca="1" si="44"/>
        <v>0</v>
      </c>
      <c r="E213" s="2">
        <f t="shared" ca="1" si="45"/>
        <v>20840006.20279213</v>
      </c>
      <c r="F213" s="2">
        <f t="shared" si="46"/>
        <v>6505108.4636607924</v>
      </c>
      <c r="G213" s="2">
        <f t="shared" ca="1" si="38"/>
        <v>2084000.6202792132</v>
      </c>
      <c r="H213" s="5">
        <f t="shared" ca="1" si="39"/>
        <v>1.6013148045112002E-2</v>
      </c>
      <c r="I213" s="2">
        <f t="shared" ca="1" si="40"/>
        <v>13688195.023711514</v>
      </c>
      <c r="J213" s="2">
        <f t="shared" ca="1" si="41"/>
        <v>868497941.68622506</v>
      </c>
      <c r="K213" s="2">
        <f t="shared" ca="1" si="47"/>
        <v>262934212.29629555</v>
      </c>
      <c r="L213" s="5">
        <f t="shared" ca="1" si="36"/>
        <v>3.3030997910136217</v>
      </c>
    </row>
    <row r="214" spans="1:12" x14ac:dyDescent="0.3">
      <c r="A214" s="1">
        <f t="shared" si="42"/>
        <v>17</v>
      </c>
      <c r="B214" s="1">
        <f t="shared" si="43"/>
        <v>11</v>
      </c>
      <c r="C214" s="2">
        <f t="shared" ca="1" si="37"/>
        <v>868497941.68622506</v>
      </c>
      <c r="D214" s="5">
        <f t="shared" ca="1" si="44"/>
        <v>0</v>
      </c>
      <c r="E214" s="2">
        <f t="shared" ca="1" si="45"/>
        <v>20840006.20279213</v>
      </c>
      <c r="F214" s="2">
        <f t="shared" si="46"/>
        <v>6505108.4636607924</v>
      </c>
      <c r="G214" s="2">
        <f t="shared" ca="1" si="38"/>
        <v>2084000.6202792132</v>
      </c>
      <c r="H214" s="5">
        <f t="shared" ca="1" si="39"/>
        <v>1.4805496573161436E-2</v>
      </c>
      <c r="I214" s="2">
        <f t="shared" ca="1" si="40"/>
        <v>12889397.963475175</v>
      </c>
      <c r="J214" s="2">
        <f t="shared" ca="1" si="41"/>
        <v>883471340.26997948</v>
      </c>
      <c r="K214" s="2">
        <f t="shared" ca="1" si="47"/>
        <v>262934212.29629555</v>
      </c>
      <c r="L214" s="5">
        <f t="shared" ca="1" si="36"/>
        <v>3.3600471104704033</v>
      </c>
    </row>
    <row r="215" spans="1:12" x14ac:dyDescent="0.3">
      <c r="A215" s="1">
        <f t="shared" si="42"/>
        <v>17</v>
      </c>
      <c r="B215" s="1">
        <f t="shared" si="43"/>
        <v>12</v>
      </c>
      <c r="C215" s="2">
        <f t="shared" ca="1" si="37"/>
        <v>883471340.26997948</v>
      </c>
      <c r="D215" s="5">
        <f t="shared" ca="1" si="44"/>
        <v>0</v>
      </c>
      <c r="E215" s="2">
        <f t="shared" ca="1" si="45"/>
        <v>20840006.20279213</v>
      </c>
      <c r="F215" s="2">
        <f t="shared" si="46"/>
        <v>6505108.4636607924</v>
      </c>
      <c r="G215" s="2">
        <f t="shared" ca="1" si="38"/>
        <v>4168001.2405584264</v>
      </c>
      <c r="H215" s="5">
        <f t="shared" ca="1" si="39"/>
        <v>1.4812680979137793E-2</v>
      </c>
      <c r="I215" s="2">
        <f t="shared" ca="1" si="40"/>
        <v>13148318.390327539</v>
      </c>
      <c r="J215" s="2">
        <f t="shared" ca="1" si="41"/>
        <v>900787659.90086544</v>
      </c>
      <c r="K215" s="2">
        <f t="shared" ca="1" si="47"/>
        <v>262934212.29629555</v>
      </c>
      <c r="L215" s="5">
        <f t="shared" ca="1" si="36"/>
        <v>3.4259051039192459</v>
      </c>
    </row>
    <row r="216" spans="1:12" x14ac:dyDescent="0.3">
      <c r="A216" s="1">
        <f t="shared" si="42"/>
        <v>18</v>
      </c>
      <c r="B216" s="1">
        <f t="shared" si="43"/>
        <v>1</v>
      </c>
      <c r="C216" s="2">
        <f t="shared" ca="1" si="37"/>
        <v>900787659.90086544</v>
      </c>
      <c r="D216" s="5">
        <f t="shared" ca="1" si="44"/>
        <v>3.5901932969689271E-2</v>
      </c>
      <c r="E216" s="2">
        <f t="shared" ca="1" si="45"/>
        <v>21588202.708572682</v>
      </c>
      <c r="F216" s="2">
        <f t="shared" si="46"/>
        <v>7002749.2611308433</v>
      </c>
      <c r="G216" s="2">
        <f t="shared" ca="1" si="38"/>
        <v>2158820.2708572685</v>
      </c>
      <c r="H216" s="5">
        <f t="shared" ca="1" si="39"/>
        <v>1.0667888468923303E-2</v>
      </c>
      <c r="I216" s="2">
        <f t="shared" ca="1" si="40"/>
        <v>9632532.3438788038</v>
      </c>
      <c r="J216" s="2">
        <f t="shared" ca="1" si="41"/>
        <v>912579012.5156014</v>
      </c>
      <c r="K216" s="2">
        <f t="shared" ca="1" si="47"/>
        <v>273062543.68884742</v>
      </c>
      <c r="L216" s="5">
        <f t="shared" ca="1" si="36"/>
        <v>3.3420146175576457</v>
      </c>
    </row>
    <row r="217" spans="1:12" x14ac:dyDescent="0.3">
      <c r="A217" s="1">
        <f t="shared" si="42"/>
        <v>18</v>
      </c>
      <c r="B217" s="1">
        <f t="shared" si="43"/>
        <v>2</v>
      </c>
      <c r="C217" s="2">
        <f t="shared" ca="1" si="37"/>
        <v>912579012.5156014</v>
      </c>
      <c r="D217" s="5">
        <f t="shared" ca="1" si="44"/>
        <v>0</v>
      </c>
      <c r="E217" s="2">
        <f t="shared" ca="1" si="45"/>
        <v>21588202.708572682</v>
      </c>
      <c r="F217" s="2">
        <f t="shared" si="46"/>
        <v>7002749.2611308433</v>
      </c>
      <c r="G217" s="2">
        <f t="shared" ca="1" si="38"/>
        <v>2158820.2708572685</v>
      </c>
      <c r="H217" s="5">
        <f t="shared" ca="1" si="39"/>
        <v>1.7995307005114647E-2</v>
      </c>
      <c r="I217" s="2">
        <f t="shared" ca="1" si="40"/>
        <v>16460988.13018555</v>
      </c>
      <c r="J217" s="2">
        <f t="shared" ca="1" si="41"/>
        <v>931198820.91664422</v>
      </c>
      <c r="K217" s="2">
        <f t="shared" ca="1" si="47"/>
        <v>273062543.68884742</v>
      </c>
      <c r="L217" s="5">
        <f t="shared" ca="1" si="36"/>
        <v>3.4102034220326383</v>
      </c>
    </row>
    <row r="218" spans="1:12" x14ac:dyDescent="0.3">
      <c r="A218" s="1">
        <f t="shared" si="42"/>
        <v>18</v>
      </c>
      <c r="B218" s="1">
        <f t="shared" si="43"/>
        <v>3</v>
      </c>
      <c r="C218" s="2">
        <f t="shared" ca="1" si="37"/>
        <v>931198820.91664422</v>
      </c>
      <c r="D218" s="5">
        <f t="shared" ca="1" si="44"/>
        <v>0</v>
      </c>
      <c r="E218" s="2">
        <f t="shared" ca="1" si="45"/>
        <v>21588202.708572682</v>
      </c>
      <c r="F218" s="2">
        <f t="shared" si="46"/>
        <v>7002749.2611308433</v>
      </c>
      <c r="G218" s="2">
        <f t="shared" ca="1" si="38"/>
        <v>2158820.2708572685</v>
      </c>
      <c r="H218" s="5">
        <f t="shared" ca="1" si="39"/>
        <v>1.7922638350825082E-2</v>
      </c>
      <c r="I218" s="2">
        <f t="shared" ca="1" si="40"/>
        <v>16728231.45498275</v>
      </c>
      <c r="J218" s="2">
        <f t="shared" ca="1" si="41"/>
        <v>950085872.64248419</v>
      </c>
      <c r="K218" s="2">
        <f t="shared" ca="1" si="47"/>
        <v>273062543.68884742</v>
      </c>
      <c r="L218" s="5">
        <f t="shared" ca="1" si="36"/>
        <v>3.479370915569802</v>
      </c>
    </row>
    <row r="219" spans="1:12" x14ac:dyDescent="0.3">
      <c r="A219" s="1">
        <f t="shared" si="42"/>
        <v>18</v>
      </c>
      <c r="B219" s="1">
        <f t="shared" si="43"/>
        <v>4</v>
      </c>
      <c r="C219" s="2">
        <f t="shared" ca="1" si="37"/>
        <v>950085872.64248419</v>
      </c>
      <c r="D219" s="5">
        <f t="shared" ca="1" si="44"/>
        <v>0</v>
      </c>
      <c r="E219" s="2">
        <f t="shared" ca="1" si="45"/>
        <v>21588202.708572682</v>
      </c>
      <c r="F219" s="2">
        <f t="shared" si="46"/>
        <v>7002749.2611308433</v>
      </c>
      <c r="G219" s="2">
        <f t="shared" ca="1" si="38"/>
        <v>2158820.2708572685</v>
      </c>
      <c r="H219" s="5">
        <f t="shared" ca="1" si="39"/>
        <v>1.7733569594691634E-2</v>
      </c>
      <c r="I219" s="2">
        <f t="shared" ca="1" si="40"/>
        <v>16886697.532954503</v>
      </c>
      <c r="J219" s="2">
        <f t="shared" ca="1" si="41"/>
        <v>969131390.44629586</v>
      </c>
      <c r="K219" s="2">
        <f t="shared" ca="1" si="47"/>
        <v>273062543.68884742</v>
      </c>
      <c r="L219" s="5">
        <f t="shared" ca="1" si="36"/>
        <v>3.549118737978993</v>
      </c>
    </row>
    <row r="220" spans="1:12" x14ac:dyDescent="0.3">
      <c r="A220" s="1">
        <f t="shared" si="42"/>
        <v>18</v>
      </c>
      <c r="B220" s="1">
        <f t="shared" si="43"/>
        <v>5</v>
      </c>
      <c r="C220" s="2">
        <f t="shared" ca="1" si="37"/>
        <v>969131390.44629586</v>
      </c>
      <c r="D220" s="5">
        <f t="shared" ca="1" si="44"/>
        <v>0</v>
      </c>
      <c r="E220" s="2">
        <f t="shared" ca="1" si="45"/>
        <v>21588202.708572682</v>
      </c>
      <c r="F220" s="2">
        <f t="shared" si="46"/>
        <v>7002749.2611308433</v>
      </c>
      <c r="G220" s="2">
        <f t="shared" ca="1" si="38"/>
        <v>2158820.2708572685</v>
      </c>
      <c r="H220" s="5">
        <f t="shared" ca="1" si="39"/>
        <v>1.6882688389995959E-2</v>
      </c>
      <c r="I220" s="2">
        <f t="shared" ca="1" si="40"/>
        <v>16397989.963791208</v>
      </c>
      <c r="J220" s="2">
        <f t="shared" ca="1" si="41"/>
        <v>987688200.68094432</v>
      </c>
      <c r="K220" s="2">
        <f t="shared" ca="1" si="47"/>
        <v>273062543.68884742</v>
      </c>
      <c r="L220" s="5">
        <f t="shared" ca="1" si="36"/>
        <v>3.6170768327947869</v>
      </c>
    </row>
    <row r="221" spans="1:12" x14ac:dyDescent="0.3">
      <c r="A221" s="1">
        <f t="shared" si="42"/>
        <v>18</v>
      </c>
      <c r="B221" s="1">
        <f t="shared" si="43"/>
        <v>6</v>
      </c>
      <c r="C221" s="2">
        <f t="shared" ca="1" si="37"/>
        <v>987688200.68094432</v>
      </c>
      <c r="D221" s="5">
        <f t="shared" ca="1" si="44"/>
        <v>0</v>
      </c>
      <c r="E221" s="2">
        <f t="shared" ca="1" si="45"/>
        <v>21588202.708572682</v>
      </c>
      <c r="F221" s="2">
        <f t="shared" si="46"/>
        <v>7002749.2611308433</v>
      </c>
      <c r="G221" s="2">
        <f t="shared" ca="1" si="38"/>
        <v>4317640.541714537</v>
      </c>
      <c r="H221" s="5">
        <f t="shared" ca="1" si="39"/>
        <v>1.4248433772676705E-2</v>
      </c>
      <c r="I221" s="2">
        <f t="shared" ca="1" si="40"/>
        <v>14134529.530769497</v>
      </c>
      <c r="J221" s="2">
        <f t="shared" ca="1" si="41"/>
        <v>1006140370.7534283</v>
      </c>
      <c r="K221" s="2">
        <f t="shared" ca="1" si="47"/>
        <v>273062543.68884742</v>
      </c>
      <c r="L221" s="5">
        <f t="shared" ca="1" si="36"/>
        <v>3.6846517181057141</v>
      </c>
    </row>
    <row r="222" spans="1:12" x14ac:dyDescent="0.3">
      <c r="A222" s="1">
        <f t="shared" si="42"/>
        <v>18</v>
      </c>
      <c r="B222" s="1">
        <f t="shared" si="43"/>
        <v>7</v>
      </c>
      <c r="C222" s="2">
        <f t="shared" ca="1" si="37"/>
        <v>1006140370.7534283</v>
      </c>
      <c r="D222" s="5">
        <f t="shared" ca="1" si="44"/>
        <v>0</v>
      </c>
      <c r="E222" s="2">
        <f t="shared" ca="1" si="45"/>
        <v>21588202.708572682</v>
      </c>
      <c r="F222" s="2">
        <f t="shared" si="46"/>
        <v>7002749.2611308433</v>
      </c>
      <c r="G222" s="2">
        <f t="shared" ca="1" si="38"/>
        <v>2158820.2708572685</v>
      </c>
      <c r="H222" s="5">
        <f t="shared" ca="1" si="39"/>
        <v>1.6487459126603099E-2</v>
      </c>
      <c r="I222" s="2">
        <f t="shared" ca="1" si="40"/>
        <v>16624291.699399879</v>
      </c>
      <c r="J222" s="2">
        <f t="shared" ca="1" si="41"/>
        <v>1024923482.7236854</v>
      </c>
      <c r="K222" s="2">
        <f t="shared" ca="1" si="47"/>
        <v>273062543.68884742</v>
      </c>
      <c r="L222" s="5">
        <f t="shared" ca="1" si="36"/>
        <v>3.7534385671422497</v>
      </c>
    </row>
    <row r="223" spans="1:12" x14ac:dyDescent="0.3">
      <c r="A223" s="1">
        <f t="shared" si="42"/>
        <v>18</v>
      </c>
      <c r="B223" s="1">
        <f t="shared" si="43"/>
        <v>8</v>
      </c>
      <c r="C223" s="2">
        <f t="shared" ca="1" si="37"/>
        <v>1024923482.7236854</v>
      </c>
      <c r="D223" s="5">
        <f t="shared" ca="1" si="44"/>
        <v>0</v>
      </c>
      <c r="E223" s="2">
        <f t="shared" ca="1" si="45"/>
        <v>21588202.708572682</v>
      </c>
      <c r="F223" s="2">
        <f t="shared" si="46"/>
        <v>7002749.2611308433</v>
      </c>
      <c r="G223" s="2">
        <f t="shared" ca="1" si="38"/>
        <v>2158820.2708572685</v>
      </c>
      <c r="H223" s="5">
        <f t="shared" ca="1" si="39"/>
        <v>1.5800300842185866E-2</v>
      </c>
      <c r="I223" s="2">
        <f t="shared" ca="1" si="40"/>
        <v>16228209.37699887</v>
      </c>
      <c r="J223" s="2">
        <f t="shared" ca="1" si="41"/>
        <v>1043310512.3715415</v>
      </c>
      <c r="K223" s="2">
        <f t="shared" ca="1" si="47"/>
        <v>273062543.68884742</v>
      </c>
      <c r="L223" s="5">
        <f t="shared" ca="1" si="36"/>
        <v>3.820774897491563</v>
      </c>
    </row>
    <row r="224" spans="1:12" x14ac:dyDescent="0.3">
      <c r="A224" s="1">
        <f t="shared" si="42"/>
        <v>18</v>
      </c>
      <c r="B224" s="1">
        <f t="shared" si="43"/>
        <v>9</v>
      </c>
      <c r="C224" s="2">
        <f t="shared" ca="1" si="37"/>
        <v>1043310512.3715415</v>
      </c>
      <c r="D224" s="5">
        <f t="shared" ca="1" si="44"/>
        <v>0</v>
      </c>
      <c r="E224" s="2">
        <f t="shared" ca="1" si="45"/>
        <v>21588202.708572682</v>
      </c>
      <c r="F224" s="2">
        <f t="shared" si="46"/>
        <v>7002749.2611308433</v>
      </c>
      <c r="G224" s="2">
        <f t="shared" ca="1" si="38"/>
        <v>2158820.2708572685</v>
      </c>
      <c r="H224" s="5">
        <f t="shared" ca="1" si="39"/>
        <v>1.9211162815071514E-2</v>
      </c>
      <c r="I224" s="2">
        <f t="shared" ca="1" si="40"/>
        <v>20084681.567557283</v>
      </c>
      <c r="J224" s="2">
        <f t="shared" ca="1" si="41"/>
        <v>1065554014.209956</v>
      </c>
      <c r="K224" s="2">
        <f t="shared" ca="1" si="47"/>
        <v>273062543.68884742</v>
      </c>
      <c r="L224" s="5">
        <f t="shared" ca="1" si="36"/>
        <v>3.9022342640451861</v>
      </c>
    </row>
    <row r="225" spans="1:12" x14ac:dyDescent="0.3">
      <c r="A225" s="1">
        <f t="shared" si="42"/>
        <v>18</v>
      </c>
      <c r="B225" s="1">
        <f t="shared" si="43"/>
        <v>10</v>
      </c>
      <c r="C225" s="2">
        <f t="shared" ca="1" si="37"/>
        <v>1065554014.209956</v>
      </c>
      <c r="D225" s="5">
        <f t="shared" ca="1" si="44"/>
        <v>0</v>
      </c>
      <c r="E225" s="2">
        <f t="shared" ca="1" si="45"/>
        <v>21588202.708572682</v>
      </c>
      <c r="F225" s="2">
        <f t="shared" si="46"/>
        <v>7002749.2611308433</v>
      </c>
      <c r="G225" s="2">
        <f t="shared" ca="1" si="38"/>
        <v>2158820.2708572685</v>
      </c>
      <c r="H225" s="5">
        <f t="shared" ca="1" si="39"/>
        <v>1.5582722050851538E-2</v>
      </c>
      <c r="I225" s="2">
        <f t="shared" ca="1" si="40"/>
        <v>16637872.329841368</v>
      </c>
      <c r="J225" s="2">
        <f t="shared" ca="1" si="41"/>
        <v>1084350706.8106546</v>
      </c>
      <c r="K225" s="2">
        <f t="shared" ca="1" si="47"/>
        <v>273062543.68884742</v>
      </c>
      <c r="L225" s="5">
        <f t="shared" ca="1" si="36"/>
        <v>3.9710708475867111</v>
      </c>
    </row>
    <row r="226" spans="1:12" x14ac:dyDescent="0.3">
      <c r="A226" s="1">
        <f t="shared" si="42"/>
        <v>18</v>
      </c>
      <c r="B226" s="1">
        <f t="shared" si="43"/>
        <v>11</v>
      </c>
      <c r="C226" s="2">
        <f t="shared" ca="1" si="37"/>
        <v>1084350706.8106546</v>
      </c>
      <c r="D226" s="5">
        <f t="shared" ca="1" si="44"/>
        <v>0</v>
      </c>
      <c r="E226" s="2">
        <f t="shared" ca="1" si="45"/>
        <v>21588202.708572682</v>
      </c>
      <c r="F226" s="2">
        <f t="shared" si="46"/>
        <v>7002749.2611308433</v>
      </c>
      <c r="G226" s="2">
        <f t="shared" ca="1" si="38"/>
        <v>2158820.2708572685</v>
      </c>
      <c r="H226" s="5">
        <f t="shared" ca="1" si="39"/>
        <v>1.6003438389310176E-2</v>
      </c>
      <c r="I226" s="2">
        <f t="shared" ca="1" si="40"/>
        <v>17387888.276047513</v>
      </c>
      <c r="J226" s="2">
        <f t="shared" ca="1" si="41"/>
        <v>1103897415.3575594</v>
      </c>
      <c r="K226" s="2">
        <f t="shared" ca="1" si="47"/>
        <v>273062543.68884742</v>
      </c>
      <c r="L226" s="5">
        <f t="shared" ca="1" si="36"/>
        <v>4.042654113027826</v>
      </c>
    </row>
    <row r="227" spans="1:12" x14ac:dyDescent="0.3">
      <c r="A227" s="1">
        <f t="shared" si="42"/>
        <v>18</v>
      </c>
      <c r="B227" s="1">
        <f t="shared" si="43"/>
        <v>12</v>
      </c>
      <c r="C227" s="2">
        <f t="shared" ca="1" si="37"/>
        <v>1103897415.3575594</v>
      </c>
      <c r="D227" s="5">
        <f t="shared" ca="1" si="44"/>
        <v>0</v>
      </c>
      <c r="E227" s="2">
        <f t="shared" ca="1" si="45"/>
        <v>21588202.708572682</v>
      </c>
      <c r="F227" s="2">
        <f t="shared" si="46"/>
        <v>7002749.2611308433</v>
      </c>
      <c r="G227" s="2">
        <f t="shared" ca="1" si="38"/>
        <v>4317640.541714537</v>
      </c>
      <c r="H227" s="5">
        <f t="shared" ca="1" si="39"/>
        <v>1.6335857988486024E-2</v>
      </c>
      <c r="I227" s="2">
        <f t="shared" ca="1" si="40"/>
        <v>18103643.77387264</v>
      </c>
      <c r="J227" s="2">
        <f t="shared" ca="1" si="41"/>
        <v>1126318699.6731465</v>
      </c>
      <c r="K227" s="2">
        <f t="shared" ca="1" si="47"/>
        <v>273062543.68884742</v>
      </c>
      <c r="L227" s="5">
        <f t="shared" ca="1" si="36"/>
        <v>4.1247645482881667</v>
      </c>
    </row>
    <row r="228" spans="1:12" x14ac:dyDescent="0.3">
      <c r="A228" s="1">
        <f t="shared" si="42"/>
        <v>19</v>
      </c>
      <c r="B228" s="1">
        <f t="shared" si="43"/>
        <v>1</v>
      </c>
      <c r="C228" s="2">
        <f t="shared" ca="1" si="37"/>
        <v>1126318699.6731465</v>
      </c>
      <c r="D228" s="5">
        <f t="shared" ca="1" si="44"/>
        <v>0.11450093525590821</v>
      </c>
      <c r="E228" s="2">
        <f t="shared" ca="1" si="45"/>
        <v>24060072.109198388</v>
      </c>
      <c r="F228" s="2">
        <f t="shared" si="46"/>
        <v>7538459.5796073526</v>
      </c>
      <c r="G228" s="2">
        <f t="shared" ca="1" si="38"/>
        <v>2406007.2109198389</v>
      </c>
      <c r="H228" s="5">
        <f t="shared" ca="1" si="39"/>
        <v>1.8200982118041553E-2</v>
      </c>
      <c r="I228" s="2">
        <f t="shared" ca="1" si="40"/>
        <v>20543898.206188586</v>
      </c>
      <c r="J228" s="2">
        <f t="shared" ca="1" si="41"/>
        <v>1149268605.090255</v>
      </c>
      <c r="K228" s="2">
        <f t="shared" ca="1" si="47"/>
        <v>283372896.05447388</v>
      </c>
      <c r="L228" s="5">
        <f t="shared" ca="1" si="36"/>
        <v>4.0556758288884716</v>
      </c>
    </row>
    <row r="229" spans="1:12" x14ac:dyDescent="0.3">
      <c r="A229" s="1">
        <f t="shared" si="42"/>
        <v>19</v>
      </c>
      <c r="B229" s="1">
        <f t="shared" si="43"/>
        <v>2</v>
      </c>
      <c r="C229" s="2">
        <f t="shared" ca="1" si="37"/>
        <v>1149268605.090255</v>
      </c>
      <c r="D229" s="5">
        <f t="shared" ca="1" si="44"/>
        <v>0</v>
      </c>
      <c r="E229" s="2">
        <f t="shared" ca="1" si="45"/>
        <v>24060072.109198388</v>
      </c>
      <c r="F229" s="2">
        <f t="shared" si="46"/>
        <v>7538459.5796073526</v>
      </c>
      <c r="G229" s="2">
        <f t="shared" ca="1" si="38"/>
        <v>2406007.2109198389</v>
      </c>
      <c r="H229" s="5">
        <f t="shared" ca="1" si="39"/>
        <v>1.4586309021372479E-2</v>
      </c>
      <c r="I229" s="2">
        <f t="shared" ca="1" si="40"/>
        <v>16798681.78709428</v>
      </c>
      <c r="J229" s="2">
        <f t="shared" ca="1" si="41"/>
        <v>1168473294.0882692</v>
      </c>
      <c r="K229" s="2">
        <f t="shared" ca="1" si="47"/>
        <v>283372896.05447388</v>
      </c>
      <c r="L229" s="5">
        <f t="shared" ca="1" si="36"/>
        <v>4.123447620987891</v>
      </c>
    </row>
    <row r="230" spans="1:12" x14ac:dyDescent="0.3">
      <c r="A230" s="1">
        <f t="shared" si="42"/>
        <v>19</v>
      </c>
      <c r="B230" s="1">
        <f t="shared" si="43"/>
        <v>3</v>
      </c>
      <c r="C230" s="2">
        <f t="shared" ca="1" si="37"/>
        <v>1168473294.0882692</v>
      </c>
      <c r="D230" s="5">
        <f t="shared" ca="1" si="44"/>
        <v>0</v>
      </c>
      <c r="E230" s="2">
        <f t="shared" ca="1" si="45"/>
        <v>24060072.109198388</v>
      </c>
      <c r="F230" s="2">
        <f t="shared" si="46"/>
        <v>7538459.5796073526</v>
      </c>
      <c r="G230" s="2">
        <f t="shared" ca="1" si="38"/>
        <v>2406007.2109198389</v>
      </c>
      <c r="H230" s="5">
        <f t="shared" ca="1" si="39"/>
        <v>1.644773060239002E-2</v>
      </c>
      <c r="I230" s="2">
        <f t="shared" ca="1" si="40"/>
        <v>19258307.315683719</v>
      </c>
      <c r="J230" s="2">
        <f t="shared" ca="1" si="41"/>
        <v>1190137608.6148727</v>
      </c>
      <c r="K230" s="2">
        <f t="shared" ca="1" si="47"/>
        <v>283372896.05447388</v>
      </c>
      <c r="L230" s="5">
        <f t="shared" ca="1" si="36"/>
        <v>4.1998992323743192</v>
      </c>
    </row>
    <row r="231" spans="1:12" x14ac:dyDescent="0.3">
      <c r="A231" s="1">
        <f t="shared" si="42"/>
        <v>19</v>
      </c>
      <c r="B231" s="1">
        <f t="shared" si="43"/>
        <v>4</v>
      </c>
      <c r="C231" s="2">
        <f t="shared" ca="1" si="37"/>
        <v>1190137608.6148727</v>
      </c>
      <c r="D231" s="5">
        <f t="shared" ca="1" si="44"/>
        <v>0</v>
      </c>
      <c r="E231" s="2">
        <f t="shared" ca="1" si="45"/>
        <v>24060072.109198388</v>
      </c>
      <c r="F231" s="2">
        <f t="shared" si="46"/>
        <v>7538459.5796073526</v>
      </c>
      <c r="G231" s="2">
        <f t="shared" ca="1" si="38"/>
        <v>2406007.2109198389</v>
      </c>
      <c r="H231" s="5">
        <f t="shared" ca="1" si="39"/>
        <v>1.4274589089679379E-2</v>
      </c>
      <c r="I231" s="2">
        <f t="shared" ca="1" si="40"/>
        <v>17023070.087433655</v>
      </c>
      <c r="J231" s="2">
        <f t="shared" ca="1" si="41"/>
        <v>1209566685.9132261</v>
      </c>
      <c r="K231" s="2">
        <f t="shared" ca="1" si="47"/>
        <v>283372896.05447388</v>
      </c>
      <c r="L231" s="5">
        <f t="shared" ca="1" si="36"/>
        <v>4.2684628726125817</v>
      </c>
    </row>
    <row r="232" spans="1:12" x14ac:dyDescent="0.3">
      <c r="A232" s="1">
        <f t="shared" si="42"/>
        <v>19</v>
      </c>
      <c r="B232" s="1">
        <f t="shared" si="43"/>
        <v>5</v>
      </c>
      <c r="C232" s="2">
        <f t="shared" ca="1" si="37"/>
        <v>1209566685.9132261</v>
      </c>
      <c r="D232" s="5">
        <f t="shared" ca="1" si="44"/>
        <v>0</v>
      </c>
      <c r="E232" s="2">
        <f t="shared" ca="1" si="45"/>
        <v>24060072.109198388</v>
      </c>
      <c r="F232" s="2">
        <f t="shared" si="46"/>
        <v>7538459.5796073526</v>
      </c>
      <c r="G232" s="2">
        <f t="shared" ca="1" si="38"/>
        <v>2406007.2109198389</v>
      </c>
      <c r="H232" s="5">
        <f t="shared" ca="1" si="39"/>
        <v>1.5833320026904296E-2</v>
      </c>
      <c r="I232" s="2">
        <f t="shared" ca="1" si="40"/>
        <v>19189551.514103677</v>
      </c>
      <c r="J232" s="2">
        <f t="shared" ca="1" si="41"/>
        <v>1231162244.6382496</v>
      </c>
      <c r="K232" s="2">
        <f t="shared" ca="1" si="47"/>
        <v>283372896.05447388</v>
      </c>
      <c r="L232" s="5">
        <f t="shared" ca="1" si="36"/>
        <v>4.3446718503437198</v>
      </c>
    </row>
    <row r="233" spans="1:12" x14ac:dyDescent="0.3">
      <c r="A233" s="1">
        <f t="shared" si="42"/>
        <v>19</v>
      </c>
      <c r="B233" s="1">
        <f t="shared" si="43"/>
        <v>6</v>
      </c>
      <c r="C233" s="2">
        <f t="shared" ca="1" si="37"/>
        <v>1231162244.6382496</v>
      </c>
      <c r="D233" s="5">
        <f t="shared" ca="1" si="44"/>
        <v>0</v>
      </c>
      <c r="E233" s="2">
        <f t="shared" ca="1" si="45"/>
        <v>24060072.109198388</v>
      </c>
      <c r="F233" s="2">
        <f t="shared" si="46"/>
        <v>7538459.5796073526</v>
      </c>
      <c r="G233" s="2">
        <f t="shared" ca="1" si="38"/>
        <v>4812014.4218396777</v>
      </c>
      <c r="H233" s="5">
        <f t="shared" ca="1" si="39"/>
        <v>1.2432465593783748E-2</v>
      </c>
      <c r="I233" s="2">
        <f t="shared" ca="1" si="40"/>
        <v>15366207.450566921</v>
      </c>
      <c r="J233" s="2">
        <f t="shared" ca="1" si="41"/>
        <v>1251340466.5106564</v>
      </c>
      <c r="K233" s="2">
        <f t="shared" ca="1" si="47"/>
        <v>283372896.05447388</v>
      </c>
      <c r="L233" s="5">
        <f t="shared" ca="1" si="36"/>
        <v>4.4158791611111115</v>
      </c>
    </row>
    <row r="234" spans="1:12" x14ac:dyDescent="0.3">
      <c r="A234" s="1">
        <f t="shared" si="42"/>
        <v>19</v>
      </c>
      <c r="B234" s="1">
        <f t="shared" si="43"/>
        <v>7</v>
      </c>
      <c r="C234" s="2">
        <f t="shared" ca="1" si="37"/>
        <v>1251340466.5106564</v>
      </c>
      <c r="D234" s="5">
        <f t="shared" ca="1" si="44"/>
        <v>0</v>
      </c>
      <c r="E234" s="2">
        <f t="shared" ca="1" si="45"/>
        <v>24060072.109198388</v>
      </c>
      <c r="F234" s="2">
        <f t="shared" si="46"/>
        <v>7538459.5796073526</v>
      </c>
      <c r="G234" s="2">
        <f t="shared" ca="1" si="38"/>
        <v>2406007.2109198389</v>
      </c>
      <c r="H234" s="5">
        <f t="shared" ca="1" si="39"/>
        <v>1.5431921318969088E-2</v>
      </c>
      <c r="I234" s="2">
        <f t="shared" ca="1" si="40"/>
        <v>19347716.936406311</v>
      </c>
      <c r="J234" s="2">
        <f t="shared" ca="1" si="41"/>
        <v>1273094190.6579826</v>
      </c>
      <c r="K234" s="2">
        <f t="shared" ca="1" si="47"/>
        <v>283372896.05447388</v>
      </c>
      <c r="L234" s="5">
        <f t="shared" ca="1" si="36"/>
        <v>4.4926462918078469</v>
      </c>
    </row>
    <row r="235" spans="1:12" x14ac:dyDescent="0.3">
      <c r="A235" s="1">
        <f t="shared" si="42"/>
        <v>19</v>
      </c>
      <c r="B235" s="1">
        <f t="shared" si="43"/>
        <v>8</v>
      </c>
      <c r="C235" s="2">
        <f t="shared" ca="1" si="37"/>
        <v>1273094190.6579826</v>
      </c>
      <c r="D235" s="5">
        <f t="shared" ca="1" si="44"/>
        <v>0</v>
      </c>
      <c r="E235" s="2">
        <f t="shared" ca="1" si="45"/>
        <v>24060072.109198388</v>
      </c>
      <c r="F235" s="2">
        <f t="shared" si="46"/>
        <v>7538459.5796073526</v>
      </c>
      <c r="G235" s="2">
        <f t="shared" ca="1" si="38"/>
        <v>2406007.2109198389</v>
      </c>
      <c r="H235" s="5">
        <f t="shared" ca="1" si="39"/>
        <v>1.6943251960172212E-2</v>
      </c>
      <c r="I235" s="2">
        <f t="shared" ca="1" si="40"/>
        <v>21611121.227742326</v>
      </c>
      <c r="J235" s="2">
        <f t="shared" ca="1" si="41"/>
        <v>1297111319.0966449</v>
      </c>
      <c r="K235" s="2">
        <f t="shared" ca="1" si="47"/>
        <v>283372896.05447388</v>
      </c>
      <c r="L235" s="5">
        <f t="shared" ca="1" si="36"/>
        <v>4.5774007929371487</v>
      </c>
    </row>
    <row r="236" spans="1:12" x14ac:dyDescent="0.3">
      <c r="A236" s="1">
        <f t="shared" si="42"/>
        <v>19</v>
      </c>
      <c r="B236" s="1">
        <f t="shared" si="43"/>
        <v>9</v>
      </c>
      <c r="C236" s="2">
        <f t="shared" ca="1" si="37"/>
        <v>1297111319.0966449</v>
      </c>
      <c r="D236" s="5">
        <f t="shared" ca="1" si="44"/>
        <v>0</v>
      </c>
      <c r="E236" s="2">
        <f t="shared" ca="1" si="45"/>
        <v>24060072.109198388</v>
      </c>
      <c r="F236" s="2">
        <f t="shared" si="46"/>
        <v>7538459.5796073526</v>
      </c>
      <c r="G236" s="2">
        <f t="shared" ca="1" si="38"/>
        <v>2406007.2109198389</v>
      </c>
      <c r="H236" s="5">
        <f t="shared" ca="1" si="39"/>
        <v>1.4960285527253037E-2</v>
      </c>
      <c r="I236" s="2">
        <f t="shared" ca="1" si="40"/>
        <v>19441150.249173623</v>
      </c>
      <c r="J236" s="2">
        <f t="shared" ca="1" si="41"/>
        <v>1318958476.5567384</v>
      </c>
      <c r="K236" s="2">
        <f t="shared" ca="1" si="47"/>
        <v>283372896.05447388</v>
      </c>
      <c r="L236" s="5">
        <f t="shared" ca="1" si="36"/>
        <v>4.6544976422275397</v>
      </c>
    </row>
    <row r="237" spans="1:12" x14ac:dyDescent="0.3">
      <c r="A237" s="1">
        <f t="shared" si="42"/>
        <v>19</v>
      </c>
      <c r="B237" s="1">
        <f t="shared" si="43"/>
        <v>10</v>
      </c>
      <c r="C237" s="2">
        <f t="shared" ca="1" si="37"/>
        <v>1318958476.5567384</v>
      </c>
      <c r="D237" s="5">
        <f t="shared" ca="1" si="44"/>
        <v>0</v>
      </c>
      <c r="E237" s="2">
        <f t="shared" ca="1" si="45"/>
        <v>24060072.109198388</v>
      </c>
      <c r="F237" s="2">
        <f t="shared" si="46"/>
        <v>7538459.5796073526</v>
      </c>
      <c r="G237" s="2">
        <f t="shared" ca="1" si="38"/>
        <v>2406007.2109198389</v>
      </c>
      <c r="H237" s="5">
        <f t="shared" ca="1" si="39"/>
        <v>1.5477379198840513E-2</v>
      </c>
      <c r="I237" s="2">
        <f t="shared" ca="1" si="40"/>
        <v>20451259.175152186</v>
      </c>
      <c r="J237" s="2">
        <f t="shared" ca="1" si="41"/>
        <v>1341815742.9428105</v>
      </c>
      <c r="K237" s="2">
        <f t="shared" ca="1" si="47"/>
        <v>283372896.05447388</v>
      </c>
      <c r="L237" s="5">
        <f t="shared" ca="1" si="36"/>
        <v>4.7351590841096813</v>
      </c>
    </row>
    <row r="238" spans="1:12" x14ac:dyDescent="0.3">
      <c r="A238" s="1">
        <f t="shared" si="42"/>
        <v>19</v>
      </c>
      <c r="B238" s="1">
        <f t="shared" si="43"/>
        <v>11</v>
      </c>
      <c r="C238" s="2">
        <f t="shared" ca="1" si="37"/>
        <v>1341815742.9428105</v>
      </c>
      <c r="D238" s="5">
        <f t="shared" ca="1" si="44"/>
        <v>0</v>
      </c>
      <c r="E238" s="2">
        <f t="shared" ca="1" si="45"/>
        <v>24060072.109198388</v>
      </c>
      <c r="F238" s="2">
        <f t="shared" si="46"/>
        <v>7538459.5796073526</v>
      </c>
      <c r="G238" s="2">
        <f t="shared" ca="1" si="38"/>
        <v>2406007.2109198389</v>
      </c>
      <c r="H238" s="5">
        <f t="shared" ca="1" si="39"/>
        <v>1.2539700531813081E-2</v>
      </c>
      <c r="I238" s="2">
        <f t="shared" ca="1" si="40"/>
        <v>16856138.195277441</v>
      </c>
      <c r="J238" s="2">
        <f t="shared" ca="1" si="41"/>
        <v>1361077888.3490078</v>
      </c>
      <c r="K238" s="2">
        <f t="shared" ca="1" si="47"/>
        <v>283372896.05447388</v>
      </c>
      <c r="L238" s="5">
        <f t="shared" ca="1" si="36"/>
        <v>4.8031336352202239</v>
      </c>
    </row>
    <row r="239" spans="1:12" x14ac:dyDescent="0.3">
      <c r="A239" s="1">
        <f t="shared" si="42"/>
        <v>19</v>
      </c>
      <c r="B239" s="1">
        <f t="shared" si="43"/>
        <v>12</v>
      </c>
      <c r="C239" s="2">
        <f t="shared" ca="1" si="37"/>
        <v>1361077888.3490078</v>
      </c>
      <c r="D239" s="5">
        <f t="shared" ca="1" si="44"/>
        <v>0</v>
      </c>
      <c r="E239" s="2">
        <f t="shared" ca="1" si="45"/>
        <v>24060072.109198388</v>
      </c>
      <c r="F239" s="2">
        <f t="shared" si="46"/>
        <v>7538459.5796073526</v>
      </c>
      <c r="G239" s="2">
        <f t="shared" ca="1" si="38"/>
        <v>4812014.4218396777</v>
      </c>
      <c r="H239" s="5">
        <f t="shared" ca="1" si="39"/>
        <v>1.8280236997169741E-2</v>
      </c>
      <c r="I239" s="2">
        <f t="shared" ca="1" si="40"/>
        <v>24968791.134692229</v>
      </c>
      <c r="J239" s="2">
        <f t="shared" ca="1" si="41"/>
        <v>1390858693.9055398</v>
      </c>
      <c r="K239" s="2">
        <f t="shared" ca="1" si="47"/>
        <v>283372896.05447388</v>
      </c>
      <c r="L239" s="5">
        <f t="shared" ca="1" si="36"/>
        <v>4.9082276861022356</v>
      </c>
    </row>
    <row r="240" spans="1:12" x14ac:dyDescent="0.3">
      <c r="A240" s="1">
        <f t="shared" si="42"/>
        <v>20</v>
      </c>
      <c r="B240" s="1">
        <f t="shared" si="43"/>
        <v>1</v>
      </c>
      <c r="C240" s="2">
        <f t="shared" ca="1" si="37"/>
        <v>1390858693.9055398</v>
      </c>
      <c r="D240" s="5">
        <f t="shared" ca="1" si="44"/>
        <v>6.9584224509859335E-2</v>
      </c>
      <c r="E240" s="2">
        <f t="shared" ca="1" si="45"/>
        <v>25734273.568568252</v>
      </c>
      <c r="F240" s="2">
        <f t="shared" si="46"/>
        <v>8115151.7374473149</v>
      </c>
      <c r="G240" s="2">
        <f t="shared" ca="1" si="38"/>
        <v>2573427.3568568253</v>
      </c>
      <c r="H240" s="5">
        <f t="shared" ca="1" si="39"/>
        <v>1.4229720812981572E-2</v>
      </c>
      <c r="I240" s="2">
        <f t="shared" ca="1" si="40"/>
        <v>19828150.057404585</v>
      </c>
      <c r="J240" s="2">
        <f t="shared" ca="1" si="41"/>
        <v>1413260271.3198011</v>
      </c>
      <c r="K240" s="2">
        <f t="shared" ca="1" si="47"/>
        <v>291552514.16715628</v>
      </c>
      <c r="L240" s="5">
        <f t="shared" ca="1" si="36"/>
        <v>4.847360947501671</v>
      </c>
    </row>
    <row r="241" spans="1:12" x14ac:dyDescent="0.3">
      <c r="A241" s="1">
        <f t="shared" si="42"/>
        <v>20</v>
      </c>
      <c r="B241" s="1">
        <f t="shared" si="43"/>
        <v>2</v>
      </c>
      <c r="C241" s="2">
        <f t="shared" ca="1" si="37"/>
        <v>1413260271.3198011</v>
      </c>
      <c r="D241" s="5">
        <f t="shared" ca="1" si="44"/>
        <v>0</v>
      </c>
      <c r="E241" s="2">
        <f t="shared" ca="1" si="45"/>
        <v>25734273.568568252</v>
      </c>
      <c r="F241" s="2">
        <f t="shared" si="46"/>
        <v>8115151.7374473149</v>
      </c>
      <c r="G241" s="2">
        <f t="shared" ca="1" si="38"/>
        <v>2573427.3568568253</v>
      </c>
      <c r="H241" s="5">
        <f t="shared" ca="1" si="39"/>
        <v>1.2746424603060413E-2</v>
      </c>
      <c r="I241" s="2">
        <f t="shared" ca="1" si="40"/>
        <v>18046817.490654178</v>
      </c>
      <c r="J241" s="2">
        <f t="shared" ca="1" si="41"/>
        <v>1433880516.1673121</v>
      </c>
      <c r="K241" s="2">
        <f t="shared" ca="1" si="47"/>
        <v>291552514.16715628</v>
      </c>
      <c r="L241" s="5">
        <f t="shared" ca="1" si="36"/>
        <v>4.9180866104458394</v>
      </c>
    </row>
    <row r="242" spans="1:12" x14ac:dyDescent="0.3">
      <c r="A242" s="1">
        <f t="shared" si="42"/>
        <v>20</v>
      </c>
      <c r="B242" s="1">
        <f t="shared" si="43"/>
        <v>3</v>
      </c>
      <c r="C242" s="2">
        <f t="shared" ca="1" si="37"/>
        <v>1433880516.1673121</v>
      </c>
      <c r="D242" s="5">
        <f t="shared" ca="1" si="44"/>
        <v>0</v>
      </c>
      <c r="E242" s="2">
        <f t="shared" ca="1" si="45"/>
        <v>25734273.568568252</v>
      </c>
      <c r="F242" s="2">
        <f t="shared" si="46"/>
        <v>8115151.7374473149</v>
      </c>
      <c r="G242" s="2">
        <f t="shared" ca="1" si="38"/>
        <v>2573427.3568568253</v>
      </c>
      <c r="H242" s="5">
        <f t="shared" ca="1" si="39"/>
        <v>1.5684155025465385E-2</v>
      </c>
      <c r="I242" s="2">
        <f t="shared" ca="1" si="40"/>
        <v>22529566.337174166</v>
      </c>
      <c r="J242" s="2">
        <f t="shared" ca="1" si="41"/>
        <v>1458983509.8613431</v>
      </c>
      <c r="K242" s="2">
        <f t="shared" ca="1" si="47"/>
        <v>291552514.16715628</v>
      </c>
      <c r="L242" s="5">
        <f t="shared" ca="1" si="36"/>
        <v>5.0041877156472117</v>
      </c>
    </row>
    <row r="243" spans="1:12" x14ac:dyDescent="0.3">
      <c r="A243" s="1">
        <f t="shared" si="42"/>
        <v>20</v>
      </c>
      <c r="B243" s="1">
        <f t="shared" si="43"/>
        <v>4</v>
      </c>
      <c r="C243" s="2">
        <f t="shared" ca="1" si="37"/>
        <v>1458983509.8613431</v>
      </c>
      <c r="D243" s="5">
        <f t="shared" ca="1" si="44"/>
        <v>0</v>
      </c>
      <c r="E243" s="2">
        <f t="shared" ca="1" si="45"/>
        <v>25734273.568568252</v>
      </c>
      <c r="F243" s="2">
        <f t="shared" si="46"/>
        <v>8115151.7374473149</v>
      </c>
      <c r="G243" s="2">
        <f t="shared" ca="1" si="38"/>
        <v>2573427.3568568253</v>
      </c>
      <c r="H243" s="5">
        <f t="shared" ca="1" si="39"/>
        <v>1.4537923289742682E-2</v>
      </c>
      <c r="I243" s="2">
        <f t="shared" ca="1" si="40"/>
        <v>21248002.636869453</v>
      </c>
      <c r="J243" s="2">
        <f t="shared" ca="1" si="41"/>
        <v>1482804939.8550694</v>
      </c>
      <c r="K243" s="2">
        <f t="shared" ca="1" si="47"/>
        <v>291552514.16715628</v>
      </c>
      <c r="L243" s="5">
        <f t="shared" ca="1" si="36"/>
        <v>5.0858931677911388</v>
      </c>
    </row>
    <row r="244" spans="1:12" x14ac:dyDescent="0.3">
      <c r="A244" s="1">
        <f t="shared" si="42"/>
        <v>20</v>
      </c>
      <c r="B244" s="1">
        <f t="shared" si="43"/>
        <v>5</v>
      </c>
      <c r="C244" s="2">
        <f t="shared" ca="1" si="37"/>
        <v>1482804939.8550694</v>
      </c>
      <c r="D244" s="5">
        <f t="shared" ca="1" si="44"/>
        <v>0</v>
      </c>
      <c r="E244" s="2">
        <f t="shared" ca="1" si="45"/>
        <v>25734273.568568252</v>
      </c>
      <c r="F244" s="2">
        <f t="shared" si="46"/>
        <v>8115151.7374473149</v>
      </c>
      <c r="G244" s="2">
        <f t="shared" ca="1" si="38"/>
        <v>2573427.3568568253</v>
      </c>
      <c r="H244" s="5">
        <f t="shared" ca="1" si="39"/>
        <v>1.8128835142656508E-2</v>
      </c>
      <c r="I244" s="2">
        <f t="shared" ca="1" si="40"/>
        <v>26928179.543653309</v>
      </c>
      <c r="J244" s="2">
        <f t="shared" ca="1" si="41"/>
        <v>1512306546.7555795</v>
      </c>
      <c r="K244" s="2">
        <f t="shared" ca="1" si="47"/>
        <v>291552514.16715628</v>
      </c>
      <c r="L244" s="5">
        <f t="shared" ca="1" si="36"/>
        <v>5.1870811372544923</v>
      </c>
    </row>
    <row r="245" spans="1:12" x14ac:dyDescent="0.3">
      <c r="A245" s="1">
        <f t="shared" si="42"/>
        <v>20</v>
      </c>
      <c r="B245" s="1">
        <f t="shared" si="43"/>
        <v>6</v>
      </c>
      <c r="C245" s="2">
        <f t="shared" ca="1" si="37"/>
        <v>1512306546.7555795</v>
      </c>
      <c r="D245" s="5">
        <f t="shared" ca="1" si="44"/>
        <v>0</v>
      </c>
      <c r="E245" s="2">
        <f t="shared" ca="1" si="45"/>
        <v>25734273.568568252</v>
      </c>
      <c r="F245" s="2">
        <f t="shared" si="46"/>
        <v>8115151.7374473149</v>
      </c>
      <c r="G245" s="2">
        <f t="shared" ca="1" si="38"/>
        <v>5146854.7137136506</v>
      </c>
      <c r="H245" s="5">
        <f t="shared" ca="1" si="39"/>
        <v>1.4247338073136495E-2</v>
      </c>
      <c r="I245" s="2">
        <f t="shared" ca="1" si="40"/>
        <v>21619671.620963939</v>
      </c>
      <c r="J245" s="2">
        <f t="shared" ca="1" si="41"/>
        <v>1539073073.0902572</v>
      </c>
      <c r="K245" s="2">
        <f t="shared" ca="1" si="47"/>
        <v>291552514.16715628</v>
      </c>
      <c r="L245" s="5">
        <f t="shared" ca="1" si="36"/>
        <v>5.278888016063747</v>
      </c>
    </row>
    <row r="246" spans="1:12" x14ac:dyDescent="0.3">
      <c r="A246" s="1">
        <f t="shared" si="42"/>
        <v>20</v>
      </c>
      <c r="B246" s="1">
        <f t="shared" si="43"/>
        <v>7</v>
      </c>
      <c r="C246" s="2">
        <f t="shared" ca="1" si="37"/>
        <v>1539073073.0902572</v>
      </c>
      <c r="D246" s="5">
        <f t="shared" ca="1" si="44"/>
        <v>0</v>
      </c>
      <c r="E246" s="2">
        <f t="shared" ca="1" si="45"/>
        <v>25734273.568568252</v>
      </c>
      <c r="F246" s="2">
        <f t="shared" si="46"/>
        <v>8115151.7374473149</v>
      </c>
      <c r="G246" s="2">
        <f t="shared" ca="1" si="38"/>
        <v>2573427.3568568253</v>
      </c>
      <c r="H246" s="5">
        <f t="shared" ca="1" si="39"/>
        <v>1.6275736424904652E-2</v>
      </c>
      <c r="I246" s="2">
        <f t="shared" ca="1" si="40"/>
        <v>25091432.101653878</v>
      </c>
      <c r="J246" s="2">
        <f t="shared" ca="1" si="41"/>
        <v>1566737932.5487678</v>
      </c>
      <c r="K246" s="2">
        <f t="shared" ca="1" si="47"/>
        <v>291552514.16715628</v>
      </c>
      <c r="L246" s="5">
        <f t="shared" ca="1" si="36"/>
        <v>5.3737761000768023</v>
      </c>
    </row>
    <row r="247" spans="1:12" x14ac:dyDescent="0.3">
      <c r="A247" s="1">
        <f t="shared" si="42"/>
        <v>20</v>
      </c>
      <c r="B247" s="1">
        <f t="shared" si="43"/>
        <v>8</v>
      </c>
      <c r="C247" s="2">
        <f t="shared" ca="1" si="37"/>
        <v>1566737932.5487678</v>
      </c>
      <c r="D247" s="5">
        <f t="shared" ca="1" si="44"/>
        <v>0</v>
      </c>
      <c r="E247" s="2">
        <f t="shared" ca="1" si="45"/>
        <v>25734273.568568252</v>
      </c>
      <c r="F247" s="2">
        <f t="shared" si="46"/>
        <v>8115151.7374473149</v>
      </c>
      <c r="G247" s="2">
        <f t="shared" ca="1" si="38"/>
        <v>2573427.3568568253</v>
      </c>
      <c r="H247" s="5">
        <f t="shared" ca="1" si="39"/>
        <v>1.4214104229001379E-2</v>
      </c>
      <c r="I247" s="2">
        <f t="shared" ca="1" si="40"/>
        <v>22306355.237454444</v>
      </c>
      <c r="J247" s="2">
        <f t="shared" ca="1" si="41"/>
        <v>1591617715.143079</v>
      </c>
      <c r="K247" s="2">
        <f t="shared" ca="1" si="47"/>
        <v>291552514.16715628</v>
      </c>
      <c r="L247" s="5">
        <f t="shared" ca="1" si="36"/>
        <v>5.4591116104406296</v>
      </c>
    </row>
    <row r="248" spans="1:12" x14ac:dyDescent="0.3">
      <c r="A248" s="1">
        <f t="shared" si="42"/>
        <v>20</v>
      </c>
      <c r="B248" s="1">
        <f t="shared" si="43"/>
        <v>9</v>
      </c>
      <c r="C248" s="2">
        <f t="shared" ca="1" si="37"/>
        <v>1591617715.143079</v>
      </c>
      <c r="D248" s="5">
        <f t="shared" ca="1" si="44"/>
        <v>0</v>
      </c>
      <c r="E248" s="2">
        <f t="shared" ca="1" si="45"/>
        <v>25734273.568568252</v>
      </c>
      <c r="F248" s="2">
        <f t="shared" si="46"/>
        <v>8115151.7374473149</v>
      </c>
      <c r="G248" s="2">
        <f t="shared" ca="1" si="38"/>
        <v>2573427.3568568253</v>
      </c>
      <c r="H248" s="5">
        <f t="shared" ca="1" si="39"/>
        <v>1.6677112813393347E-2</v>
      </c>
      <c r="I248" s="2">
        <f t="shared" ca="1" si="40"/>
        <v>26586505.52958386</v>
      </c>
      <c r="J248" s="2">
        <f t="shared" ca="1" si="41"/>
        <v>1620777648.0295198</v>
      </c>
      <c r="K248" s="2">
        <f t="shared" ca="1" si="47"/>
        <v>291552514.16715628</v>
      </c>
      <c r="L248" s="5">
        <f t="shared" ca="1" si="36"/>
        <v>5.5591276674783767</v>
      </c>
    </row>
    <row r="249" spans="1:12" x14ac:dyDescent="0.3">
      <c r="A249" s="1">
        <f t="shared" si="42"/>
        <v>20</v>
      </c>
      <c r="B249" s="1">
        <f t="shared" si="43"/>
        <v>10</v>
      </c>
      <c r="C249" s="2">
        <f t="shared" ca="1" si="37"/>
        <v>1620777648.0295198</v>
      </c>
      <c r="D249" s="5">
        <f t="shared" ca="1" si="44"/>
        <v>0</v>
      </c>
      <c r="E249" s="2">
        <f t="shared" ca="1" si="45"/>
        <v>25734273.568568252</v>
      </c>
      <c r="F249" s="2">
        <f t="shared" si="46"/>
        <v>8115151.7374473149</v>
      </c>
      <c r="G249" s="2">
        <f t="shared" ca="1" si="38"/>
        <v>2573427.3568568253</v>
      </c>
      <c r="H249" s="5">
        <f t="shared" ca="1" si="39"/>
        <v>1.6454227803389454E-2</v>
      </c>
      <c r="I249" s="2">
        <f t="shared" ca="1" si="40"/>
        <v>26710988.399284687</v>
      </c>
      <c r="J249" s="2">
        <f t="shared" ca="1" si="41"/>
        <v>1650062063.7856612</v>
      </c>
      <c r="K249" s="2">
        <f t="shared" ca="1" si="47"/>
        <v>291552514.16715628</v>
      </c>
      <c r="L249" s="5">
        <f t="shared" ca="1" si="36"/>
        <v>5.6595706900322886</v>
      </c>
    </row>
    <row r="250" spans="1:12" x14ac:dyDescent="0.3">
      <c r="A250" s="1">
        <f t="shared" si="42"/>
        <v>20</v>
      </c>
      <c r="B250" s="1">
        <f t="shared" si="43"/>
        <v>11</v>
      </c>
      <c r="C250" s="2">
        <f t="shared" ca="1" si="37"/>
        <v>1650062063.7856612</v>
      </c>
      <c r="D250" s="5">
        <f t="shared" ca="1" si="44"/>
        <v>0</v>
      </c>
      <c r="E250" s="2">
        <f t="shared" ca="1" si="45"/>
        <v>25734273.568568252</v>
      </c>
      <c r="F250" s="2">
        <f t="shared" si="46"/>
        <v>8115151.7374473149</v>
      </c>
      <c r="G250" s="2">
        <f t="shared" ca="1" si="38"/>
        <v>2573427.3568568253</v>
      </c>
      <c r="H250" s="5">
        <f t="shared" ca="1" si="39"/>
        <v>1.4185554478209239E-2</v>
      </c>
      <c r="I250" s="2">
        <f t="shared" ca="1" si="40"/>
        <v>23443550.792224273</v>
      </c>
      <c r="J250" s="2">
        <f t="shared" ca="1" si="41"/>
        <v>1676079041.9347422</v>
      </c>
      <c r="K250" s="2">
        <f t="shared" ca="1" si="47"/>
        <v>291552514.16715628</v>
      </c>
      <c r="L250" s="5">
        <f t="shared" ca="1" si="36"/>
        <v>5.7488066831548332</v>
      </c>
    </row>
    <row r="251" spans="1:12" x14ac:dyDescent="0.3">
      <c r="A251" s="1">
        <f t="shared" si="42"/>
        <v>20</v>
      </c>
      <c r="B251" s="1">
        <f t="shared" si="43"/>
        <v>12</v>
      </c>
      <c r="C251" s="2">
        <f t="shared" ca="1" si="37"/>
        <v>1676079041.9347422</v>
      </c>
      <c r="D251" s="5">
        <f t="shared" ca="1" si="44"/>
        <v>0</v>
      </c>
      <c r="E251" s="2">
        <f t="shared" ca="1" si="45"/>
        <v>25734273.568568252</v>
      </c>
      <c r="F251" s="2">
        <f t="shared" si="46"/>
        <v>8115151.7374473149</v>
      </c>
      <c r="G251" s="2">
        <f t="shared" ca="1" si="38"/>
        <v>5146854.7137136506</v>
      </c>
      <c r="H251" s="5">
        <f t="shared" ca="1" si="39"/>
        <v>1.5705054566838683E-2</v>
      </c>
      <c r="I251" s="2">
        <f t="shared" ca="1" si="40"/>
        <v>26403744.446046293</v>
      </c>
      <c r="J251" s="2">
        <f t="shared" ca="1" si="41"/>
        <v>1707629641.0945022</v>
      </c>
      <c r="K251" s="2">
        <f t="shared" ca="1" si="47"/>
        <v>291552514.16715628</v>
      </c>
      <c r="L251" s="5">
        <f t="shared" ca="1" si="36"/>
        <v>5.8570225195021441</v>
      </c>
    </row>
    <row r="252" spans="1:12" x14ac:dyDescent="0.3">
      <c r="A252" s="1">
        <f t="shared" si="42"/>
        <v>21</v>
      </c>
      <c r="B252" s="1">
        <f t="shared" si="43"/>
        <v>1</v>
      </c>
      <c r="C252" s="2">
        <f t="shared" ca="1" si="37"/>
        <v>1707629641.0945022</v>
      </c>
      <c r="D252" s="5">
        <f t="shared" ca="1" si="44"/>
        <v>5.9871766887923089E-2</v>
      </c>
      <c r="E252" s="2">
        <f t="shared" ca="1" si="45"/>
        <v>27275029.996695612</v>
      </c>
      <c r="F252" s="2">
        <f t="shared" si="46"/>
        <v>8735960.8453620337</v>
      </c>
      <c r="G252" s="2">
        <f t="shared" ca="1" si="38"/>
        <v>2727502.9996695612</v>
      </c>
      <c r="H252" s="5">
        <f t="shared" ca="1" si="39"/>
        <v>2.0018659942312222E-2</v>
      </c>
      <c r="I252" s="2">
        <f t="shared" ca="1" si="40"/>
        <v>34239058.047525533</v>
      </c>
      <c r="J252" s="2">
        <f t="shared" ca="1" si="41"/>
        <v>1744596202.1416974</v>
      </c>
      <c r="K252" s="2">
        <f t="shared" ca="1" si="47"/>
        <v>301420306.64490247</v>
      </c>
      <c r="L252" s="5">
        <f t="shared" ca="1" si="36"/>
        <v>5.7879186096010882</v>
      </c>
    </row>
    <row r="253" spans="1:12" x14ac:dyDescent="0.3">
      <c r="A253" s="1">
        <f t="shared" si="42"/>
        <v>21</v>
      </c>
      <c r="B253" s="1">
        <f t="shared" si="43"/>
        <v>2</v>
      </c>
      <c r="C253" s="2">
        <f t="shared" ca="1" si="37"/>
        <v>1744596202.1416974</v>
      </c>
      <c r="D253" s="5">
        <f t="shared" ca="1" si="44"/>
        <v>0</v>
      </c>
      <c r="E253" s="2">
        <f t="shared" ca="1" si="45"/>
        <v>27275029.996695612</v>
      </c>
      <c r="F253" s="2">
        <f t="shared" si="46"/>
        <v>8735960.8453620337</v>
      </c>
      <c r="G253" s="2">
        <f t="shared" ca="1" si="38"/>
        <v>2727502.9996695612</v>
      </c>
      <c r="H253" s="5">
        <f t="shared" ca="1" si="39"/>
        <v>1.4785648291657738E-2</v>
      </c>
      <c r="I253" s="2">
        <f t="shared" ca="1" si="40"/>
        <v>25835313.75589652</v>
      </c>
      <c r="J253" s="2">
        <f t="shared" ca="1" si="41"/>
        <v>1773159018.8972635</v>
      </c>
      <c r="K253" s="2">
        <f t="shared" ca="1" si="47"/>
        <v>301420306.64490247</v>
      </c>
      <c r="L253" s="5">
        <f t="shared" ca="1" si="36"/>
        <v>5.8826793676717619</v>
      </c>
    </row>
    <row r="254" spans="1:12" x14ac:dyDescent="0.3">
      <c r="A254" s="1">
        <f t="shared" si="42"/>
        <v>21</v>
      </c>
      <c r="B254" s="1">
        <f t="shared" si="43"/>
        <v>3</v>
      </c>
      <c r="C254" s="2">
        <f t="shared" ca="1" si="37"/>
        <v>1773159018.8972635</v>
      </c>
      <c r="D254" s="5">
        <f t="shared" ca="1" si="44"/>
        <v>0</v>
      </c>
      <c r="E254" s="2">
        <f t="shared" ca="1" si="45"/>
        <v>27275029.996695612</v>
      </c>
      <c r="F254" s="2">
        <f t="shared" si="46"/>
        <v>8735960.8453620337</v>
      </c>
      <c r="G254" s="2">
        <f t="shared" ca="1" si="38"/>
        <v>2727502.9996695612</v>
      </c>
      <c r="H254" s="5">
        <f t="shared" ca="1" si="39"/>
        <v>1.5300238973851021E-2</v>
      </c>
      <c r="I254" s="2">
        <f t="shared" ca="1" si="40"/>
        <v>27171488.175464191</v>
      </c>
      <c r="J254" s="2">
        <f t="shared" ca="1" si="41"/>
        <v>1803058010.0723972</v>
      </c>
      <c r="K254" s="2">
        <f t="shared" ca="1" si="47"/>
        <v>301420306.64490247</v>
      </c>
      <c r="L254" s="5">
        <f t="shared" ca="1" si="36"/>
        <v>5.9818730534188775</v>
      </c>
    </row>
    <row r="255" spans="1:12" x14ac:dyDescent="0.3">
      <c r="A255" s="1">
        <f t="shared" si="42"/>
        <v>21</v>
      </c>
      <c r="B255" s="1">
        <f t="shared" si="43"/>
        <v>4</v>
      </c>
      <c r="C255" s="2">
        <f t="shared" ca="1" si="37"/>
        <v>1803058010.0723972</v>
      </c>
      <c r="D255" s="5">
        <f t="shared" ca="1" si="44"/>
        <v>0</v>
      </c>
      <c r="E255" s="2">
        <f t="shared" ca="1" si="45"/>
        <v>27275029.996695612</v>
      </c>
      <c r="F255" s="2">
        <f t="shared" si="46"/>
        <v>8735960.8453620337</v>
      </c>
      <c r="G255" s="2">
        <f t="shared" ca="1" si="38"/>
        <v>2727502.9996695612</v>
      </c>
      <c r="H255" s="5">
        <f t="shared" ca="1" si="39"/>
        <v>1.94531139591545E-2</v>
      </c>
      <c r="I255" s="2">
        <f t="shared" ca="1" si="40"/>
        <v>35128151.371581189</v>
      </c>
      <c r="J255" s="2">
        <f t="shared" ca="1" si="41"/>
        <v>1840913664.4436479</v>
      </c>
      <c r="K255" s="2">
        <f t="shared" ca="1" si="47"/>
        <v>301420306.64490247</v>
      </c>
      <c r="L255" s="5">
        <f t="shared" ca="1" si="36"/>
        <v>6.1074639759171676</v>
      </c>
    </row>
    <row r="256" spans="1:12" x14ac:dyDescent="0.3">
      <c r="A256" s="1">
        <f t="shared" si="42"/>
        <v>21</v>
      </c>
      <c r="B256" s="1">
        <f t="shared" si="43"/>
        <v>5</v>
      </c>
      <c r="C256" s="2">
        <f t="shared" ca="1" si="37"/>
        <v>1840913664.4436479</v>
      </c>
      <c r="D256" s="5">
        <f t="shared" ca="1" si="44"/>
        <v>0</v>
      </c>
      <c r="E256" s="2">
        <f t="shared" ca="1" si="45"/>
        <v>27275029.996695612</v>
      </c>
      <c r="F256" s="2">
        <f t="shared" si="46"/>
        <v>8735960.8453620337</v>
      </c>
      <c r="G256" s="2">
        <f t="shared" ca="1" si="38"/>
        <v>2727502.9996695612</v>
      </c>
      <c r="H256" s="5">
        <f t="shared" ca="1" si="39"/>
        <v>1.2584250533872909E-2</v>
      </c>
      <c r="I256" s="2">
        <f t="shared" ca="1" si="40"/>
        <v>23200842.34566864</v>
      </c>
      <c r="J256" s="2">
        <f t="shared" ca="1" si="41"/>
        <v>1866842009.788986</v>
      </c>
      <c r="K256" s="2">
        <f t="shared" ca="1" si="47"/>
        <v>301420306.64490247</v>
      </c>
      <c r="L256" s="5">
        <f t="shared" ca="1" si="36"/>
        <v>6.1934845417972353</v>
      </c>
    </row>
    <row r="257" spans="1:12" x14ac:dyDescent="0.3">
      <c r="A257" s="1">
        <f t="shared" si="42"/>
        <v>21</v>
      </c>
      <c r="B257" s="1">
        <f t="shared" si="43"/>
        <v>6</v>
      </c>
      <c r="C257" s="2">
        <f t="shared" ca="1" si="37"/>
        <v>1866842009.788986</v>
      </c>
      <c r="D257" s="5">
        <f t="shared" ca="1" si="44"/>
        <v>0</v>
      </c>
      <c r="E257" s="2">
        <f t="shared" ca="1" si="45"/>
        <v>27275029.996695612</v>
      </c>
      <c r="F257" s="2">
        <f t="shared" si="46"/>
        <v>8735960.8453620337</v>
      </c>
      <c r="G257" s="2">
        <f t="shared" ca="1" si="38"/>
        <v>5455005.9993391223</v>
      </c>
      <c r="H257" s="5">
        <f t="shared" ca="1" si="39"/>
        <v>1.114514425841695E-2</v>
      </c>
      <c r="I257" s="2">
        <f t="shared" ca="1" si="40"/>
        <v>20867020.335564442</v>
      </c>
      <c r="J257" s="2">
        <f t="shared" ca="1" si="41"/>
        <v>1893164036.1238894</v>
      </c>
      <c r="K257" s="2">
        <f t="shared" ca="1" si="47"/>
        <v>301420306.64490247</v>
      </c>
      <c r="L257" s="5">
        <f t="shared" ca="1" si="36"/>
        <v>6.2808111941647979</v>
      </c>
    </row>
    <row r="258" spans="1:12" x14ac:dyDescent="0.3">
      <c r="A258" s="1">
        <f t="shared" si="42"/>
        <v>21</v>
      </c>
      <c r="B258" s="1">
        <f t="shared" si="43"/>
        <v>7</v>
      </c>
      <c r="C258" s="2">
        <f t="shared" ca="1" si="37"/>
        <v>1893164036.1238894</v>
      </c>
      <c r="D258" s="5">
        <f t="shared" ca="1" si="44"/>
        <v>0</v>
      </c>
      <c r="E258" s="2">
        <f t="shared" ca="1" si="45"/>
        <v>27275029.996695612</v>
      </c>
      <c r="F258" s="2">
        <f t="shared" si="46"/>
        <v>8735960.8453620337</v>
      </c>
      <c r="G258" s="2">
        <f t="shared" ca="1" si="38"/>
        <v>2727502.9996695612</v>
      </c>
      <c r="H258" s="5">
        <f t="shared" ca="1" si="39"/>
        <v>1.2771527753814738E-2</v>
      </c>
      <c r="I258" s="2">
        <f t="shared" ca="1" si="40"/>
        <v>24213431.410139073</v>
      </c>
      <c r="J258" s="2">
        <f t="shared" ca="1" si="41"/>
        <v>1920104970.5336981</v>
      </c>
      <c r="K258" s="2">
        <f t="shared" ca="1" si="47"/>
        <v>301420306.64490247</v>
      </c>
      <c r="L258" s="5">
        <f t="shared" ca="1" si="36"/>
        <v>6.3701911523689647</v>
      </c>
    </row>
    <row r="259" spans="1:12" x14ac:dyDescent="0.3">
      <c r="A259" s="1">
        <f t="shared" si="42"/>
        <v>21</v>
      </c>
      <c r="B259" s="1">
        <f t="shared" si="43"/>
        <v>8</v>
      </c>
      <c r="C259" s="2">
        <f t="shared" ca="1" si="37"/>
        <v>1920104970.5336981</v>
      </c>
      <c r="D259" s="5">
        <f t="shared" ca="1" si="44"/>
        <v>0</v>
      </c>
      <c r="E259" s="2">
        <f t="shared" ca="1" si="45"/>
        <v>27275029.996695612</v>
      </c>
      <c r="F259" s="2">
        <f t="shared" si="46"/>
        <v>8735960.8453620337</v>
      </c>
      <c r="G259" s="2">
        <f t="shared" ca="1" si="38"/>
        <v>2727502.9996695612</v>
      </c>
      <c r="H259" s="5">
        <f t="shared" ca="1" si="39"/>
        <v>1.378641123927582E-2</v>
      </c>
      <c r="I259" s="2">
        <f t="shared" ca="1" si="40"/>
        <v>26508959.224364944</v>
      </c>
      <c r="J259" s="2">
        <f t="shared" ca="1" si="41"/>
        <v>1949341432.7577326</v>
      </c>
      <c r="K259" s="2">
        <f t="shared" ca="1" si="47"/>
        <v>301420306.64490247</v>
      </c>
      <c r="L259" s="5">
        <f t="shared" ca="1" si="36"/>
        <v>6.4671868145042222</v>
      </c>
    </row>
    <row r="260" spans="1:12" x14ac:dyDescent="0.3">
      <c r="A260" s="1">
        <f t="shared" si="42"/>
        <v>21</v>
      </c>
      <c r="B260" s="1">
        <f t="shared" si="43"/>
        <v>9</v>
      </c>
      <c r="C260" s="2">
        <f t="shared" ca="1" si="37"/>
        <v>1949341432.7577326</v>
      </c>
      <c r="D260" s="5">
        <f t="shared" ca="1" si="44"/>
        <v>0</v>
      </c>
      <c r="E260" s="2">
        <f t="shared" ca="1" si="45"/>
        <v>27275029.996695612</v>
      </c>
      <c r="F260" s="2">
        <f t="shared" si="46"/>
        <v>8735960.8453620337</v>
      </c>
      <c r="G260" s="2">
        <f t="shared" ca="1" si="38"/>
        <v>2727502.9996695612</v>
      </c>
      <c r="H260" s="5">
        <f t="shared" ca="1" si="39"/>
        <v>1.4218511776636023E-2</v>
      </c>
      <c r="I260" s="2">
        <f t="shared" ca="1" si="40"/>
        <v>27755515.151871972</v>
      </c>
      <c r="J260" s="2">
        <f t="shared" ca="1" si="41"/>
        <v>1979824450.9092741</v>
      </c>
      <c r="K260" s="2">
        <f t="shared" ca="1" si="47"/>
        <v>301420306.64490247</v>
      </c>
      <c r="L260" s="5">
        <f t="shared" ca="1" si="36"/>
        <v>6.5683180836308672</v>
      </c>
    </row>
    <row r="261" spans="1:12" x14ac:dyDescent="0.3">
      <c r="A261" s="1">
        <f t="shared" si="42"/>
        <v>21</v>
      </c>
      <c r="B261" s="1">
        <f t="shared" si="43"/>
        <v>10</v>
      </c>
      <c r="C261" s="2">
        <f t="shared" ca="1" si="37"/>
        <v>1979824450.9092741</v>
      </c>
      <c r="D261" s="5">
        <f t="shared" ca="1" si="44"/>
        <v>0</v>
      </c>
      <c r="E261" s="2">
        <f t="shared" ca="1" si="45"/>
        <v>27275029.996695612</v>
      </c>
      <c r="F261" s="2">
        <f t="shared" si="46"/>
        <v>8735960.8453620337</v>
      </c>
      <c r="G261" s="2">
        <f t="shared" ca="1" si="38"/>
        <v>2727502.9996695612</v>
      </c>
      <c r="H261" s="5">
        <f t="shared" ca="1" si="39"/>
        <v>1.84460783096696E-2</v>
      </c>
      <c r="I261" s="2">
        <f t="shared" ca="1" si="40"/>
        <v>36570308.59479285</v>
      </c>
      <c r="J261" s="2">
        <f t="shared" ca="1" si="41"/>
        <v>2019122262.5037365</v>
      </c>
      <c r="K261" s="2">
        <f t="shared" ca="1" si="47"/>
        <v>301420306.64490247</v>
      </c>
      <c r="L261" s="5">
        <f t="shared" ca="1" si="36"/>
        <v>6.6986935451645797</v>
      </c>
    </row>
    <row r="262" spans="1:12" x14ac:dyDescent="0.3">
      <c r="A262" s="1">
        <f t="shared" si="42"/>
        <v>21</v>
      </c>
      <c r="B262" s="1">
        <f t="shared" si="43"/>
        <v>11</v>
      </c>
      <c r="C262" s="2">
        <f t="shared" ca="1" si="37"/>
        <v>2019122262.5037365</v>
      </c>
      <c r="D262" s="5">
        <f t="shared" ca="1" si="44"/>
        <v>0</v>
      </c>
      <c r="E262" s="2">
        <f t="shared" ca="1" si="45"/>
        <v>27275029.996695612</v>
      </c>
      <c r="F262" s="2">
        <f t="shared" si="46"/>
        <v>8735960.8453620337</v>
      </c>
      <c r="G262" s="2">
        <f t="shared" ca="1" si="38"/>
        <v>2727502.9996695612</v>
      </c>
      <c r="H262" s="5">
        <f t="shared" ca="1" si="39"/>
        <v>1.7055512013263163E-2</v>
      </c>
      <c r="I262" s="2">
        <f t="shared" ca="1" si="40"/>
        <v>34483682.964556649</v>
      </c>
      <c r="J262" s="2">
        <f t="shared" ca="1" si="41"/>
        <v>2056333448.4679627</v>
      </c>
      <c r="K262" s="2">
        <f t="shared" ca="1" si="47"/>
        <v>301420306.64490247</v>
      </c>
      <c r="L262" s="5">
        <f t="shared" ca="1" si="36"/>
        <v>6.8221463621908196</v>
      </c>
    </row>
    <row r="263" spans="1:12" x14ac:dyDescent="0.3">
      <c r="A263" s="1">
        <f t="shared" si="42"/>
        <v>21</v>
      </c>
      <c r="B263" s="1">
        <f t="shared" si="43"/>
        <v>12</v>
      </c>
      <c r="C263" s="2">
        <f t="shared" ca="1" si="37"/>
        <v>2056333448.4679627</v>
      </c>
      <c r="D263" s="5">
        <f t="shared" ca="1" si="44"/>
        <v>0</v>
      </c>
      <c r="E263" s="2">
        <f t="shared" ca="1" si="45"/>
        <v>27275029.996695612</v>
      </c>
      <c r="F263" s="2">
        <f t="shared" si="46"/>
        <v>8735960.8453620337</v>
      </c>
      <c r="G263" s="2">
        <f t="shared" ca="1" si="38"/>
        <v>5455005.9993391223</v>
      </c>
      <c r="H263" s="5">
        <f t="shared" ca="1" si="39"/>
        <v>1.4711790205521602E-2</v>
      </c>
      <c r="I263" s="2">
        <f t="shared" ca="1" si="40"/>
        <v>30332599.190289572</v>
      </c>
      <c r="J263" s="2">
        <f t="shared" ca="1" si="41"/>
        <v>2092121053.6575913</v>
      </c>
      <c r="K263" s="2">
        <f t="shared" ca="1" si="47"/>
        <v>301420306.64490247</v>
      </c>
      <c r="L263" s="5">
        <f t="shared" ca="1" si="36"/>
        <v>6.9408762699000217</v>
      </c>
    </row>
    <row r="264" spans="1:12" x14ac:dyDescent="0.3">
      <c r="A264" s="1">
        <f t="shared" si="42"/>
        <v>22</v>
      </c>
      <c r="B264" s="1">
        <f t="shared" si="43"/>
        <v>1</v>
      </c>
      <c r="C264" s="2">
        <f t="shared" ca="1" si="37"/>
        <v>2092121053.6575913</v>
      </c>
      <c r="D264" s="5">
        <f t="shared" ca="1" si="44"/>
        <v>7.8080820522969857E-2</v>
      </c>
      <c r="E264" s="2">
        <f t="shared" ca="1" si="45"/>
        <v>29404686.718626224</v>
      </c>
      <c r="F264" s="2">
        <f t="shared" si="46"/>
        <v>9404261.850032229</v>
      </c>
      <c r="G264" s="2">
        <f t="shared" ca="1" si="38"/>
        <v>2940468.6718626227</v>
      </c>
      <c r="H264" s="5">
        <f t="shared" ca="1" si="39"/>
        <v>1.9044634329665078E-2</v>
      </c>
      <c r="I264" s="2">
        <f t="shared" ca="1" si="40"/>
        <v>39899680.590915896</v>
      </c>
      <c r="J264" s="2">
        <f t="shared" ca="1" si="41"/>
        <v>2134961202.9203699</v>
      </c>
      <c r="K264" s="2">
        <f t="shared" ca="1" si="47"/>
        <v>309461155.07300562</v>
      </c>
      <c r="L264" s="5">
        <f t="shared" ca="1" si="36"/>
        <v>6.8989634657594001</v>
      </c>
    </row>
    <row r="265" spans="1:12" x14ac:dyDescent="0.3">
      <c r="A265" s="1">
        <f t="shared" si="42"/>
        <v>22</v>
      </c>
      <c r="B265" s="1">
        <f t="shared" si="43"/>
        <v>2</v>
      </c>
      <c r="C265" s="2">
        <f t="shared" ca="1" si="37"/>
        <v>2134961202.9203699</v>
      </c>
      <c r="D265" s="5">
        <f t="shared" ca="1" si="44"/>
        <v>0</v>
      </c>
      <c r="E265" s="2">
        <f t="shared" ca="1" si="45"/>
        <v>29404686.718626224</v>
      </c>
      <c r="F265" s="2">
        <f t="shared" si="46"/>
        <v>9404261.850032229</v>
      </c>
      <c r="G265" s="2">
        <f t="shared" ca="1" si="38"/>
        <v>2940468.6718626227</v>
      </c>
      <c r="H265" s="5">
        <f t="shared" ca="1" si="39"/>
        <v>1.7969664311856759E-2</v>
      </c>
      <c r="I265" s="2">
        <f t="shared" ca="1" si="40"/>
        <v>38417375.37026985</v>
      </c>
      <c r="J265" s="2">
        <f t="shared" ca="1" si="41"/>
        <v>2176319046.9625025</v>
      </c>
      <c r="K265" s="2">
        <f t="shared" ca="1" si="47"/>
        <v>309461155.07300562</v>
      </c>
      <c r="L265" s="5">
        <f t="shared" ca="1" si="36"/>
        <v>7.0326081683792676</v>
      </c>
    </row>
    <row r="266" spans="1:12" x14ac:dyDescent="0.3">
      <c r="A266" s="1">
        <f t="shared" si="42"/>
        <v>22</v>
      </c>
      <c r="B266" s="1">
        <f t="shared" si="43"/>
        <v>3</v>
      </c>
      <c r="C266" s="2">
        <f t="shared" ca="1" si="37"/>
        <v>2176319046.9625025</v>
      </c>
      <c r="D266" s="5">
        <f t="shared" ca="1" si="44"/>
        <v>0</v>
      </c>
      <c r="E266" s="2">
        <f t="shared" ca="1" si="45"/>
        <v>29404686.718626224</v>
      </c>
      <c r="F266" s="2">
        <f t="shared" si="46"/>
        <v>9404261.850032229</v>
      </c>
      <c r="G266" s="2">
        <f t="shared" ca="1" si="38"/>
        <v>2940468.6718626227</v>
      </c>
      <c r="H266" s="5">
        <f t="shared" ca="1" si="39"/>
        <v>1.4528199220265936E-2</v>
      </c>
      <c r="I266" s="2">
        <f t="shared" ca="1" si="40"/>
        <v>31660716.395796303</v>
      </c>
      <c r="J266" s="2">
        <f t="shared" ca="1" si="41"/>
        <v>2210920232.0301614</v>
      </c>
      <c r="K266" s="2">
        <f t="shared" ca="1" si="47"/>
        <v>309461155.07300562</v>
      </c>
      <c r="L266" s="5">
        <f t="shared" ca="1" si="36"/>
        <v>7.1444192454738902</v>
      </c>
    </row>
    <row r="267" spans="1:12" x14ac:dyDescent="0.3">
      <c r="A267" s="1">
        <f t="shared" si="42"/>
        <v>22</v>
      </c>
      <c r="B267" s="1">
        <f t="shared" si="43"/>
        <v>4</v>
      </c>
      <c r="C267" s="2">
        <f t="shared" ca="1" si="37"/>
        <v>2210920232.0301614</v>
      </c>
      <c r="D267" s="5">
        <f t="shared" ca="1" si="44"/>
        <v>0</v>
      </c>
      <c r="E267" s="2">
        <f t="shared" ca="1" si="45"/>
        <v>29404686.718626224</v>
      </c>
      <c r="F267" s="2">
        <f t="shared" si="46"/>
        <v>9404261.850032229</v>
      </c>
      <c r="G267" s="2">
        <f t="shared" ca="1" si="38"/>
        <v>2940468.6718626227</v>
      </c>
      <c r="H267" s="5">
        <f t="shared" ca="1" si="39"/>
        <v>1.5541809567066966E-2</v>
      </c>
      <c r="I267" s="2">
        <f t="shared" ca="1" si="40"/>
        <v>34407401.418324292</v>
      </c>
      <c r="J267" s="2">
        <f t="shared" ca="1" si="41"/>
        <v>2248268102.1203485</v>
      </c>
      <c r="K267" s="2">
        <f t="shared" ca="1" si="47"/>
        <v>309461155.07300562</v>
      </c>
      <c r="L267" s="5">
        <f t="shared" ca="1" si="36"/>
        <v>7.2651060246639192</v>
      </c>
    </row>
    <row r="268" spans="1:12" x14ac:dyDescent="0.3">
      <c r="A268" s="1">
        <f t="shared" si="42"/>
        <v>22</v>
      </c>
      <c r="B268" s="1">
        <f t="shared" si="43"/>
        <v>5</v>
      </c>
      <c r="C268" s="2">
        <f t="shared" ca="1" si="37"/>
        <v>2248268102.1203485</v>
      </c>
      <c r="D268" s="5">
        <f t="shared" ca="1" si="44"/>
        <v>0</v>
      </c>
      <c r="E268" s="2">
        <f t="shared" ca="1" si="45"/>
        <v>29404686.718626224</v>
      </c>
      <c r="F268" s="2">
        <f t="shared" si="46"/>
        <v>9404261.850032229</v>
      </c>
      <c r="G268" s="2">
        <f t="shared" ca="1" si="38"/>
        <v>2940468.6718626227</v>
      </c>
      <c r="H268" s="5">
        <f t="shared" ca="1" si="39"/>
        <v>1.8107514842112815E-2</v>
      </c>
      <c r="I268" s="2">
        <f t="shared" ca="1" si="40"/>
        <v>40763792.608311541</v>
      </c>
      <c r="J268" s="2">
        <f t="shared" ca="1" si="41"/>
        <v>2291972363.4005227</v>
      </c>
      <c r="K268" s="2">
        <f t="shared" ca="1" si="47"/>
        <v>309461155.07300562</v>
      </c>
      <c r="L268" s="5">
        <f t="shared" ref="L268:L331" ca="1" si="48">(J268/K268)</f>
        <v>7.4063329947172818</v>
      </c>
    </row>
    <row r="269" spans="1:12" x14ac:dyDescent="0.3">
      <c r="A269" s="1">
        <f t="shared" si="42"/>
        <v>22</v>
      </c>
      <c r="B269" s="1">
        <f t="shared" si="43"/>
        <v>6</v>
      </c>
      <c r="C269" s="2">
        <f t="shared" ref="C269:C332" ca="1" si="49">J268</f>
        <v>2291972363.4005227</v>
      </c>
      <c r="D269" s="5">
        <f t="shared" ca="1" si="44"/>
        <v>0</v>
      </c>
      <c r="E269" s="2">
        <f t="shared" ca="1" si="45"/>
        <v>29404686.718626224</v>
      </c>
      <c r="F269" s="2">
        <f t="shared" si="46"/>
        <v>9404261.850032229</v>
      </c>
      <c r="G269" s="2">
        <f t="shared" ref="G269:G332" ca="1" si="50">IF(OR(B269=6,B269=12),E269*$B$2*2,E269*$B$2)</f>
        <v>5880937.3437252454</v>
      </c>
      <c r="H269" s="5">
        <f t="shared" ref="H269:H332" ca="1" si="51">(NORMINV(RAND(),$E$3,$F$3)+1)^(1/12)-1</f>
        <v>1.4830786330080281E-2</v>
      </c>
      <c r="I269" s="2">
        <f t="shared" ref="I269:I332" ca="1" si="52">(J268+G269)*H269</f>
        <v>34078971.321207643</v>
      </c>
      <c r="J269" s="2">
        <f t="shared" ref="J269:J332" ca="1" si="53">G269+C269+I269</f>
        <v>2331932272.0654554</v>
      </c>
      <c r="K269" s="2">
        <f t="shared" ca="1" si="47"/>
        <v>309461155.07300562</v>
      </c>
      <c r="L269" s="5">
        <f t="shared" ca="1" si="48"/>
        <v>7.5354603763284107</v>
      </c>
    </row>
    <row r="270" spans="1:12" x14ac:dyDescent="0.3">
      <c r="A270" s="1">
        <f t="shared" ref="A270:A333" si="54">IF(B270=1,A269+1,A269)</f>
        <v>22</v>
      </c>
      <c r="B270" s="1">
        <f t="shared" ref="B270:B333" si="55">IF(B269=12,1,B269+1)</f>
        <v>7</v>
      </c>
      <c r="C270" s="2">
        <f t="shared" ca="1" si="49"/>
        <v>2331932272.0654554</v>
      </c>
      <c r="D270" s="5">
        <f t="shared" ref="D270:D333" ca="1" si="56">IF(B270&lt;&gt;1,0,LOGINV(RAND(),LN($E$6),SQRT($F$6)))</f>
        <v>0</v>
      </c>
      <c r="E270" s="2">
        <f t="shared" ref="E270:E333" ca="1" si="57">IF(B270&lt;&gt;1,E269,IF(AND(A270=3,B270=1),E269*2,IF(AND(A270=10,B270=1),E269*2,E269*(1+IF(E269&gt;F269,D270,$B$4)))))</f>
        <v>29404686.718626224</v>
      </c>
      <c r="F270" s="2">
        <f t="shared" ref="F270:F333" si="58">IF(B270&lt;&gt;1,F269,F269*(1+$B$4))</f>
        <v>9404261.850032229</v>
      </c>
      <c r="G270" s="2">
        <f t="shared" ca="1" si="50"/>
        <v>2940468.6718626227</v>
      </c>
      <c r="H270" s="5">
        <f t="shared" ca="1" si="51"/>
        <v>1.7695957402712903E-2</v>
      </c>
      <c r="I270" s="2">
        <f t="shared" ca="1" si="52"/>
        <v>41317808.56084311</v>
      </c>
      <c r="J270" s="2">
        <f t="shared" ca="1" si="53"/>
        <v>2376190549.298161</v>
      </c>
      <c r="K270" s="2">
        <f t="shared" ref="K270:K333" ca="1" si="59">IF(B270=1,K269*(1+NORMINV(RAND(),$E$5,$F$5)),K269)</f>
        <v>309461155.07300562</v>
      </c>
      <c r="L270" s="5">
        <f t="shared" ca="1" si="48"/>
        <v>7.6784776064627209</v>
      </c>
    </row>
    <row r="271" spans="1:12" x14ac:dyDescent="0.3">
      <c r="A271" s="1">
        <f t="shared" si="54"/>
        <v>22</v>
      </c>
      <c r="B271" s="1">
        <f t="shared" si="55"/>
        <v>8</v>
      </c>
      <c r="C271" s="2">
        <f t="shared" ca="1" si="49"/>
        <v>2376190549.298161</v>
      </c>
      <c r="D271" s="5">
        <f t="shared" ca="1" si="56"/>
        <v>0</v>
      </c>
      <c r="E271" s="2">
        <f t="shared" ca="1" si="57"/>
        <v>29404686.718626224</v>
      </c>
      <c r="F271" s="2">
        <f t="shared" si="58"/>
        <v>9404261.850032229</v>
      </c>
      <c r="G271" s="2">
        <f t="shared" ca="1" si="50"/>
        <v>2940468.6718626227</v>
      </c>
      <c r="H271" s="5">
        <f t="shared" ca="1" si="51"/>
        <v>1.9747093248807968E-2</v>
      </c>
      <c r="I271" s="2">
        <f t="shared" ca="1" si="52"/>
        <v>46980922.06298548</v>
      </c>
      <c r="J271" s="2">
        <f t="shared" ca="1" si="53"/>
        <v>2426111940.0330091</v>
      </c>
      <c r="K271" s="2">
        <f t="shared" ca="1" si="59"/>
        <v>309461155.07300562</v>
      </c>
      <c r="L271" s="5">
        <f t="shared" ca="1" si="48"/>
        <v>7.8397947537572525</v>
      </c>
    </row>
    <row r="272" spans="1:12" x14ac:dyDescent="0.3">
      <c r="A272" s="1">
        <f t="shared" si="54"/>
        <v>22</v>
      </c>
      <c r="B272" s="1">
        <f t="shared" si="55"/>
        <v>9</v>
      </c>
      <c r="C272" s="2">
        <f t="shared" ca="1" si="49"/>
        <v>2426111940.0330091</v>
      </c>
      <c r="D272" s="5">
        <f t="shared" ca="1" si="56"/>
        <v>0</v>
      </c>
      <c r="E272" s="2">
        <f t="shared" ca="1" si="57"/>
        <v>29404686.718626224</v>
      </c>
      <c r="F272" s="2">
        <f t="shared" si="58"/>
        <v>9404261.850032229</v>
      </c>
      <c r="G272" s="2">
        <f t="shared" ca="1" si="50"/>
        <v>2940468.6718626227</v>
      </c>
      <c r="H272" s="5">
        <f t="shared" ca="1" si="51"/>
        <v>1.7991590033160421E-2</v>
      </c>
      <c r="I272" s="2">
        <f t="shared" ca="1" si="52"/>
        <v>43702515.106478885</v>
      </c>
      <c r="J272" s="2">
        <f t="shared" ca="1" si="53"/>
        <v>2472754923.8113503</v>
      </c>
      <c r="K272" s="2">
        <f t="shared" ca="1" si="59"/>
        <v>309461155.07300562</v>
      </c>
      <c r="L272" s="5">
        <f t="shared" ca="1" si="48"/>
        <v>7.9905179802873727</v>
      </c>
    </row>
    <row r="273" spans="1:12" x14ac:dyDescent="0.3">
      <c r="A273" s="1">
        <f t="shared" si="54"/>
        <v>22</v>
      </c>
      <c r="B273" s="1">
        <f t="shared" si="55"/>
        <v>10</v>
      </c>
      <c r="C273" s="2">
        <f t="shared" ca="1" si="49"/>
        <v>2472754923.8113503</v>
      </c>
      <c r="D273" s="5">
        <f t="shared" ca="1" si="56"/>
        <v>0</v>
      </c>
      <c r="E273" s="2">
        <f t="shared" ca="1" si="57"/>
        <v>29404686.718626224</v>
      </c>
      <c r="F273" s="2">
        <f t="shared" si="58"/>
        <v>9404261.850032229</v>
      </c>
      <c r="G273" s="2">
        <f t="shared" ca="1" si="50"/>
        <v>2940468.6718626227</v>
      </c>
      <c r="H273" s="5">
        <f t="shared" ca="1" si="51"/>
        <v>1.4331707716151332E-2</v>
      </c>
      <c r="I273" s="2">
        <f t="shared" ca="1" si="52"/>
        <v>35480942.759291962</v>
      </c>
      <c r="J273" s="2">
        <f t="shared" ca="1" si="53"/>
        <v>2511176335.2425051</v>
      </c>
      <c r="K273" s="2">
        <f t="shared" ca="1" si="59"/>
        <v>309461155.07300562</v>
      </c>
      <c r="L273" s="5">
        <f t="shared" ca="1" si="48"/>
        <v>8.1146738260253972</v>
      </c>
    </row>
    <row r="274" spans="1:12" x14ac:dyDescent="0.3">
      <c r="A274" s="1">
        <f t="shared" si="54"/>
        <v>22</v>
      </c>
      <c r="B274" s="1">
        <f t="shared" si="55"/>
        <v>11</v>
      </c>
      <c r="C274" s="2">
        <f t="shared" ca="1" si="49"/>
        <v>2511176335.2425051</v>
      </c>
      <c r="D274" s="5">
        <f t="shared" ca="1" si="56"/>
        <v>0</v>
      </c>
      <c r="E274" s="2">
        <f t="shared" ca="1" si="57"/>
        <v>29404686.718626224</v>
      </c>
      <c r="F274" s="2">
        <f t="shared" si="58"/>
        <v>9404261.850032229</v>
      </c>
      <c r="G274" s="2">
        <f t="shared" ca="1" si="50"/>
        <v>2940468.6718626227</v>
      </c>
      <c r="H274" s="5">
        <f t="shared" ca="1" si="51"/>
        <v>1.5871001381758898E-2</v>
      </c>
      <c r="I274" s="2">
        <f t="shared" ca="1" si="52"/>
        <v>39901551.268828191</v>
      </c>
      <c r="J274" s="2">
        <f t="shared" ca="1" si="53"/>
        <v>2554018355.1831961</v>
      </c>
      <c r="K274" s="2">
        <f t="shared" ca="1" si="59"/>
        <v>309461155.07300562</v>
      </c>
      <c r="L274" s="5">
        <f t="shared" ca="1" si="48"/>
        <v>8.2531145292877621</v>
      </c>
    </row>
    <row r="275" spans="1:12" x14ac:dyDescent="0.3">
      <c r="A275" s="1">
        <f t="shared" si="54"/>
        <v>22</v>
      </c>
      <c r="B275" s="1">
        <f t="shared" si="55"/>
        <v>12</v>
      </c>
      <c r="C275" s="2">
        <f t="shared" ca="1" si="49"/>
        <v>2554018355.1831961</v>
      </c>
      <c r="D275" s="5">
        <f t="shared" ca="1" si="56"/>
        <v>0</v>
      </c>
      <c r="E275" s="2">
        <f t="shared" ca="1" si="57"/>
        <v>29404686.718626224</v>
      </c>
      <c r="F275" s="2">
        <f t="shared" si="58"/>
        <v>9404261.850032229</v>
      </c>
      <c r="G275" s="2">
        <f t="shared" ca="1" si="50"/>
        <v>5880937.3437252454</v>
      </c>
      <c r="H275" s="5">
        <f t="shared" ca="1" si="51"/>
        <v>1.491018806862221E-2</v>
      </c>
      <c r="I275" s="2">
        <f t="shared" ca="1" si="52"/>
        <v>38168579.888309337</v>
      </c>
      <c r="J275" s="2">
        <f t="shared" ca="1" si="53"/>
        <v>2598067872.4152308</v>
      </c>
      <c r="K275" s="2">
        <f t="shared" ca="1" si="59"/>
        <v>309461155.07300562</v>
      </c>
      <c r="L275" s="5">
        <f t="shared" ca="1" si="48"/>
        <v>8.3954571674829914</v>
      </c>
    </row>
    <row r="276" spans="1:12" x14ac:dyDescent="0.3">
      <c r="A276" s="1">
        <f t="shared" si="54"/>
        <v>23</v>
      </c>
      <c r="B276" s="1">
        <f t="shared" si="55"/>
        <v>1</v>
      </c>
      <c r="C276" s="2">
        <f t="shared" ca="1" si="49"/>
        <v>2598067872.4152308</v>
      </c>
      <c r="D276" s="5">
        <f t="shared" ca="1" si="56"/>
        <v>5.2252147147577498E-2</v>
      </c>
      <c r="E276" s="2">
        <f t="shared" ca="1" si="57"/>
        <v>30941144.735876296</v>
      </c>
      <c r="F276" s="2">
        <f t="shared" si="58"/>
        <v>10123687.881559694</v>
      </c>
      <c r="G276" s="2">
        <f t="shared" ca="1" si="50"/>
        <v>3094114.4735876299</v>
      </c>
      <c r="H276" s="5">
        <f t="shared" ca="1" si="51"/>
        <v>1.4428099321835974E-2</v>
      </c>
      <c r="I276" s="2">
        <f t="shared" ca="1" si="52"/>
        <v>37529823.499016076</v>
      </c>
      <c r="J276" s="2">
        <f t="shared" ca="1" si="53"/>
        <v>2638691810.3878345</v>
      </c>
      <c r="K276" s="2">
        <f t="shared" ca="1" si="59"/>
        <v>321055200.52339041</v>
      </c>
      <c r="L276" s="5">
        <f t="shared" ca="1" si="48"/>
        <v>8.2188103668347008</v>
      </c>
    </row>
    <row r="277" spans="1:12" x14ac:dyDescent="0.3">
      <c r="A277" s="1">
        <f t="shared" si="54"/>
        <v>23</v>
      </c>
      <c r="B277" s="1">
        <f t="shared" si="55"/>
        <v>2</v>
      </c>
      <c r="C277" s="2">
        <f t="shared" ca="1" si="49"/>
        <v>2638691810.3878345</v>
      </c>
      <c r="D277" s="5">
        <f t="shared" ca="1" si="56"/>
        <v>0</v>
      </c>
      <c r="E277" s="2">
        <f t="shared" ca="1" si="57"/>
        <v>30941144.735876296</v>
      </c>
      <c r="F277" s="2">
        <f t="shared" si="58"/>
        <v>10123687.881559694</v>
      </c>
      <c r="G277" s="2">
        <f t="shared" ca="1" si="50"/>
        <v>3094114.4735876299</v>
      </c>
      <c r="H277" s="5">
        <f t="shared" ca="1" si="51"/>
        <v>1.6480654636617853E-2</v>
      </c>
      <c r="I277" s="2">
        <f t="shared" ca="1" si="52"/>
        <v>43538361.451519176</v>
      </c>
      <c r="J277" s="2">
        <f t="shared" ca="1" si="53"/>
        <v>2685324286.3129411</v>
      </c>
      <c r="K277" s="2">
        <f t="shared" ca="1" si="59"/>
        <v>321055200.52339041</v>
      </c>
      <c r="L277" s="5">
        <f t="shared" ca="1" si="48"/>
        <v>8.3640579001220772</v>
      </c>
    </row>
    <row r="278" spans="1:12" x14ac:dyDescent="0.3">
      <c r="A278" s="1">
        <f t="shared" si="54"/>
        <v>23</v>
      </c>
      <c r="B278" s="1">
        <f t="shared" si="55"/>
        <v>3</v>
      </c>
      <c r="C278" s="2">
        <f t="shared" ca="1" si="49"/>
        <v>2685324286.3129411</v>
      </c>
      <c r="D278" s="5">
        <f t="shared" ca="1" si="56"/>
        <v>0</v>
      </c>
      <c r="E278" s="2">
        <f t="shared" ca="1" si="57"/>
        <v>30941144.735876296</v>
      </c>
      <c r="F278" s="2">
        <f t="shared" si="58"/>
        <v>10123687.881559694</v>
      </c>
      <c r="G278" s="2">
        <f t="shared" ca="1" si="50"/>
        <v>3094114.4735876299</v>
      </c>
      <c r="H278" s="5">
        <f t="shared" ca="1" si="51"/>
        <v>1.7826051678428323E-2</v>
      </c>
      <c r="I278" s="2">
        <f t="shared" ca="1" si="52"/>
        <v>47923885.345658287</v>
      </c>
      <c r="J278" s="2">
        <f t="shared" ca="1" si="53"/>
        <v>2736342286.1321869</v>
      </c>
      <c r="K278" s="2">
        <f t="shared" ca="1" si="59"/>
        <v>321055200.52339041</v>
      </c>
      <c r="L278" s="5">
        <f t="shared" ca="1" si="48"/>
        <v>8.5229651526321604</v>
      </c>
    </row>
    <row r="279" spans="1:12" x14ac:dyDescent="0.3">
      <c r="A279" s="1">
        <f t="shared" si="54"/>
        <v>23</v>
      </c>
      <c r="B279" s="1">
        <f t="shared" si="55"/>
        <v>4</v>
      </c>
      <c r="C279" s="2">
        <f t="shared" ca="1" si="49"/>
        <v>2736342286.1321869</v>
      </c>
      <c r="D279" s="5">
        <f t="shared" ca="1" si="56"/>
        <v>0</v>
      </c>
      <c r="E279" s="2">
        <f t="shared" ca="1" si="57"/>
        <v>30941144.735876296</v>
      </c>
      <c r="F279" s="2">
        <f t="shared" si="58"/>
        <v>10123687.881559694</v>
      </c>
      <c r="G279" s="2">
        <f t="shared" ca="1" si="50"/>
        <v>3094114.4735876299</v>
      </c>
      <c r="H279" s="5">
        <f t="shared" ca="1" si="51"/>
        <v>1.4522548675203861E-2</v>
      </c>
      <c r="I279" s="2">
        <f t="shared" ca="1" si="52"/>
        <v>39783598.470422626</v>
      </c>
      <c r="J279" s="2">
        <f t="shared" ca="1" si="53"/>
        <v>2779219999.0761971</v>
      </c>
      <c r="K279" s="2">
        <f t="shared" ca="1" si="59"/>
        <v>321055200.52339041</v>
      </c>
      <c r="L279" s="5">
        <f t="shared" ca="1" si="48"/>
        <v>8.6565176161154174</v>
      </c>
    </row>
    <row r="280" spans="1:12" x14ac:dyDescent="0.3">
      <c r="A280" s="1">
        <f t="shared" si="54"/>
        <v>23</v>
      </c>
      <c r="B280" s="1">
        <f t="shared" si="55"/>
        <v>5</v>
      </c>
      <c r="C280" s="2">
        <f t="shared" ca="1" si="49"/>
        <v>2779219999.0761971</v>
      </c>
      <c r="D280" s="5">
        <f t="shared" ca="1" si="56"/>
        <v>0</v>
      </c>
      <c r="E280" s="2">
        <f t="shared" ca="1" si="57"/>
        <v>30941144.735876296</v>
      </c>
      <c r="F280" s="2">
        <f t="shared" si="58"/>
        <v>10123687.881559694</v>
      </c>
      <c r="G280" s="2">
        <f t="shared" ca="1" si="50"/>
        <v>3094114.4735876299</v>
      </c>
      <c r="H280" s="5">
        <f t="shared" ca="1" si="51"/>
        <v>1.5824978141560253E-2</v>
      </c>
      <c r="I280" s="2">
        <f t="shared" ca="1" si="52"/>
        <v>44030060.029879935</v>
      </c>
      <c r="J280" s="2">
        <f t="shared" ca="1" si="53"/>
        <v>2826344173.5796647</v>
      </c>
      <c r="K280" s="2">
        <f t="shared" ca="1" si="59"/>
        <v>321055200.52339041</v>
      </c>
      <c r="L280" s="5">
        <f t="shared" ca="1" si="48"/>
        <v>8.8032966573103426</v>
      </c>
    </row>
    <row r="281" spans="1:12" x14ac:dyDescent="0.3">
      <c r="A281" s="1">
        <f t="shared" si="54"/>
        <v>23</v>
      </c>
      <c r="B281" s="1">
        <f t="shared" si="55"/>
        <v>6</v>
      </c>
      <c r="C281" s="2">
        <f t="shared" ca="1" si="49"/>
        <v>2826344173.5796647</v>
      </c>
      <c r="D281" s="5">
        <f t="shared" ca="1" si="56"/>
        <v>0</v>
      </c>
      <c r="E281" s="2">
        <f t="shared" ca="1" si="57"/>
        <v>30941144.735876296</v>
      </c>
      <c r="F281" s="2">
        <f t="shared" si="58"/>
        <v>10123687.881559694</v>
      </c>
      <c r="G281" s="2">
        <f t="shared" ca="1" si="50"/>
        <v>6188228.9471752597</v>
      </c>
      <c r="H281" s="5">
        <f t="shared" ca="1" si="51"/>
        <v>1.5422168934421165E-2</v>
      </c>
      <c r="I281" s="2">
        <f t="shared" ca="1" si="52"/>
        <v>43683793.223990776</v>
      </c>
      <c r="J281" s="2">
        <f t="shared" ca="1" si="53"/>
        <v>2876216195.7508307</v>
      </c>
      <c r="K281" s="2">
        <f t="shared" ca="1" si="59"/>
        <v>321055200.52339041</v>
      </c>
      <c r="L281" s="5">
        <f t="shared" ca="1" si="48"/>
        <v>8.9586344998055392</v>
      </c>
    </row>
    <row r="282" spans="1:12" x14ac:dyDescent="0.3">
      <c r="A282" s="1">
        <f t="shared" si="54"/>
        <v>23</v>
      </c>
      <c r="B282" s="1">
        <f t="shared" si="55"/>
        <v>7</v>
      </c>
      <c r="C282" s="2">
        <f t="shared" ca="1" si="49"/>
        <v>2876216195.7508307</v>
      </c>
      <c r="D282" s="5">
        <f t="shared" ca="1" si="56"/>
        <v>0</v>
      </c>
      <c r="E282" s="2">
        <f t="shared" ca="1" si="57"/>
        <v>30941144.735876296</v>
      </c>
      <c r="F282" s="2">
        <f t="shared" si="58"/>
        <v>10123687.881559694</v>
      </c>
      <c r="G282" s="2">
        <f t="shared" ca="1" si="50"/>
        <v>3094114.4735876299</v>
      </c>
      <c r="H282" s="5">
        <f t="shared" ca="1" si="51"/>
        <v>1.3647214508139438E-2</v>
      </c>
      <c r="I282" s="2">
        <f t="shared" ca="1" si="52"/>
        <v>39294565.439130142</v>
      </c>
      <c r="J282" s="2">
        <f t="shared" ca="1" si="53"/>
        <v>2918604875.6635485</v>
      </c>
      <c r="K282" s="2">
        <f t="shared" ca="1" si="59"/>
        <v>321055200.52339041</v>
      </c>
      <c r="L282" s="5">
        <f t="shared" ca="1" si="48"/>
        <v>9.0906637578384721</v>
      </c>
    </row>
    <row r="283" spans="1:12" x14ac:dyDescent="0.3">
      <c r="A283" s="1">
        <f t="shared" si="54"/>
        <v>23</v>
      </c>
      <c r="B283" s="1">
        <f t="shared" si="55"/>
        <v>8</v>
      </c>
      <c r="C283" s="2">
        <f t="shared" ca="1" si="49"/>
        <v>2918604875.6635485</v>
      </c>
      <c r="D283" s="5">
        <f t="shared" ca="1" si="56"/>
        <v>0</v>
      </c>
      <c r="E283" s="2">
        <f t="shared" ca="1" si="57"/>
        <v>30941144.735876296</v>
      </c>
      <c r="F283" s="2">
        <f t="shared" si="58"/>
        <v>10123687.881559694</v>
      </c>
      <c r="G283" s="2">
        <f t="shared" ca="1" si="50"/>
        <v>3094114.4735876299</v>
      </c>
      <c r="H283" s="5">
        <f t="shared" ca="1" si="51"/>
        <v>1.5325930700509804E-2</v>
      </c>
      <c r="I283" s="2">
        <f t="shared" ca="1" si="52"/>
        <v>44777756.250591226</v>
      </c>
      <c r="J283" s="2">
        <f t="shared" ca="1" si="53"/>
        <v>2966476746.3877273</v>
      </c>
      <c r="K283" s="2">
        <f t="shared" ca="1" si="59"/>
        <v>321055200.52339041</v>
      </c>
      <c r="L283" s="5">
        <f t="shared" ca="1" si="48"/>
        <v>9.2397716702664194</v>
      </c>
    </row>
    <row r="284" spans="1:12" x14ac:dyDescent="0.3">
      <c r="A284" s="1">
        <f t="shared" si="54"/>
        <v>23</v>
      </c>
      <c r="B284" s="1">
        <f t="shared" si="55"/>
        <v>9</v>
      </c>
      <c r="C284" s="2">
        <f t="shared" ca="1" si="49"/>
        <v>2966476746.3877273</v>
      </c>
      <c r="D284" s="5">
        <f t="shared" ca="1" si="56"/>
        <v>0</v>
      </c>
      <c r="E284" s="2">
        <f t="shared" ca="1" si="57"/>
        <v>30941144.735876296</v>
      </c>
      <c r="F284" s="2">
        <f t="shared" si="58"/>
        <v>10123687.881559694</v>
      </c>
      <c r="G284" s="2">
        <f t="shared" ca="1" si="50"/>
        <v>3094114.4735876299</v>
      </c>
      <c r="H284" s="5">
        <f t="shared" ca="1" si="51"/>
        <v>1.3129555953648175E-2</v>
      </c>
      <c r="I284" s="2">
        <f t="shared" ca="1" si="52"/>
        <v>38989146.776001811</v>
      </c>
      <c r="J284" s="2">
        <f t="shared" ca="1" si="53"/>
        <v>3008560007.6373167</v>
      </c>
      <c r="K284" s="2">
        <f t="shared" ca="1" si="59"/>
        <v>321055200.52339041</v>
      </c>
      <c r="L284" s="5">
        <f t="shared" ca="1" si="48"/>
        <v>9.3708496318785794</v>
      </c>
    </row>
    <row r="285" spans="1:12" x14ac:dyDescent="0.3">
      <c r="A285" s="1">
        <f t="shared" si="54"/>
        <v>23</v>
      </c>
      <c r="B285" s="1">
        <f t="shared" si="55"/>
        <v>10</v>
      </c>
      <c r="C285" s="2">
        <f t="shared" ca="1" si="49"/>
        <v>3008560007.6373167</v>
      </c>
      <c r="D285" s="5">
        <f t="shared" ca="1" si="56"/>
        <v>0</v>
      </c>
      <c r="E285" s="2">
        <f t="shared" ca="1" si="57"/>
        <v>30941144.735876296</v>
      </c>
      <c r="F285" s="2">
        <f t="shared" si="58"/>
        <v>10123687.881559694</v>
      </c>
      <c r="G285" s="2">
        <f t="shared" ca="1" si="50"/>
        <v>3094114.4735876299</v>
      </c>
      <c r="H285" s="5">
        <f t="shared" ca="1" si="51"/>
        <v>1.671021280198226E-2</v>
      </c>
      <c r="I285" s="2">
        <f t="shared" ca="1" si="52"/>
        <v>50325381.26644028</v>
      </c>
      <c r="J285" s="2">
        <f t="shared" ca="1" si="53"/>
        <v>3061979503.3773446</v>
      </c>
      <c r="K285" s="2">
        <f t="shared" ca="1" si="59"/>
        <v>321055200.52339041</v>
      </c>
      <c r="L285" s="5">
        <f t="shared" ca="1" si="48"/>
        <v>9.5372368937978464</v>
      </c>
    </row>
    <row r="286" spans="1:12" x14ac:dyDescent="0.3">
      <c r="A286" s="1">
        <f t="shared" si="54"/>
        <v>23</v>
      </c>
      <c r="B286" s="1">
        <f t="shared" si="55"/>
        <v>11</v>
      </c>
      <c r="C286" s="2">
        <f t="shared" ca="1" si="49"/>
        <v>3061979503.3773446</v>
      </c>
      <c r="D286" s="5">
        <f t="shared" ca="1" si="56"/>
        <v>0</v>
      </c>
      <c r="E286" s="2">
        <f t="shared" ca="1" si="57"/>
        <v>30941144.735876296</v>
      </c>
      <c r="F286" s="2">
        <f t="shared" si="58"/>
        <v>10123687.881559694</v>
      </c>
      <c r="G286" s="2">
        <f t="shared" ca="1" si="50"/>
        <v>3094114.4735876299</v>
      </c>
      <c r="H286" s="5">
        <f t="shared" ca="1" si="51"/>
        <v>1.5565778237801142E-2</v>
      </c>
      <c r="I286" s="2">
        <f t="shared" ca="1" si="52"/>
        <v>47710256.218002453</v>
      </c>
      <c r="J286" s="2">
        <f t="shared" ca="1" si="53"/>
        <v>3112783874.0689344</v>
      </c>
      <c r="K286" s="2">
        <f t="shared" ca="1" si="59"/>
        <v>321055200.52339041</v>
      </c>
      <c r="L286" s="5">
        <f t="shared" ca="1" si="48"/>
        <v>9.6954787494312935</v>
      </c>
    </row>
    <row r="287" spans="1:12" x14ac:dyDescent="0.3">
      <c r="A287" s="1">
        <f t="shared" si="54"/>
        <v>23</v>
      </c>
      <c r="B287" s="1">
        <f t="shared" si="55"/>
        <v>12</v>
      </c>
      <c r="C287" s="2">
        <f t="shared" ca="1" si="49"/>
        <v>3112783874.0689344</v>
      </c>
      <c r="D287" s="5">
        <f t="shared" ca="1" si="56"/>
        <v>0</v>
      </c>
      <c r="E287" s="2">
        <f t="shared" ca="1" si="57"/>
        <v>30941144.735876296</v>
      </c>
      <c r="F287" s="2">
        <f t="shared" si="58"/>
        <v>10123687.881559694</v>
      </c>
      <c r="G287" s="2">
        <f t="shared" ca="1" si="50"/>
        <v>6188228.9471752597</v>
      </c>
      <c r="H287" s="5">
        <f t="shared" ca="1" si="51"/>
        <v>1.6992033119735295E-2</v>
      </c>
      <c r="I287" s="2">
        <f t="shared" ca="1" si="52"/>
        <v>52997677.273980178</v>
      </c>
      <c r="J287" s="2">
        <f t="shared" ca="1" si="53"/>
        <v>3171969780.2900896</v>
      </c>
      <c r="K287" s="2">
        <f t="shared" ca="1" si="59"/>
        <v>321055200.52339041</v>
      </c>
      <c r="L287" s="5">
        <f t="shared" ca="1" si="48"/>
        <v>9.8798268183137452</v>
      </c>
    </row>
    <row r="288" spans="1:12" x14ac:dyDescent="0.3">
      <c r="A288" s="1">
        <f t="shared" si="54"/>
        <v>24</v>
      </c>
      <c r="B288" s="1">
        <f t="shared" si="55"/>
        <v>1</v>
      </c>
      <c r="C288" s="2">
        <f t="shared" ca="1" si="49"/>
        <v>3171969780.2900896</v>
      </c>
      <c r="D288" s="5">
        <f t="shared" ca="1" si="56"/>
        <v>4.8562716439747813E-2</v>
      </c>
      <c r="E288" s="2">
        <f t="shared" ca="1" si="57"/>
        <v>32443730.774005849</v>
      </c>
      <c r="F288" s="2">
        <f t="shared" si="58"/>
        <v>10898150.004499011</v>
      </c>
      <c r="G288" s="2">
        <f t="shared" ca="1" si="50"/>
        <v>3244373.0774005852</v>
      </c>
      <c r="H288" s="5">
        <f t="shared" ca="1" si="51"/>
        <v>1.4817750918349804E-2</v>
      </c>
      <c r="I288" s="2">
        <f t="shared" ca="1" si="52"/>
        <v>47049532.437018424</v>
      </c>
      <c r="J288" s="2">
        <f t="shared" ca="1" si="53"/>
        <v>3222263685.8045087</v>
      </c>
      <c r="K288" s="2">
        <f t="shared" ca="1" si="59"/>
        <v>331292720.0461598</v>
      </c>
      <c r="L288" s="5">
        <f t="shared" ca="1" si="48"/>
        <v>9.7263341173194</v>
      </c>
    </row>
    <row r="289" spans="1:12" x14ac:dyDescent="0.3">
      <c r="A289" s="1">
        <f t="shared" si="54"/>
        <v>24</v>
      </c>
      <c r="B289" s="1">
        <f t="shared" si="55"/>
        <v>2</v>
      </c>
      <c r="C289" s="2">
        <f t="shared" ca="1" si="49"/>
        <v>3222263685.8045087</v>
      </c>
      <c r="D289" s="5">
        <f t="shared" ca="1" si="56"/>
        <v>0</v>
      </c>
      <c r="E289" s="2">
        <f t="shared" ca="1" si="57"/>
        <v>32443730.774005849</v>
      </c>
      <c r="F289" s="2">
        <f t="shared" si="58"/>
        <v>10898150.004499011</v>
      </c>
      <c r="G289" s="2">
        <f t="shared" ca="1" si="50"/>
        <v>3244373.0774005852</v>
      </c>
      <c r="H289" s="5">
        <f t="shared" ca="1" si="51"/>
        <v>1.4325530353465066E-2</v>
      </c>
      <c r="I289" s="2">
        <f t="shared" ca="1" si="52"/>
        <v>46207113.602858976</v>
      </c>
      <c r="J289" s="2">
        <f t="shared" ca="1" si="53"/>
        <v>3271715172.4847684</v>
      </c>
      <c r="K289" s="2">
        <f t="shared" ca="1" si="59"/>
        <v>331292720.0461598</v>
      </c>
      <c r="L289" s="5">
        <f t="shared" ca="1" si="48"/>
        <v>9.8756023737222858</v>
      </c>
    </row>
    <row r="290" spans="1:12" x14ac:dyDescent="0.3">
      <c r="A290" s="1">
        <f t="shared" si="54"/>
        <v>24</v>
      </c>
      <c r="B290" s="1">
        <f t="shared" si="55"/>
        <v>3</v>
      </c>
      <c r="C290" s="2">
        <f t="shared" ca="1" si="49"/>
        <v>3271715172.4847684</v>
      </c>
      <c r="D290" s="5">
        <f t="shared" ca="1" si="56"/>
        <v>0</v>
      </c>
      <c r="E290" s="2">
        <f t="shared" ca="1" si="57"/>
        <v>32443730.774005849</v>
      </c>
      <c r="F290" s="2">
        <f t="shared" si="58"/>
        <v>10898150.004499011</v>
      </c>
      <c r="G290" s="2">
        <f t="shared" ca="1" si="50"/>
        <v>3244373.0774005852</v>
      </c>
      <c r="H290" s="5">
        <f t="shared" ca="1" si="51"/>
        <v>1.7721105777440904E-2</v>
      </c>
      <c r="I290" s="2">
        <f t="shared" ca="1" si="52"/>
        <v>58035904.52374699</v>
      </c>
      <c r="J290" s="2">
        <f t="shared" ca="1" si="53"/>
        <v>3332995450.085916</v>
      </c>
      <c r="K290" s="2">
        <f t="shared" ca="1" si="59"/>
        <v>331292720.0461598</v>
      </c>
      <c r="L290" s="5">
        <f t="shared" ca="1" si="48"/>
        <v>10.06057558289093</v>
      </c>
    </row>
    <row r="291" spans="1:12" x14ac:dyDescent="0.3">
      <c r="A291" s="1">
        <f t="shared" si="54"/>
        <v>24</v>
      </c>
      <c r="B291" s="1">
        <f t="shared" si="55"/>
        <v>4</v>
      </c>
      <c r="C291" s="2">
        <f t="shared" ca="1" si="49"/>
        <v>3332995450.085916</v>
      </c>
      <c r="D291" s="5">
        <f t="shared" ca="1" si="56"/>
        <v>0</v>
      </c>
      <c r="E291" s="2">
        <f t="shared" ca="1" si="57"/>
        <v>32443730.774005849</v>
      </c>
      <c r="F291" s="2">
        <f t="shared" si="58"/>
        <v>10898150.004499011</v>
      </c>
      <c r="G291" s="2">
        <f t="shared" ca="1" si="50"/>
        <v>3244373.0774005852</v>
      </c>
      <c r="H291" s="5">
        <f t="shared" ca="1" si="51"/>
        <v>1.470017237999155E-2</v>
      </c>
      <c r="I291" s="2">
        <f t="shared" ca="1" si="52"/>
        <v>49043300.501493283</v>
      </c>
      <c r="J291" s="2">
        <f t="shared" ca="1" si="53"/>
        <v>3385283123.6648102</v>
      </c>
      <c r="K291" s="2">
        <f t="shared" ca="1" si="59"/>
        <v>331292720.0461598</v>
      </c>
      <c r="L291" s="5">
        <f t="shared" ca="1" si="48"/>
        <v>10.218404808874553</v>
      </c>
    </row>
    <row r="292" spans="1:12" x14ac:dyDescent="0.3">
      <c r="A292" s="1">
        <f t="shared" si="54"/>
        <v>24</v>
      </c>
      <c r="B292" s="1">
        <f t="shared" si="55"/>
        <v>5</v>
      </c>
      <c r="C292" s="2">
        <f t="shared" ca="1" si="49"/>
        <v>3385283123.6648102</v>
      </c>
      <c r="D292" s="5">
        <f t="shared" ca="1" si="56"/>
        <v>0</v>
      </c>
      <c r="E292" s="2">
        <f t="shared" ca="1" si="57"/>
        <v>32443730.774005849</v>
      </c>
      <c r="F292" s="2">
        <f t="shared" si="58"/>
        <v>10898150.004499011</v>
      </c>
      <c r="G292" s="2">
        <f t="shared" ca="1" si="50"/>
        <v>3244373.0774005852</v>
      </c>
      <c r="H292" s="5">
        <f t="shared" ca="1" si="51"/>
        <v>1.6434970081089073E-2</v>
      </c>
      <c r="I292" s="2">
        <f t="shared" ca="1" si="52"/>
        <v>55690348.027905889</v>
      </c>
      <c r="J292" s="2">
        <f t="shared" ca="1" si="53"/>
        <v>3444217844.7701168</v>
      </c>
      <c r="K292" s="2">
        <f t="shared" ca="1" si="59"/>
        <v>331292720.0461598</v>
      </c>
      <c r="L292" s="5">
        <f t="shared" ca="1" si="48"/>
        <v>10.39629800585484</v>
      </c>
    </row>
    <row r="293" spans="1:12" x14ac:dyDescent="0.3">
      <c r="A293" s="1">
        <f t="shared" si="54"/>
        <v>24</v>
      </c>
      <c r="B293" s="1">
        <f t="shared" si="55"/>
        <v>6</v>
      </c>
      <c r="C293" s="2">
        <f t="shared" ca="1" si="49"/>
        <v>3444217844.7701168</v>
      </c>
      <c r="D293" s="5">
        <f t="shared" ca="1" si="56"/>
        <v>0</v>
      </c>
      <c r="E293" s="2">
        <f t="shared" ca="1" si="57"/>
        <v>32443730.774005849</v>
      </c>
      <c r="F293" s="2">
        <f t="shared" si="58"/>
        <v>10898150.004499011</v>
      </c>
      <c r="G293" s="2">
        <f t="shared" ca="1" si="50"/>
        <v>6488746.1548011703</v>
      </c>
      <c r="H293" s="5">
        <f t="shared" ca="1" si="51"/>
        <v>1.2261845155170592E-2</v>
      </c>
      <c r="I293" s="2">
        <f t="shared" ca="1" si="52"/>
        <v>42312029.893847935</v>
      </c>
      <c r="J293" s="2">
        <f t="shared" ca="1" si="53"/>
        <v>3493018620.8187661</v>
      </c>
      <c r="K293" s="2">
        <f t="shared" ca="1" si="59"/>
        <v>331292720.0461598</v>
      </c>
      <c r="L293" s="5">
        <f t="shared" ca="1" si="48"/>
        <v>10.543602106113516</v>
      </c>
    </row>
    <row r="294" spans="1:12" x14ac:dyDescent="0.3">
      <c r="A294" s="1">
        <f t="shared" si="54"/>
        <v>24</v>
      </c>
      <c r="B294" s="1">
        <f t="shared" si="55"/>
        <v>7</v>
      </c>
      <c r="C294" s="2">
        <f t="shared" ca="1" si="49"/>
        <v>3493018620.8187661</v>
      </c>
      <c r="D294" s="5">
        <f t="shared" ca="1" si="56"/>
        <v>0</v>
      </c>
      <c r="E294" s="2">
        <f t="shared" ca="1" si="57"/>
        <v>32443730.774005849</v>
      </c>
      <c r="F294" s="2">
        <f t="shared" si="58"/>
        <v>10898150.004499011</v>
      </c>
      <c r="G294" s="2">
        <f t="shared" ca="1" si="50"/>
        <v>3244373.0774005852</v>
      </c>
      <c r="H294" s="5">
        <f t="shared" ca="1" si="51"/>
        <v>1.3339309133225008E-2</v>
      </c>
      <c r="I294" s="2">
        <f t="shared" ca="1" si="52"/>
        <v>46637732.886635751</v>
      </c>
      <c r="J294" s="2">
        <f t="shared" ca="1" si="53"/>
        <v>3542900726.7828026</v>
      </c>
      <c r="K294" s="2">
        <f t="shared" ca="1" si="59"/>
        <v>331292720.0461598</v>
      </c>
      <c r="L294" s="5">
        <f t="shared" ca="1" si="48"/>
        <v>10.694170177627694</v>
      </c>
    </row>
    <row r="295" spans="1:12" x14ac:dyDescent="0.3">
      <c r="A295" s="1">
        <f t="shared" si="54"/>
        <v>24</v>
      </c>
      <c r="B295" s="1">
        <f t="shared" si="55"/>
        <v>8</v>
      </c>
      <c r="C295" s="2">
        <f t="shared" ca="1" si="49"/>
        <v>3542900726.7828026</v>
      </c>
      <c r="D295" s="5">
        <f t="shared" ca="1" si="56"/>
        <v>0</v>
      </c>
      <c r="E295" s="2">
        <f t="shared" ca="1" si="57"/>
        <v>32443730.774005849</v>
      </c>
      <c r="F295" s="2">
        <f t="shared" si="58"/>
        <v>10898150.004499011</v>
      </c>
      <c r="G295" s="2">
        <f t="shared" ca="1" si="50"/>
        <v>3244373.0774005852</v>
      </c>
      <c r="H295" s="5">
        <f t="shared" ca="1" si="51"/>
        <v>1.2592074796951014E-2</v>
      </c>
      <c r="I295" s="2">
        <f t="shared" ca="1" si="52"/>
        <v>44653324.338280998</v>
      </c>
      <c r="J295" s="2">
        <f t="shared" ca="1" si="53"/>
        <v>3590798424.1984844</v>
      </c>
      <c r="K295" s="2">
        <f t="shared" ca="1" si="59"/>
        <v>331292720.0461598</v>
      </c>
      <c r="L295" s="5">
        <f t="shared" ca="1" si="48"/>
        <v>10.83874835431992</v>
      </c>
    </row>
    <row r="296" spans="1:12" x14ac:dyDescent="0.3">
      <c r="A296" s="1">
        <f t="shared" si="54"/>
        <v>24</v>
      </c>
      <c r="B296" s="1">
        <f t="shared" si="55"/>
        <v>9</v>
      </c>
      <c r="C296" s="2">
        <f t="shared" ca="1" si="49"/>
        <v>3590798424.1984844</v>
      </c>
      <c r="D296" s="5">
        <f t="shared" ca="1" si="56"/>
        <v>0</v>
      </c>
      <c r="E296" s="2">
        <f t="shared" ca="1" si="57"/>
        <v>32443730.774005849</v>
      </c>
      <c r="F296" s="2">
        <f t="shared" si="58"/>
        <v>10898150.004499011</v>
      </c>
      <c r="G296" s="2">
        <f t="shared" ca="1" si="50"/>
        <v>3244373.0774005852</v>
      </c>
      <c r="H296" s="5">
        <f t="shared" ca="1" si="51"/>
        <v>1.4300106981472327E-2</v>
      </c>
      <c r="I296" s="2">
        <f t="shared" ca="1" si="52"/>
        <v>51395196.497035213</v>
      </c>
      <c r="J296" s="2">
        <f t="shared" ca="1" si="53"/>
        <v>3645437993.7729201</v>
      </c>
      <c r="K296" s="2">
        <f t="shared" ca="1" si="59"/>
        <v>331292720.0461598</v>
      </c>
      <c r="L296" s="5">
        <f t="shared" ca="1" si="48"/>
        <v>11.003676728136352</v>
      </c>
    </row>
    <row r="297" spans="1:12" x14ac:dyDescent="0.3">
      <c r="A297" s="1">
        <f t="shared" si="54"/>
        <v>24</v>
      </c>
      <c r="B297" s="1">
        <f t="shared" si="55"/>
        <v>10</v>
      </c>
      <c r="C297" s="2">
        <f t="shared" ca="1" si="49"/>
        <v>3645437993.7729201</v>
      </c>
      <c r="D297" s="5">
        <f t="shared" ca="1" si="56"/>
        <v>0</v>
      </c>
      <c r="E297" s="2">
        <f t="shared" ca="1" si="57"/>
        <v>32443730.774005849</v>
      </c>
      <c r="F297" s="2">
        <f t="shared" si="58"/>
        <v>10898150.004499011</v>
      </c>
      <c r="G297" s="2">
        <f t="shared" ca="1" si="50"/>
        <v>3244373.0774005852</v>
      </c>
      <c r="H297" s="5">
        <f t="shared" ca="1" si="51"/>
        <v>1.6525880695511086E-2</v>
      </c>
      <c r="I297" s="2">
        <f t="shared" ca="1" si="52"/>
        <v>60297689.490383416</v>
      </c>
      <c r="J297" s="2">
        <f t="shared" ca="1" si="53"/>
        <v>3708980056.3407044</v>
      </c>
      <c r="K297" s="2">
        <f t="shared" ca="1" si="59"/>
        <v>331292720.0461598</v>
      </c>
      <c r="L297" s="5">
        <f t="shared" ca="1" si="48"/>
        <v>11.195477086921571</v>
      </c>
    </row>
    <row r="298" spans="1:12" x14ac:dyDescent="0.3">
      <c r="A298" s="1">
        <f t="shared" si="54"/>
        <v>24</v>
      </c>
      <c r="B298" s="1">
        <f t="shared" si="55"/>
        <v>11</v>
      </c>
      <c r="C298" s="2">
        <f t="shared" ca="1" si="49"/>
        <v>3708980056.3407044</v>
      </c>
      <c r="D298" s="5">
        <f t="shared" ca="1" si="56"/>
        <v>0</v>
      </c>
      <c r="E298" s="2">
        <f t="shared" ca="1" si="57"/>
        <v>32443730.774005849</v>
      </c>
      <c r="F298" s="2">
        <f t="shared" si="58"/>
        <v>10898150.004499011</v>
      </c>
      <c r="G298" s="2">
        <f t="shared" ca="1" si="50"/>
        <v>3244373.0774005852</v>
      </c>
      <c r="H298" s="5">
        <f t="shared" ca="1" si="51"/>
        <v>1.5142432220596191E-2</v>
      </c>
      <c r="I298" s="2">
        <f t="shared" ca="1" si="52"/>
        <v>56212106.810105026</v>
      </c>
      <c r="J298" s="2">
        <f t="shared" ca="1" si="53"/>
        <v>3768436536.22821</v>
      </c>
      <c r="K298" s="2">
        <f t="shared" ca="1" si="59"/>
        <v>331292720.0461598</v>
      </c>
      <c r="L298" s="5">
        <f t="shared" ca="1" si="48"/>
        <v>11.374945201642658</v>
      </c>
    </row>
    <row r="299" spans="1:12" x14ac:dyDescent="0.3">
      <c r="A299" s="1">
        <f t="shared" si="54"/>
        <v>24</v>
      </c>
      <c r="B299" s="1">
        <f t="shared" si="55"/>
        <v>12</v>
      </c>
      <c r="C299" s="2">
        <f t="shared" ca="1" si="49"/>
        <v>3768436536.22821</v>
      </c>
      <c r="D299" s="5">
        <f t="shared" ca="1" si="56"/>
        <v>0</v>
      </c>
      <c r="E299" s="2">
        <f t="shared" ca="1" si="57"/>
        <v>32443730.774005849</v>
      </c>
      <c r="F299" s="2">
        <f t="shared" si="58"/>
        <v>10898150.004499011</v>
      </c>
      <c r="G299" s="2">
        <f t="shared" ca="1" si="50"/>
        <v>6488746.1548011703</v>
      </c>
      <c r="H299" s="5">
        <f t="shared" ca="1" si="51"/>
        <v>1.3978963985846971E-2</v>
      </c>
      <c r="I299" s="2">
        <f t="shared" ca="1" si="52"/>
        <v>52769544.57169532</v>
      </c>
      <c r="J299" s="2">
        <f t="shared" ca="1" si="53"/>
        <v>3827694826.9547067</v>
      </c>
      <c r="K299" s="2">
        <f t="shared" ca="1" si="59"/>
        <v>331292720.0461598</v>
      </c>
      <c r="L299" s="5">
        <f t="shared" ca="1" si="48"/>
        <v>11.553815086613991</v>
      </c>
    </row>
    <row r="300" spans="1:12" x14ac:dyDescent="0.3">
      <c r="A300" s="1">
        <f t="shared" si="54"/>
        <v>25</v>
      </c>
      <c r="B300" s="1">
        <f t="shared" si="55"/>
        <v>1</v>
      </c>
      <c r="C300" s="2">
        <f t="shared" ca="1" si="49"/>
        <v>3827694826.9547067</v>
      </c>
      <c r="D300" s="5">
        <f t="shared" ca="1" si="56"/>
        <v>3.6960200226629894E-2</v>
      </c>
      <c r="E300" s="2">
        <f t="shared" ca="1" si="57"/>
        <v>33642857.559511974</v>
      </c>
      <c r="F300" s="2">
        <f t="shared" si="58"/>
        <v>11731858.479843184</v>
      </c>
      <c r="G300" s="2">
        <f t="shared" ca="1" si="50"/>
        <v>3364285.7559511978</v>
      </c>
      <c r="H300" s="5">
        <f t="shared" ca="1" si="51"/>
        <v>1.6879142216044141E-2</v>
      </c>
      <c r="I300" s="2">
        <f t="shared" ca="1" si="52"/>
        <v>64664991.601515077</v>
      </c>
      <c r="J300" s="2">
        <f t="shared" ca="1" si="53"/>
        <v>3895724104.3121734</v>
      </c>
      <c r="K300" s="2">
        <f t="shared" ca="1" si="59"/>
        <v>343750195.05384505</v>
      </c>
      <c r="L300" s="5">
        <f t="shared" ca="1" si="48"/>
        <v>11.333009145498657</v>
      </c>
    </row>
    <row r="301" spans="1:12" x14ac:dyDescent="0.3">
      <c r="A301" s="1">
        <f t="shared" si="54"/>
        <v>25</v>
      </c>
      <c r="B301" s="1">
        <f t="shared" si="55"/>
        <v>2</v>
      </c>
      <c r="C301" s="2">
        <f t="shared" ca="1" si="49"/>
        <v>3895724104.3121734</v>
      </c>
      <c r="D301" s="5">
        <f t="shared" ca="1" si="56"/>
        <v>0</v>
      </c>
      <c r="E301" s="2">
        <f t="shared" ca="1" si="57"/>
        <v>33642857.559511974</v>
      </c>
      <c r="F301" s="2">
        <f t="shared" si="58"/>
        <v>11731858.479843184</v>
      </c>
      <c r="G301" s="2">
        <f t="shared" ca="1" si="50"/>
        <v>3364285.7559511978</v>
      </c>
      <c r="H301" s="5">
        <f t="shared" ca="1" si="51"/>
        <v>1.7810872726595539E-2</v>
      </c>
      <c r="I301" s="2">
        <f t="shared" ca="1" si="52"/>
        <v>69446167.065249667</v>
      </c>
      <c r="J301" s="2">
        <f t="shared" ca="1" si="53"/>
        <v>3968534557.1333742</v>
      </c>
      <c r="K301" s="2">
        <f t="shared" ca="1" si="59"/>
        <v>343750195.05384505</v>
      </c>
      <c r="L301" s="5">
        <f t="shared" ca="1" si="48"/>
        <v>11.544821251699195</v>
      </c>
    </row>
    <row r="302" spans="1:12" x14ac:dyDescent="0.3">
      <c r="A302" s="1">
        <f t="shared" si="54"/>
        <v>25</v>
      </c>
      <c r="B302" s="1">
        <f t="shared" si="55"/>
        <v>3</v>
      </c>
      <c r="C302" s="2">
        <f t="shared" ca="1" si="49"/>
        <v>3968534557.1333742</v>
      </c>
      <c r="D302" s="5">
        <f t="shared" ca="1" si="56"/>
        <v>0</v>
      </c>
      <c r="E302" s="2">
        <f t="shared" ca="1" si="57"/>
        <v>33642857.559511974</v>
      </c>
      <c r="F302" s="2">
        <f t="shared" si="58"/>
        <v>11731858.479843184</v>
      </c>
      <c r="G302" s="2">
        <f t="shared" ca="1" si="50"/>
        <v>3364285.7559511978</v>
      </c>
      <c r="H302" s="5">
        <f t="shared" ca="1" si="51"/>
        <v>1.612626836639186E-2</v>
      </c>
      <c r="I302" s="2">
        <f t="shared" ca="1" si="52"/>
        <v>64051906.664594568</v>
      </c>
      <c r="J302" s="2">
        <f t="shared" ca="1" si="53"/>
        <v>4035950749.5539203</v>
      </c>
      <c r="K302" s="2">
        <f t="shared" ca="1" si="59"/>
        <v>343750195.05384505</v>
      </c>
      <c r="L302" s="5">
        <f t="shared" ca="1" si="48"/>
        <v>11.740940972911242</v>
      </c>
    </row>
    <row r="303" spans="1:12" x14ac:dyDescent="0.3">
      <c r="A303" s="1">
        <f t="shared" si="54"/>
        <v>25</v>
      </c>
      <c r="B303" s="1">
        <f t="shared" si="55"/>
        <v>4</v>
      </c>
      <c r="C303" s="2">
        <f t="shared" ca="1" si="49"/>
        <v>4035950749.5539203</v>
      </c>
      <c r="D303" s="5">
        <f t="shared" ca="1" si="56"/>
        <v>0</v>
      </c>
      <c r="E303" s="2">
        <f t="shared" ca="1" si="57"/>
        <v>33642857.559511974</v>
      </c>
      <c r="F303" s="2">
        <f t="shared" si="58"/>
        <v>11731858.479843184</v>
      </c>
      <c r="G303" s="2">
        <f t="shared" ca="1" si="50"/>
        <v>3364285.7559511978</v>
      </c>
      <c r="H303" s="5">
        <f t="shared" ca="1" si="51"/>
        <v>1.5094690206558514E-2</v>
      </c>
      <c r="I303" s="2">
        <f t="shared" ca="1" si="52"/>
        <v>60972209.104696482</v>
      </c>
      <c r="J303" s="2">
        <f t="shared" ca="1" si="53"/>
        <v>4100287244.4145679</v>
      </c>
      <c r="K303" s="2">
        <f t="shared" ca="1" si="59"/>
        <v>343750195.05384505</v>
      </c>
      <c r="L303" s="5">
        <f t="shared" ca="1" si="48"/>
        <v>11.928101579032701</v>
      </c>
    </row>
    <row r="304" spans="1:12" x14ac:dyDescent="0.3">
      <c r="A304" s="1">
        <f t="shared" si="54"/>
        <v>25</v>
      </c>
      <c r="B304" s="1">
        <f t="shared" si="55"/>
        <v>5</v>
      </c>
      <c r="C304" s="2">
        <f t="shared" ca="1" si="49"/>
        <v>4100287244.4145679</v>
      </c>
      <c r="D304" s="5">
        <f t="shared" ca="1" si="56"/>
        <v>0</v>
      </c>
      <c r="E304" s="2">
        <f t="shared" ca="1" si="57"/>
        <v>33642857.559511974</v>
      </c>
      <c r="F304" s="2">
        <f t="shared" si="58"/>
        <v>11731858.479843184</v>
      </c>
      <c r="G304" s="2">
        <f t="shared" ca="1" si="50"/>
        <v>3364285.7559511978</v>
      </c>
      <c r="H304" s="5">
        <f t="shared" ca="1" si="51"/>
        <v>1.5417265736748398E-2</v>
      </c>
      <c r="I304" s="2">
        <f t="shared" ca="1" si="52"/>
        <v>63267086.131653085</v>
      </c>
      <c r="J304" s="2">
        <f t="shared" ca="1" si="53"/>
        <v>4166918616.3021727</v>
      </c>
      <c r="K304" s="2">
        <f t="shared" ca="1" si="59"/>
        <v>343750195.05384505</v>
      </c>
      <c r="L304" s="5">
        <f t="shared" ca="1" si="48"/>
        <v>12.121938187262604</v>
      </c>
    </row>
    <row r="305" spans="1:12" x14ac:dyDescent="0.3">
      <c r="A305" s="1">
        <f t="shared" si="54"/>
        <v>25</v>
      </c>
      <c r="B305" s="1">
        <f t="shared" si="55"/>
        <v>6</v>
      </c>
      <c r="C305" s="2">
        <f t="shared" ca="1" si="49"/>
        <v>4166918616.3021727</v>
      </c>
      <c r="D305" s="5">
        <f t="shared" ca="1" si="56"/>
        <v>0</v>
      </c>
      <c r="E305" s="2">
        <f t="shared" ca="1" si="57"/>
        <v>33642857.559511974</v>
      </c>
      <c r="F305" s="2">
        <f t="shared" si="58"/>
        <v>11731858.479843184</v>
      </c>
      <c r="G305" s="2">
        <f t="shared" ca="1" si="50"/>
        <v>6728571.5119023956</v>
      </c>
      <c r="H305" s="5">
        <f t="shared" ca="1" si="51"/>
        <v>1.2406408568800043E-2</v>
      </c>
      <c r="I305" s="2">
        <f t="shared" ca="1" si="52"/>
        <v>51779972.234044738</v>
      </c>
      <c r="J305" s="2">
        <f t="shared" ca="1" si="53"/>
        <v>4225427160.0481195</v>
      </c>
      <c r="K305" s="2">
        <f t="shared" ca="1" si="59"/>
        <v>343750195.05384505</v>
      </c>
      <c r="L305" s="5">
        <f t="shared" ca="1" si="48"/>
        <v>12.292144763397875</v>
      </c>
    </row>
    <row r="306" spans="1:12" x14ac:dyDescent="0.3">
      <c r="A306" s="1">
        <f t="shared" si="54"/>
        <v>25</v>
      </c>
      <c r="B306" s="1">
        <f t="shared" si="55"/>
        <v>7</v>
      </c>
      <c r="C306" s="2">
        <f t="shared" ca="1" si="49"/>
        <v>4225427160.0481195</v>
      </c>
      <c r="D306" s="5">
        <f t="shared" ca="1" si="56"/>
        <v>0</v>
      </c>
      <c r="E306" s="2">
        <f t="shared" ca="1" si="57"/>
        <v>33642857.559511974</v>
      </c>
      <c r="F306" s="2">
        <f t="shared" si="58"/>
        <v>11731858.479843184</v>
      </c>
      <c r="G306" s="2">
        <f t="shared" ca="1" si="50"/>
        <v>3364285.7559511978</v>
      </c>
      <c r="H306" s="5">
        <f t="shared" ca="1" si="51"/>
        <v>1.4430067122595869E-2</v>
      </c>
      <c r="I306" s="2">
        <f t="shared" ca="1" si="52"/>
        <v>61021744.410411976</v>
      </c>
      <c r="J306" s="2">
        <f t="shared" ca="1" si="53"/>
        <v>4289813190.2144828</v>
      </c>
      <c r="K306" s="2">
        <f t="shared" ca="1" si="59"/>
        <v>343750195.05384505</v>
      </c>
      <c r="L306" s="5">
        <f t="shared" ca="1" si="48"/>
        <v>12.479449472145102</v>
      </c>
    </row>
    <row r="307" spans="1:12" x14ac:dyDescent="0.3">
      <c r="A307" s="1">
        <f t="shared" si="54"/>
        <v>25</v>
      </c>
      <c r="B307" s="1">
        <f t="shared" si="55"/>
        <v>8</v>
      </c>
      <c r="C307" s="2">
        <f t="shared" ca="1" si="49"/>
        <v>4289813190.2144828</v>
      </c>
      <c r="D307" s="5">
        <f t="shared" ca="1" si="56"/>
        <v>0</v>
      </c>
      <c r="E307" s="2">
        <f t="shared" ca="1" si="57"/>
        <v>33642857.559511974</v>
      </c>
      <c r="F307" s="2">
        <f t="shared" si="58"/>
        <v>11731858.479843184</v>
      </c>
      <c r="G307" s="2">
        <f t="shared" ca="1" si="50"/>
        <v>3364285.7559511978</v>
      </c>
      <c r="H307" s="5">
        <f t="shared" ca="1" si="51"/>
        <v>1.6103215575027363E-2</v>
      </c>
      <c r="I307" s="2">
        <f t="shared" ca="1" si="52"/>
        <v>69133962.397403762</v>
      </c>
      <c r="J307" s="2">
        <f t="shared" ca="1" si="53"/>
        <v>4362311438.3678379</v>
      </c>
      <c r="K307" s="2">
        <f t="shared" ca="1" si="59"/>
        <v>343750195.05384505</v>
      </c>
      <c r="L307" s="5">
        <f t="shared" ca="1" si="48"/>
        <v>12.690353347099993</v>
      </c>
    </row>
    <row r="308" spans="1:12" x14ac:dyDescent="0.3">
      <c r="A308" s="1">
        <f t="shared" si="54"/>
        <v>25</v>
      </c>
      <c r="B308" s="1">
        <f t="shared" si="55"/>
        <v>9</v>
      </c>
      <c r="C308" s="2">
        <f t="shared" ca="1" si="49"/>
        <v>4362311438.3678379</v>
      </c>
      <c r="D308" s="5">
        <f t="shared" ca="1" si="56"/>
        <v>0</v>
      </c>
      <c r="E308" s="2">
        <f t="shared" ca="1" si="57"/>
        <v>33642857.559511974</v>
      </c>
      <c r="F308" s="2">
        <f t="shared" si="58"/>
        <v>11731858.479843184</v>
      </c>
      <c r="G308" s="2">
        <f t="shared" ca="1" si="50"/>
        <v>3364285.7559511978</v>
      </c>
      <c r="H308" s="5">
        <f t="shared" ca="1" si="51"/>
        <v>1.6432481496432283E-2</v>
      </c>
      <c r="I308" s="2">
        <f t="shared" ca="1" si="52"/>
        <v>71738885.556087762</v>
      </c>
      <c r="J308" s="2">
        <f t="shared" ca="1" si="53"/>
        <v>4437414609.6798763</v>
      </c>
      <c r="K308" s="2">
        <f t="shared" ca="1" si="59"/>
        <v>343750195.05384505</v>
      </c>
      <c r="L308" s="5">
        <f t="shared" ca="1" si="48"/>
        <v>12.908835176034735</v>
      </c>
    </row>
    <row r="309" spans="1:12" x14ac:dyDescent="0.3">
      <c r="A309" s="1">
        <f t="shared" si="54"/>
        <v>25</v>
      </c>
      <c r="B309" s="1">
        <f t="shared" si="55"/>
        <v>10</v>
      </c>
      <c r="C309" s="2">
        <f t="shared" ca="1" si="49"/>
        <v>4437414609.6798763</v>
      </c>
      <c r="D309" s="5">
        <f t="shared" ca="1" si="56"/>
        <v>0</v>
      </c>
      <c r="E309" s="2">
        <f t="shared" ca="1" si="57"/>
        <v>33642857.559511974</v>
      </c>
      <c r="F309" s="2">
        <f t="shared" si="58"/>
        <v>11731858.479843184</v>
      </c>
      <c r="G309" s="2">
        <f t="shared" ca="1" si="50"/>
        <v>3364285.7559511978</v>
      </c>
      <c r="H309" s="5">
        <f t="shared" ca="1" si="51"/>
        <v>1.6430469425953609E-2</v>
      </c>
      <c r="I309" s="2">
        <f t="shared" ca="1" si="52"/>
        <v>72964081.868878394</v>
      </c>
      <c r="J309" s="2">
        <f t="shared" ca="1" si="53"/>
        <v>4513742977.3047056</v>
      </c>
      <c r="K309" s="2">
        <f t="shared" ca="1" si="59"/>
        <v>343750195.05384505</v>
      </c>
      <c r="L309" s="5">
        <f t="shared" ca="1" si="48"/>
        <v>13.130881210402434</v>
      </c>
    </row>
    <row r="310" spans="1:12" x14ac:dyDescent="0.3">
      <c r="A310" s="1">
        <f t="shared" si="54"/>
        <v>25</v>
      </c>
      <c r="B310" s="1">
        <f t="shared" si="55"/>
        <v>11</v>
      </c>
      <c r="C310" s="2">
        <f t="shared" ca="1" si="49"/>
        <v>4513742977.3047056</v>
      </c>
      <c r="D310" s="5">
        <f t="shared" ca="1" si="56"/>
        <v>0</v>
      </c>
      <c r="E310" s="2">
        <f t="shared" ca="1" si="57"/>
        <v>33642857.559511974</v>
      </c>
      <c r="F310" s="2">
        <f t="shared" si="58"/>
        <v>11731858.479843184</v>
      </c>
      <c r="G310" s="2">
        <f t="shared" ca="1" si="50"/>
        <v>3364285.7559511978</v>
      </c>
      <c r="H310" s="5">
        <f t="shared" ca="1" si="51"/>
        <v>1.2014331498916064E-2</v>
      </c>
      <c r="I310" s="2">
        <f t="shared" ca="1" si="52"/>
        <v>54270024.074572176</v>
      </c>
      <c r="J310" s="2">
        <f t="shared" ca="1" si="53"/>
        <v>4571377287.1352291</v>
      </c>
      <c r="K310" s="2">
        <f t="shared" ca="1" si="59"/>
        <v>343750195.05384505</v>
      </c>
      <c r="L310" s="5">
        <f t="shared" ca="1" si="48"/>
        <v>13.298544562045029</v>
      </c>
    </row>
    <row r="311" spans="1:12" x14ac:dyDescent="0.3">
      <c r="A311" s="1">
        <f t="shared" si="54"/>
        <v>25</v>
      </c>
      <c r="B311" s="1">
        <f t="shared" si="55"/>
        <v>12</v>
      </c>
      <c r="C311" s="2">
        <f t="shared" ca="1" si="49"/>
        <v>4571377287.1352291</v>
      </c>
      <c r="D311" s="5">
        <f t="shared" ca="1" si="56"/>
        <v>0</v>
      </c>
      <c r="E311" s="2">
        <f t="shared" ca="1" si="57"/>
        <v>33642857.559511974</v>
      </c>
      <c r="F311" s="2">
        <f t="shared" si="58"/>
        <v>11731858.479843184</v>
      </c>
      <c r="G311" s="2">
        <f t="shared" ca="1" si="50"/>
        <v>6728571.5119023956</v>
      </c>
      <c r="H311" s="5">
        <f t="shared" ca="1" si="51"/>
        <v>1.9206993091757329E-2</v>
      </c>
      <c r="I311" s="2">
        <f t="shared" ca="1" si="52"/>
        <v>87931647.600369215</v>
      </c>
      <c r="J311" s="2">
        <f t="shared" ca="1" si="53"/>
        <v>4666037506.2475014</v>
      </c>
      <c r="K311" s="2">
        <f t="shared" ca="1" si="59"/>
        <v>343750195.05384505</v>
      </c>
      <c r="L311" s="5">
        <f t="shared" ca="1" si="48"/>
        <v>13.573919588661216</v>
      </c>
    </row>
    <row r="312" spans="1:12" x14ac:dyDescent="0.3">
      <c r="A312" s="1">
        <f t="shared" si="54"/>
        <v>26</v>
      </c>
      <c r="B312" s="1">
        <f t="shared" si="55"/>
        <v>1</v>
      </c>
      <c r="C312" s="2">
        <f t="shared" ca="1" si="49"/>
        <v>4666037506.2475014</v>
      </c>
      <c r="D312" s="5">
        <f t="shared" ca="1" si="56"/>
        <v>3.185811480162979E-2</v>
      </c>
      <c r="E312" s="2">
        <f t="shared" ca="1" si="57"/>
        <v>34714655.57789778</v>
      </c>
      <c r="F312" s="2">
        <f t="shared" si="58"/>
        <v>12629345.653551187</v>
      </c>
      <c r="G312" s="2">
        <f t="shared" ca="1" si="50"/>
        <v>3471465.5577897783</v>
      </c>
      <c r="H312" s="5">
        <f t="shared" ca="1" si="51"/>
        <v>1.5294204573769843E-2</v>
      </c>
      <c r="I312" s="2">
        <f t="shared" ca="1" si="52"/>
        <v>71416425.473843798</v>
      </c>
      <c r="J312" s="2">
        <f t="shared" ca="1" si="53"/>
        <v>4740925397.2791348</v>
      </c>
      <c r="K312" s="2">
        <f t="shared" ca="1" si="59"/>
        <v>354312387.32282948</v>
      </c>
      <c r="L312" s="5">
        <f t="shared" ca="1" si="48"/>
        <v>13.380636881203566</v>
      </c>
    </row>
    <row r="313" spans="1:12" x14ac:dyDescent="0.3">
      <c r="A313" s="1">
        <f t="shared" si="54"/>
        <v>26</v>
      </c>
      <c r="B313" s="1">
        <f t="shared" si="55"/>
        <v>2</v>
      </c>
      <c r="C313" s="2">
        <f t="shared" ca="1" si="49"/>
        <v>4740925397.2791348</v>
      </c>
      <c r="D313" s="5">
        <f t="shared" ca="1" si="56"/>
        <v>0</v>
      </c>
      <c r="E313" s="2">
        <f t="shared" ca="1" si="57"/>
        <v>34714655.57789778</v>
      </c>
      <c r="F313" s="2">
        <f t="shared" si="58"/>
        <v>12629345.653551187</v>
      </c>
      <c r="G313" s="2">
        <f t="shared" ca="1" si="50"/>
        <v>3471465.5577897783</v>
      </c>
      <c r="H313" s="5">
        <f t="shared" ca="1" si="51"/>
        <v>1.9632901831718952E-2</v>
      </c>
      <c r="I313" s="2">
        <f t="shared" ca="1" si="52"/>
        <v>93146277.858792707</v>
      </c>
      <c r="J313" s="2">
        <f t="shared" ca="1" si="53"/>
        <v>4837543140.6957169</v>
      </c>
      <c r="K313" s="2">
        <f t="shared" ca="1" si="59"/>
        <v>354312387.32282948</v>
      </c>
      <c r="L313" s="5">
        <f t="shared" ca="1" si="48"/>
        <v>13.653327723729907</v>
      </c>
    </row>
    <row r="314" spans="1:12" x14ac:dyDescent="0.3">
      <c r="A314" s="1">
        <f t="shared" si="54"/>
        <v>26</v>
      </c>
      <c r="B314" s="1">
        <f t="shared" si="55"/>
        <v>3</v>
      </c>
      <c r="C314" s="2">
        <f t="shared" ca="1" si="49"/>
        <v>4837543140.6957169</v>
      </c>
      <c r="D314" s="5">
        <f t="shared" ca="1" si="56"/>
        <v>0</v>
      </c>
      <c r="E314" s="2">
        <f t="shared" ca="1" si="57"/>
        <v>34714655.57789778</v>
      </c>
      <c r="F314" s="2">
        <f t="shared" si="58"/>
        <v>12629345.653551187</v>
      </c>
      <c r="G314" s="2">
        <f t="shared" ca="1" si="50"/>
        <v>3471465.5577897783</v>
      </c>
      <c r="H314" s="5">
        <f t="shared" ca="1" si="51"/>
        <v>1.7720526711588525E-2</v>
      </c>
      <c r="I314" s="2">
        <f t="shared" ca="1" si="52"/>
        <v>85785328.641305462</v>
      </c>
      <c r="J314" s="2">
        <f t="shared" ca="1" si="53"/>
        <v>4926799934.8948126</v>
      </c>
      <c r="K314" s="2">
        <f t="shared" ca="1" si="59"/>
        <v>354312387.32282948</v>
      </c>
      <c r="L314" s="5">
        <f t="shared" ca="1" si="48"/>
        <v>13.905243257571433</v>
      </c>
    </row>
    <row r="315" spans="1:12" x14ac:dyDescent="0.3">
      <c r="A315" s="1">
        <f t="shared" si="54"/>
        <v>26</v>
      </c>
      <c r="B315" s="1">
        <f t="shared" si="55"/>
        <v>4</v>
      </c>
      <c r="C315" s="2">
        <f t="shared" ca="1" si="49"/>
        <v>4926799934.8948126</v>
      </c>
      <c r="D315" s="5">
        <f t="shared" ca="1" si="56"/>
        <v>0</v>
      </c>
      <c r="E315" s="2">
        <f t="shared" ca="1" si="57"/>
        <v>34714655.57789778</v>
      </c>
      <c r="F315" s="2">
        <f t="shared" si="58"/>
        <v>12629345.653551187</v>
      </c>
      <c r="G315" s="2">
        <f t="shared" ca="1" si="50"/>
        <v>3471465.5577897783</v>
      </c>
      <c r="H315" s="5">
        <f t="shared" ca="1" si="51"/>
        <v>1.6830534780654993E-2</v>
      </c>
      <c r="I315" s="2">
        <f t="shared" ca="1" si="52"/>
        <v>82979104.283386126</v>
      </c>
      <c r="J315" s="2">
        <f t="shared" ca="1" si="53"/>
        <v>5013250504.7359886</v>
      </c>
      <c r="K315" s="2">
        <f t="shared" ca="1" si="59"/>
        <v>354312387.32282948</v>
      </c>
      <c r="L315" s="5">
        <f t="shared" ca="1" si="48"/>
        <v>14.149238593140684</v>
      </c>
    </row>
    <row r="316" spans="1:12" x14ac:dyDescent="0.3">
      <c r="A316" s="1">
        <f t="shared" si="54"/>
        <v>26</v>
      </c>
      <c r="B316" s="1">
        <f t="shared" si="55"/>
        <v>5</v>
      </c>
      <c r="C316" s="2">
        <f t="shared" ca="1" si="49"/>
        <v>5013250504.7359886</v>
      </c>
      <c r="D316" s="5">
        <f t="shared" ca="1" si="56"/>
        <v>0</v>
      </c>
      <c r="E316" s="2">
        <f t="shared" ca="1" si="57"/>
        <v>34714655.57789778</v>
      </c>
      <c r="F316" s="2">
        <f t="shared" si="58"/>
        <v>12629345.653551187</v>
      </c>
      <c r="G316" s="2">
        <f t="shared" ca="1" si="50"/>
        <v>3471465.5577897783</v>
      </c>
      <c r="H316" s="5">
        <f t="shared" ca="1" si="51"/>
        <v>1.7052442272744939E-2</v>
      </c>
      <c r="I316" s="2">
        <f t="shared" ca="1" si="52"/>
        <v>85547361.796845913</v>
      </c>
      <c r="J316" s="2">
        <f t="shared" ca="1" si="53"/>
        <v>5102269332.0906239</v>
      </c>
      <c r="K316" s="2">
        <f t="shared" ca="1" si="59"/>
        <v>354312387.32282948</v>
      </c>
      <c r="L316" s="5">
        <f t="shared" ca="1" si="48"/>
        <v>14.40048249693772</v>
      </c>
    </row>
    <row r="317" spans="1:12" x14ac:dyDescent="0.3">
      <c r="A317" s="1">
        <f t="shared" si="54"/>
        <v>26</v>
      </c>
      <c r="B317" s="1">
        <f t="shared" si="55"/>
        <v>6</v>
      </c>
      <c r="C317" s="2">
        <f t="shared" ca="1" si="49"/>
        <v>5102269332.0906239</v>
      </c>
      <c r="D317" s="5">
        <f t="shared" ca="1" si="56"/>
        <v>0</v>
      </c>
      <c r="E317" s="2">
        <f t="shared" ca="1" si="57"/>
        <v>34714655.57789778</v>
      </c>
      <c r="F317" s="2">
        <f t="shared" si="58"/>
        <v>12629345.653551187</v>
      </c>
      <c r="G317" s="2">
        <f t="shared" ca="1" si="50"/>
        <v>6942931.1155795567</v>
      </c>
      <c r="H317" s="5">
        <f t="shared" ca="1" si="51"/>
        <v>1.7474583862605586E-2</v>
      </c>
      <c r="I317" s="2">
        <f t="shared" ca="1" si="52"/>
        <v>89281358.16524969</v>
      </c>
      <c r="J317" s="2">
        <f t="shared" ca="1" si="53"/>
        <v>5198493621.3714533</v>
      </c>
      <c r="K317" s="2">
        <f t="shared" ca="1" si="59"/>
        <v>354312387.32282948</v>
      </c>
      <c r="L317" s="5">
        <f t="shared" ca="1" si="48"/>
        <v>14.67206286703964</v>
      </c>
    </row>
    <row r="318" spans="1:12" x14ac:dyDescent="0.3">
      <c r="A318" s="1">
        <f t="shared" si="54"/>
        <v>26</v>
      </c>
      <c r="B318" s="1">
        <f t="shared" si="55"/>
        <v>7</v>
      </c>
      <c r="C318" s="2">
        <f t="shared" ca="1" si="49"/>
        <v>5198493621.3714533</v>
      </c>
      <c r="D318" s="5">
        <f t="shared" ca="1" si="56"/>
        <v>0</v>
      </c>
      <c r="E318" s="2">
        <f t="shared" ca="1" si="57"/>
        <v>34714655.57789778</v>
      </c>
      <c r="F318" s="2">
        <f t="shared" si="58"/>
        <v>12629345.653551187</v>
      </c>
      <c r="G318" s="2">
        <f t="shared" ca="1" si="50"/>
        <v>3471465.5577897783</v>
      </c>
      <c r="H318" s="5">
        <f t="shared" ca="1" si="51"/>
        <v>1.3605328282229046E-2</v>
      </c>
      <c r="I318" s="2">
        <f t="shared" ca="1" si="52"/>
        <v>70774442.720366508</v>
      </c>
      <c r="J318" s="2">
        <f t="shared" ca="1" si="53"/>
        <v>5272739529.6496096</v>
      </c>
      <c r="K318" s="2">
        <f t="shared" ca="1" si="59"/>
        <v>354312387.32282948</v>
      </c>
      <c r="L318" s="5">
        <f t="shared" ca="1" si="48"/>
        <v>14.88161215443305</v>
      </c>
    </row>
    <row r="319" spans="1:12" x14ac:dyDescent="0.3">
      <c r="A319" s="1">
        <f t="shared" si="54"/>
        <v>26</v>
      </c>
      <c r="B319" s="1">
        <f t="shared" si="55"/>
        <v>8</v>
      </c>
      <c r="C319" s="2">
        <f t="shared" ca="1" si="49"/>
        <v>5272739529.6496096</v>
      </c>
      <c r="D319" s="5">
        <f t="shared" ca="1" si="56"/>
        <v>0</v>
      </c>
      <c r="E319" s="2">
        <f t="shared" ca="1" si="57"/>
        <v>34714655.57789778</v>
      </c>
      <c r="F319" s="2">
        <f t="shared" si="58"/>
        <v>12629345.653551187</v>
      </c>
      <c r="G319" s="2">
        <f t="shared" ca="1" si="50"/>
        <v>3471465.5577897783</v>
      </c>
      <c r="H319" s="5">
        <f t="shared" ca="1" si="51"/>
        <v>1.5527473011662352E-2</v>
      </c>
      <c r="I319" s="2">
        <f t="shared" ca="1" si="52"/>
        <v>81926223.831919044</v>
      </c>
      <c r="J319" s="2">
        <f t="shared" ca="1" si="53"/>
        <v>5358137219.0393181</v>
      </c>
      <c r="K319" s="2">
        <f t="shared" ca="1" si="59"/>
        <v>354312387.32282948</v>
      </c>
      <c r="L319" s="5">
        <f t="shared" ca="1" si="48"/>
        <v>15.122635873741793</v>
      </c>
    </row>
    <row r="320" spans="1:12" x14ac:dyDescent="0.3">
      <c r="A320" s="1">
        <f t="shared" si="54"/>
        <v>26</v>
      </c>
      <c r="B320" s="1">
        <f t="shared" si="55"/>
        <v>9</v>
      </c>
      <c r="C320" s="2">
        <f t="shared" ca="1" si="49"/>
        <v>5358137219.0393181</v>
      </c>
      <c r="D320" s="5">
        <f t="shared" ca="1" si="56"/>
        <v>0</v>
      </c>
      <c r="E320" s="2">
        <f t="shared" ca="1" si="57"/>
        <v>34714655.57789778</v>
      </c>
      <c r="F320" s="2">
        <f t="shared" si="58"/>
        <v>12629345.653551187</v>
      </c>
      <c r="G320" s="2">
        <f t="shared" ca="1" si="50"/>
        <v>3471465.5577897783</v>
      </c>
      <c r="H320" s="5">
        <f t="shared" ca="1" si="51"/>
        <v>1.7261239882120805E-2</v>
      </c>
      <c r="I320" s="2">
        <f t="shared" ca="1" si="52"/>
        <v>92548013.65889287</v>
      </c>
      <c r="J320" s="2">
        <f t="shared" ca="1" si="53"/>
        <v>5454156698.2560005</v>
      </c>
      <c r="K320" s="2">
        <f t="shared" ca="1" si="59"/>
        <v>354312387.32282948</v>
      </c>
      <c r="L320" s="5">
        <f t="shared" ca="1" si="48"/>
        <v>15.393638194440207</v>
      </c>
    </row>
    <row r="321" spans="1:12" x14ac:dyDescent="0.3">
      <c r="A321" s="1">
        <f t="shared" si="54"/>
        <v>26</v>
      </c>
      <c r="B321" s="1">
        <f t="shared" si="55"/>
        <v>10</v>
      </c>
      <c r="C321" s="2">
        <f t="shared" ca="1" si="49"/>
        <v>5454156698.2560005</v>
      </c>
      <c r="D321" s="5">
        <f t="shared" ca="1" si="56"/>
        <v>0</v>
      </c>
      <c r="E321" s="2">
        <f t="shared" ca="1" si="57"/>
        <v>34714655.57789778</v>
      </c>
      <c r="F321" s="2">
        <f t="shared" si="58"/>
        <v>12629345.653551187</v>
      </c>
      <c r="G321" s="2">
        <f t="shared" ca="1" si="50"/>
        <v>3471465.5577897783</v>
      </c>
      <c r="H321" s="5">
        <f t="shared" ca="1" si="51"/>
        <v>1.5140138284927218E-2</v>
      </c>
      <c r="I321" s="2">
        <f t="shared" ca="1" si="52"/>
        <v>82629245.107854202</v>
      </c>
      <c r="J321" s="2">
        <f t="shared" ca="1" si="53"/>
        <v>5540257408.9216442</v>
      </c>
      <c r="K321" s="2">
        <f t="shared" ca="1" si="59"/>
        <v>354312387.32282948</v>
      </c>
      <c r="L321" s="5">
        <f t="shared" ca="1" si="48"/>
        <v>15.636646098612617</v>
      </c>
    </row>
    <row r="322" spans="1:12" x14ac:dyDescent="0.3">
      <c r="A322" s="1">
        <f t="shared" si="54"/>
        <v>26</v>
      </c>
      <c r="B322" s="1">
        <f t="shared" si="55"/>
        <v>11</v>
      </c>
      <c r="C322" s="2">
        <f t="shared" ca="1" si="49"/>
        <v>5540257408.9216442</v>
      </c>
      <c r="D322" s="5">
        <f t="shared" ca="1" si="56"/>
        <v>0</v>
      </c>
      <c r="E322" s="2">
        <f t="shared" ca="1" si="57"/>
        <v>34714655.57789778</v>
      </c>
      <c r="F322" s="2">
        <f t="shared" si="58"/>
        <v>12629345.653551187</v>
      </c>
      <c r="G322" s="2">
        <f t="shared" ca="1" si="50"/>
        <v>3471465.5577897783</v>
      </c>
      <c r="H322" s="5">
        <f t="shared" ca="1" si="51"/>
        <v>1.1997718535379454E-2</v>
      </c>
      <c r="I322" s="2">
        <f t="shared" ca="1" si="52"/>
        <v>66512098.672460184</v>
      </c>
      <c r="J322" s="2">
        <f t="shared" ca="1" si="53"/>
        <v>5610240973.1518946</v>
      </c>
      <c r="K322" s="2">
        <f t="shared" ca="1" si="59"/>
        <v>354312387.32282948</v>
      </c>
      <c r="L322" s="5">
        <f t="shared" ca="1" si="48"/>
        <v>15.834165481886354</v>
      </c>
    </row>
    <row r="323" spans="1:12" x14ac:dyDescent="0.3">
      <c r="A323" s="1">
        <f t="shared" si="54"/>
        <v>26</v>
      </c>
      <c r="B323" s="1">
        <f t="shared" si="55"/>
        <v>12</v>
      </c>
      <c r="C323" s="2">
        <f t="shared" ca="1" si="49"/>
        <v>5610240973.1518946</v>
      </c>
      <c r="D323" s="5">
        <f t="shared" ca="1" si="56"/>
        <v>0</v>
      </c>
      <c r="E323" s="2">
        <f t="shared" ca="1" si="57"/>
        <v>34714655.57789778</v>
      </c>
      <c r="F323" s="2">
        <f t="shared" si="58"/>
        <v>12629345.653551187</v>
      </c>
      <c r="G323" s="2">
        <f t="shared" ca="1" si="50"/>
        <v>6942931.1155795567</v>
      </c>
      <c r="H323" s="5">
        <f t="shared" ca="1" si="51"/>
        <v>1.7936016126781196E-2</v>
      </c>
      <c r="I323" s="2">
        <f t="shared" ca="1" si="52"/>
        <v>100749901.09403718</v>
      </c>
      <c r="J323" s="2">
        <f t="shared" ca="1" si="53"/>
        <v>5717933805.3615112</v>
      </c>
      <c r="K323" s="2">
        <f t="shared" ca="1" si="59"/>
        <v>354312387.32282948</v>
      </c>
      <c r="L323" s="5">
        <f t="shared" ca="1" si="48"/>
        <v>16.138114302370276</v>
      </c>
    </row>
    <row r="324" spans="1:12" x14ac:dyDescent="0.3">
      <c r="A324" s="1">
        <f t="shared" si="54"/>
        <v>27</v>
      </c>
      <c r="B324" s="1">
        <f t="shared" si="55"/>
        <v>1</v>
      </c>
      <c r="C324" s="2">
        <f t="shared" ca="1" si="49"/>
        <v>5717933805.3615112</v>
      </c>
      <c r="D324" s="5">
        <f t="shared" ca="1" si="56"/>
        <v>6.6308223830261331E-2</v>
      </c>
      <c r="E324" s="2">
        <f t="shared" ca="1" si="57"/>
        <v>37016522.730147451</v>
      </c>
      <c r="F324" s="2">
        <f t="shared" si="58"/>
        <v>13595490.596047854</v>
      </c>
      <c r="G324" s="2">
        <f t="shared" ca="1" si="50"/>
        <v>3701652.2730147452</v>
      </c>
      <c r="H324" s="5">
        <f t="shared" ca="1" si="51"/>
        <v>1.4909307814039874E-2</v>
      </c>
      <c r="I324" s="2">
        <f t="shared" ca="1" si="52"/>
        <v>85305624.237598047</v>
      </c>
      <c r="J324" s="2">
        <f t="shared" ca="1" si="53"/>
        <v>5806941081.8721247</v>
      </c>
      <c r="K324" s="2">
        <f t="shared" ca="1" si="59"/>
        <v>369781316.5869838</v>
      </c>
      <c r="L324" s="5">
        <f t="shared" ca="1" si="48"/>
        <v>15.70371682233479</v>
      </c>
    </row>
    <row r="325" spans="1:12" x14ac:dyDescent="0.3">
      <c r="A325" s="1">
        <f t="shared" si="54"/>
        <v>27</v>
      </c>
      <c r="B325" s="1">
        <f t="shared" si="55"/>
        <v>2</v>
      </c>
      <c r="C325" s="2">
        <f t="shared" ca="1" si="49"/>
        <v>5806941081.8721247</v>
      </c>
      <c r="D325" s="5">
        <f t="shared" ca="1" si="56"/>
        <v>0</v>
      </c>
      <c r="E325" s="2">
        <f t="shared" ca="1" si="57"/>
        <v>37016522.730147451</v>
      </c>
      <c r="F325" s="2">
        <f t="shared" si="58"/>
        <v>13595490.596047854</v>
      </c>
      <c r="G325" s="2">
        <f t="shared" ca="1" si="50"/>
        <v>3701652.2730147452</v>
      </c>
      <c r="H325" s="5">
        <f t="shared" ca="1" si="51"/>
        <v>1.5326651388140267E-2</v>
      </c>
      <c r="I325" s="2">
        <f t="shared" ca="1" si="52"/>
        <v>89057695.527272761</v>
      </c>
      <c r="J325" s="2">
        <f t="shared" ca="1" si="53"/>
        <v>5899700429.6724129</v>
      </c>
      <c r="K325" s="2">
        <f t="shared" ca="1" si="59"/>
        <v>369781316.5869838</v>
      </c>
      <c r="L325" s="5">
        <f t="shared" ca="1" si="48"/>
        <v>15.954566023306977</v>
      </c>
    </row>
    <row r="326" spans="1:12" x14ac:dyDescent="0.3">
      <c r="A326" s="1">
        <f t="shared" si="54"/>
        <v>27</v>
      </c>
      <c r="B326" s="1">
        <f t="shared" si="55"/>
        <v>3</v>
      </c>
      <c r="C326" s="2">
        <f t="shared" ca="1" si="49"/>
        <v>5899700429.6724129</v>
      </c>
      <c r="D326" s="5">
        <f t="shared" ca="1" si="56"/>
        <v>0</v>
      </c>
      <c r="E326" s="2">
        <f t="shared" ca="1" si="57"/>
        <v>37016522.730147451</v>
      </c>
      <c r="F326" s="2">
        <f t="shared" si="58"/>
        <v>13595490.596047854</v>
      </c>
      <c r="G326" s="2">
        <f t="shared" ca="1" si="50"/>
        <v>3701652.2730147452</v>
      </c>
      <c r="H326" s="5">
        <f t="shared" ca="1" si="51"/>
        <v>1.8080326683075576E-2</v>
      </c>
      <c r="I326" s="2">
        <f t="shared" ca="1" si="52"/>
        <v>106735438.18312183</v>
      </c>
      <c r="J326" s="2">
        <f t="shared" ca="1" si="53"/>
        <v>6010137520.1285496</v>
      </c>
      <c r="K326" s="2">
        <f t="shared" ca="1" si="59"/>
        <v>369781316.5869838</v>
      </c>
      <c r="L326" s="5">
        <f t="shared" ca="1" si="48"/>
        <v>16.253221162175137</v>
      </c>
    </row>
    <row r="327" spans="1:12" x14ac:dyDescent="0.3">
      <c r="A327" s="1">
        <f t="shared" si="54"/>
        <v>27</v>
      </c>
      <c r="B327" s="1">
        <f t="shared" si="55"/>
        <v>4</v>
      </c>
      <c r="C327" s="2">
        <f t="shared" ca="1" si="49"/>
        <v>6010137520.1285496</v>
      </c>
      <c r="D327" s="5">
        <f t="shared" ca="1" si="56"/>
        <v>0</v>
      </c>
      <c r="E327" s="2">
        <f t="shared" ca="1" si="57"/>
        <v>37016522.730147451</v>
      </c>
      <c r="F327" s="2">
        <f t="shared" si="58"/>
        <v>13595490.596047854</v>
      </c>
      <c r="G327" s="2">
        <f t="shared" ca="1" si="50"/>
        <v>3701652.2730147452</v>
      </c>
      <c r="H327" s="5">
        <f t="shared" ca="1" si="51"/>
        <v>1.5918416633989185E-2</v>
      </c>
      <c r="I327" s="2">
        <f t="shared" ca="1" si="52"/>
        <v>95730797.516092822</v>
      </c>
      <c r="J327" s="2">
        <f t="shared" ca="1" si="53"/>
        <v>6109569969.9176579</v>
      </c>
      <c r="K327" s="2">
        <f t="shared" ca="1" si="59"/>
        <v>369781316.5869838</v>
      </c>
      <c r="L327" s="5">
        <f t="shared" ca="1" si="48"/>
        <v>16.522116439813423</v>
      </c>
    </row>
    <row r="328" spans="1:12" x14ac:dyDescent="0.3">
      <c r="A328" s="1">
        <f t="shared" si="54"/>
        <v>27</v>
      </c>
      <c r="B328" s="1">
        <f t="shared" si="55"/>
        <v>5</v>
      </c>
      <c r="C328" s="2">
        <f t="shared" ca="1" si="49"/>
        <v>6109569969.9176579</v>
      </c>
      <c r="D328" s="5">
        <f t="shared" ca="1" si="56"/>
        <v>0</v>
      </c>
      <c r="E328" s="2">
        <f t="shared" ca="1" si="57"/>
        <v>37016522.730147451</v>
      </c>
      <c r="F328" s="2">
        <f t="shared" si="58"/>
        <v>13595490.596047854</v>
      </c>
      <c r="G328" s="2">
        <f t="shared" ca="1" si="50"/>
        <v>3701652.2730147452</v>
      </c>
      <c r="H328" s="5">
        <f t="shared" ca="1" si="51"/>
        <v>1.5706036674389301E-2</v>
      </c>
      <c r="I328" s="2">
        <f t="shared" ca="1" si="52"/>
        <v>96015268.298630089</v>
      </c>
      <c r="J328" s="2">
        <f t="shared" ca="1" si="53"/>
        <v>6209286890.4893026</v>
      </c>
      <c r="K328" s="2">
        <f t="shared" ca="1" si="59"/>
        <v>369781316.5869838</v>
      </c>
      <c r="L328" s="5">
        <f t="shared" ca="1" si="48"/>
        <v>16.791781012085529</v>
      </c>
    </row>
    <row r="329" spans="1:12" x14ac:dyDescent="0.3">
      <c r="A329" s="1">
        <f t="shared" si="54"/>
        <v>27</v>
      </c>
      <c r="B329" s="1">
        <f t="shared" si="55"/>
        <v>6</v>
      </c>
      <c r="C329" s="2">
        <f t="shared" ca="1" si="49"/>
        <v>6209286890.4893026</v>
      </c>
      <c r="D329" s="5">
        <f t="shared" ca="1" si="56"/>
        <v>0</v>
      </c>
      <c r="E329" s="2">
        <f t="shared" ca="1" si="57"/>
        <v>37016522.730147451</v>
      </c>
      <c r="F329" s="2">
        <f t="shared" si="58"/>
        <v>13595490.596047854</v>
      </c>
      <c r="G329" s="2">
        <f t="shared" ca="1" si="50"/>
        <v>7403304.5460294904</v>
      </c>
      <c r="H329" s="5">
        <f t="shared" ca="1" si="51"/>
        <v>1.5735346602976152E-2</v>
      </c>
      <c r="I329" s="2">
        <f t="shared" ca="1" si="52"/>
        <v>97821774.942204356</v>
      </c>
      <c r="J329" s="2">
        <f t="shared" ca="1" si="53"/>
        <v>6314511969.9775362</v>
      </c>
      <c r="K329" s="2">
        <f t="shared" ca="1" si="59"/>
        <v>369781316.5869838</v>
      </c>
      <c r="L329" s="5">
        <f t="shared" ca="1" si="48"/>
        <v>17.076341304258868</v>
      </c>
    </row>
    <row r="330" spans="1:12" x14ac:dyDescent="0.3">
      <c r="A330" s="1">
        <f t="shared" si="54"/>
        <v>27</v>
      </c>
      <c r="B330" s="1">
        <f t="shared" si="55"/>
        <v>7</v>
      </c>
      <c r="C330" s="2">
        <f t="shared" ca="1" si="49"/>
        <v>6314511969.9775362</v>
      </c>
      <c r="D330" s="5">
        <f t="shared" ca="1" si="56"/>
        <v>0</v>
      </c>
      <c r="E330" s="2">
        <f t="shared" ca="1" si="57"/>
        <v>37016522.730147451</v>
      </c>
      <c r="F330" s="2">
        <f t="shared" si="58"/>
        <v>13595490.596047854</v>
      </c>
      <c r="G330" s="2">
        <f t="shared" ca="1" si="50"/>
        <v>3701652.2730147452</v>
      </c>
      <c r="H330" s="5">
        <f t="shared" ca="1" si="51"/>
        <v>1.0995435798801578E-2</v>
      </c>
      <c r="I330" s="2">
        <f t="shared" ca="1" si="52"/>
        <v>69471512.246569499</v>
      </c>
      <c r="J330" s="2">
        <f t="shared" ca="1" si="53"/>
        <v>6387685134.4971209</v>
      </c>
      <c r="K330" s="2">
        <f t="shared" ca="1" si="59"/>
        <v>369781316.5869838</v>
      </c>
      <c r="L330" s="5">
        <f t="shared" ca="1" si="48"/>
        <v>17.274223569363443</v>
      </c>
    </row>
    <row r="331" spans="1:12" x14ac:dyDescent="0.3">
      <c r="A331" s="1">
        <f t="shared" si="54"/>
        <v>27</v>
      </c>
      <c r="B331" s="1">
        <f t="shared" si="55"/>
        <v>8</v>
      </c>
      <c r="C331" s="2">
        <f t="shared" ca="1" si="49"/>
        <v>6387685134.4971209</v>
      </c>
      <c r="D331" s="5">
        <f t="shared" ca="1" si="56"/>
        <v>0</v>
      </c>
      <c r="E331" s="2">
        <f t="shared" ca="1" si="57"/>
        <v>37016522.730147451</v>
      </c>
      <c r="F331" s="2">
        <f t="shared" si="58"/>
        <v>13595490.596047854</v>
      </c>
      <c r="G331" s="2">
        <f t="shared" ca="1" si="50"/>
        <v>3701652.2730147452</v>
      </c>
      <c r="H331" s="5">
        <f t="shared" ca="1" si="51"/>
        <v>1.1472087965310296E-2</v>
      </c>
      <c r="I331" s="2">
        <f t="shared" ca="1" si="52"/>
        <v>73322551.438148916</v>
      </c>
      <c r="J331" s="2">
        <f t="shared" ca="1" si="53"/>
        <v>6464709338.2082844</v>
      </c>
      <c r="K331" s="2">
        <f t="shared" ca="1" si="59"/>
        <v>369781316.5869838</v>
      </c>
      <c r="L331" s="5">
        <f t="shared" ca="1" si="48"/>
        <v>17.482520203769106</v>
      </c>
    </row>
    <row r="332" spans="1:12" x14ac:dyDescent="0.3">
      <c r="A332" s="1">
        <f t="shared" si="54"/>
        <v>27</v>
      </c>
      <c r="B332" s="1">
        <f t="shared" si="55"/>
        <v>9</v>
      </c>
      <c r="C332" s="2">
        <f t="shared" ca="1" si="49"/>
        <v>6464709338.2082844</v>
      </c>
      <c r="D332" s="5">
        <f t="shared" ca="1" si="56"/>
        <v>0</v>
      </c>
      <c r="E332" s="2">
        <f t="shared" ca="1" si="57"/>
        <v>37016522.730147451</v>
      </c>
      <c r="F332" s="2">
        <f t="shared" si="58"/>
        <v>13595490.596047854</v>
      </c>
      <c r="G332" s="2">
        <f t="shared" ca="1" si="50"/>
        <v>3701652.2730147452</v>
      </c>
      <c r="H332" s="5">
        <f t="shared" ca="1" si="51"/>
        <v>1.5262800069983262E-2</v>
      </c>
      <c r="I332" s="2">
        <f t="shared" ca="1" si="52"/>
        <v>98726063.718198478</v>
      </c>
      <c r="J332" s="2">
        <f t="shared" ca="1" si="53"/>
        <v>6567137054.1994982</v>
      </c>
      <c r="K332" s="2">
        <f t="shared" ca="1" si="59"/>
        <v>369781316.5869838</v>
      </c>
      <c r="L332" s="5">
        <f t="shared" ref="L332:L395" ca="1" si="60">(J332/K332)</f>
        <v>17.759515582920773</v>
      </c>
    </row>
    <row r="333" spans="1:12" x14ac:dyDescent="0.3">
      <c r="A333" s="1">
        <f t="shared" si="54"/>
        <v>27</v>
      </c>
      <c r="B333" s="1">
        <f t="shared" si="55"/>
        <v>10</v>
      </c>
      <c r="C333" s="2">
        <f t="shared" ref="C333:C396" ca="1" si="61">J332</f>
        <v>6567137054.1994982</v>
      </c>
      <c r="D333" s="5">
        <f t="shared" ca="1" si="56"/>
        <v>0</v>
      </c>
      <c r="E333" s="2">
        <f t="shared" ca="1" si="57"/>
        <v>37016522.730147451</v>
      </c>
      <c r="F333" s="2">
        <f t="shared" si="58"/>
        <v>13595490.596047854</v>
      </c>
      <c r="G333" s="2">
        <f t="shared" ref="G333:G395" ca="1" si="62">IF(OR(B333=6,B333=12),E333*$B$2*2,E333*$B$2)</f>
        <v>3701652.2730147452</v>
      </c>
      <c r="H333" s="5">
        <f t="shared" ref="H333:H395" ca="1" si="63">(NORMINV(RAND(),$E$3,$F$3)+1)^(1/12)-1</f>
        <v>1.5560808624240696E-2</v>
      </c>
      <c r="I333" s="2">
        <f t="shared" ref="I333:I395" ca="1" si="64">(J332+G333)*H333</f>
        <v>102247563.61217207</v>
      </c>
      <c r="J333" s="2">
        <f t="shared" ref="J333:J396" ca="1" si="65">G333+C333+I333</f>
        <v>6673086270.0846853</v>
      </c>
      <c r="K333" s="2">
        <f t="shared" ca="1" si="59"/>
        <v>369781316.5869838</v>
      </c>
      <c r="L333" s="5">
        <f t="shared" ca="1" si="60"/>
        <v>18.046034157907414</v>
      </c>
    </row>
    <row r="334" spans="1:12" x14ac:dyDescent="0.3">
      <c r="A334" s="1">
        <f t="shared" ref="A334:A395" si="66">IF(B334=1,A333+1,A333)</f>
        <v>27</v>
      </c>
      <c r="B334" s="1">
        <f t="shared" ref="B334:B395" si="67">IF(B333=12,1,B333+1)</f>
        <v>11</v>
      </c>
      <c r="C334" s="2">
        <f t="shared" ca="1" si="61"/>
        <v>6673086270.0846853</v>
      </c>
      <c r="D334" s="5">
        <f t="shared" ref="D334:D395" ca="1" si="68">IF(B334&lt;&gt;1,0,LOGINV(RAND(),LN($E$6),SQRT($F$6)))</f>
        <v>0</v>
      </c>
      <c r="E334" s="2">
        <f t="shared" ref="E334:E395" ca="1" si="69">IF(B334&lt;&gt;1,E333,IF(AND(A334=3,B334=1),E333*2,IF(AND(A334=10,B334=1),E333*2,E333*(1+IF(E333&gt;F333,D334,$B$4)))))</f>
        <v>37016522.730147451</v>
      </c>
      <c r="F334" s="2">
        <f t="shared" ref="F334:F395" si="70">IF(B334&lt;&gt;1,F333,F333*(1+$B$4))</f>
        <v>13595490.596047854</v>
      </c>
      <c r="G334" s="2">
        <f t="shared" ca="1" si="62"/>
        <v>3701652.2730147452</v>
      </c>
      <c r="H334" s="5">
        <f t="shared" ca="1" si="63"/>
        <v>1.7769277519557924E-2</v>
      </c>
      <c r="I334" s="2">
        <f t="shared" ca="1" si="64"/>
        <v>118641697.53160654</v>
      </c>
      <c r="J334" s="2">
        <f t="shared" ca="1" si="65"/>
        <v>6795429619.889307</v>
      </c>
      <c r="K334" s="2">
        <f t="shared" ref="K334:K395" ca="1" si="71">IF(B334=1,K333*(1+NORMINV(RAND(),$E$5,$F$5)),K333)</f>
        <v>369781316.5869838</v>
      </c>
      <c r="L334" s="5">
        <f t="shared" ca="1" si="60"/>
        <v>18.376887406345787</v>
      </c>
    </row>
    <row r="335" spans="1:12" x14ac:dyDescent="0.3">
      <c r="A335" s="1">
        <f t="shared" si="66"/>
        <v>27</v>
      </c>
      <c r="B335" s="1">
        <f t="shared" si="67"/>
        <v>12</v>
      </c>
      <c r="C335" s="2">
        <f t="shared" ca="1" si="61"/>
        <v>6795429619.889307</v>
      </c>
      <c r="D335" s="5">
        <f t="shared" ca="1" si="68"/>
        <v>0</v>
      </c>
      <c r="E335" s="2">
        <f t="shared" ca="1" si="69"/>
        <v>37016522.730147451</v>
      </c>
      <c r="F335" s="2">
        <f t="shared" si="70"/>
        <v>13595490.596047854</v>
      </c>
      <c r="G335" s="2">
        <f t="shared" ca="1" si="62"/>
        <v>7403304.5460294904</v>
      </c>
      <c r="H335" s="5">
        <f t="shared" ca="1" si="63"/>
        <v>1.4918843586843256E-2</v>
      </c>
      <c r="I335" s="2">
        <f t="shared" ca="1" si="64"/>
        <v>101490400.34707826</v>
      </c>
      <c r="J335" s="2">
        <f t="shared" ca="1" si="65"/>
        <v>6904323324.7824144</v>
      </c>
      <c r="K335" s="2">
        <f t="shared" ca="1" si="71"/>
        <v>369781316.5869838</v>
      </c>
      <c r="L335" s="5">
        <f t="shared" ca="1" si="60"/>
        <v>18.671368766026632</v>
      </c>
    </row>
    <row r="336" spans="1:12" x14ac:dyDescent="0.3">
      <c r="A336" s="1">
        <f t="shared" si="66"/>
        <v>28</v>
      </c>
      <c r="B336" s="1">
        <f t="shared" si="67"/>
        <v>1</v>
      </c>
      <c r="C336" s="2">
        <f t="shared" ca="1" si="61"/>
        <v>6904323324.7824144</v>
      </c>
      <c r="D336" s="5">
        <f t="shared" ca="1" si="68"/>
        <v>3.2074606993154002E-2</v>
      </c>
      <c r="E336" s="2">
        <f t="shared" ca="1" si="69"/>
        <v>38203813.148970082</v>
      </c>
      <c r="F336" s="2">
        <f t="shared" si="70"/>
        <v>14635545.626645515</v>
      </c>
      <c r="G336" s="2">
        <f t="shared" ca="1" si="62"/>
        <v>3820381.3148970082</v>
      </c>
      <c r="H336" s="5">
        <f t="shared" ca="1" si="63"/>
        <v>1.2311399602559669E-2</v>
      </c>
      <c r="I336" s="2">
        <f t="shared" ca="1" si="64"/>
        <v>85048917.677671522</v>
      </c>
      <c r="J336" s="2">
        <f t="shared" ca="1" si="65"/>
        <v>6993192623.7749825</v>
      </c>
      <c r="K336" s="2">
        <f t="shared" ca="1" si="71"/>
        <v>380508912.42861933</v>
      </c>
      <c r="L336" s="5">
        <f t="shared" ca="1" si="60"/>
        <v>18.378525168150574</v>
      </c>
    </row>
    <row r="337" spans="1:12" x14ac:dyDescent="0.3">
      <c r="A337" s="1">
        <f t="shared" si="66"/>
        <v>28</v>
      </c>
      <c r="B337" s="1">
        <f t="shared" si="67"/>
        <v>2</v>
      </c>
      <c r="C337" s="2">
        <f t="shared" ca="1" si="61"/>
        <v>6993192623.7749825</v>
      </c>
      <c r="D337" s="5">
        <f t="shared" ca="1" si="68"/>
        <v>0</v>
      </c>
      <c r="E337" s="2">
        <f t="shared" ca="1" si="69"/>
        <v>38203813.148970082</v>
      </c>
      <c r="F337" s="2">
        <f t="shared" si="70"/>
        <v>14635545.626645515</v>
      </c>
      <c r="G337" s="2">
        <f t="shared" ca="1" si="62"/>
        <v>3820381.3148970082</v>
      </c>
      <c r="H337" s="5">
        <f t="shared" ca="1" si="63"/>
        <v>1.3413280001746353E-2</v>
      </c>
      <c r="I337" s="2">
        <f t="shared" ca="1" si="64"/>
        <v>93852894.613131225</v>
      </c>
      <c r="J337" s="2">
        <f t="shared" ca="1" si="65"/>
        <v>7090865899.7030106</v>
      </c>
      <c r="K337" s="2">
        <f t="shared" ca="1" si="71"/>
        <v>380508912.42861933</v>
      </c>
      <c r="L337" s="5">
        <f t="shared" ca="1" si="60"/>
        <v>18.635216332897865</v>
      </c>
    </row>
    <row r="338" spans="1:12" x14ac:dyDescent="0.3">
      <c r="A338" s="1">
        <f t="shared" si="66"/>
        <v>28</v>
      </c>
      <c r="B338" s="1">
        <f t="shared" si="67"/>
        <v>3</v>
      </c>
      <c r="C338" s="2">
        <f t="shared" ca="1" si="61"/>
        <v>7090865899.7030106</v>
      </c>
      <c r="D338" s="5">
        <f t="shared" ca="1" si="68"/>
        <v>0</v>
      </c>
      <c r="E338" s="2">
        <f t="shared" ca="1" si="69"/>
        <v>38203813.148970082</v>
      </c>
      <c r="F338" s="2">
        <f t="shared" si="70"/>
        <v>14635545.626645515</v>
      </c>
      <c r="G338" s="2">
        <f t="shared" ca="1" si="62"/>
        <v>3820381.3148970082</v>
      </c>
      <c r="H338" s="5">
        <f t="shared" ca="1" si="63"/>
        <v>1.3088114450457988E-2</v>
      </c>
      <c r="I338" s="2">
        <f t="shared" ca="1" si="64"/>
        <v>92856066.036056519</v>
      </c>
      <c r="J338" s="2">
        <f t="shared" ca="1" si="65"/>
        <v>7187542347.0539637</v>
      </c>
      <c r="K338" s="2">
        <f t="shared" ca="1" si="71"/>
        <v>380508912.42861933</v>
      </c>
      <c r="L338" s="5">
        <f t="shared" ca="1" si="60"/>
        <v>18.889287772996102</v>
      </c>
    </row>
    <row r="339" spans="1:12" x14ac:dyDescent="0.3">
      <c r="A339" s="1">
        <f t="shared" si="66"/>
        <v>28</v>
      </c>
      <c r="B339" s="1">
        <f t="shared" si="67"/>
        <v>4</v>
      </c>
      <c r="C339" s="2">
        <f t="shared" ca="1" si="61"/>
        <v>7187542347.0539637</v>
      </c>
      <c r="D339" s="5">
        <f t="shared" ca="1" si="68"/>
        <v>0</v>
      </c>
      <c r="E339" s="2">
        <f t="shared" ca="1" si="69"/>
        <v>38203813.148970082</v>
      </c>
      <c r="F339" s="2">
        <f t="shared" si="70"/>
        <v>14635545.626645515</v>
      </c>
      <c r="G339" s="2">
        <f t="shared" ca="1" si="62"/>
        <v>3820381.3148970082</v>
      </c>
      <c r="H339" s="5">
        <f t="shared" ca="1" si="63"/>
        <v>1.7321827634995346E-2</v>
      </c>
      <c r="I339" s="2">
        <f t="shared" ca="1" si="64"/>
        <v>124567545.64153525</v>
      </c>
      <c r="J339" s="2">
        <f t="shared" ca="1" si="65"/>
        <v>7315930274.0103951</v>
      </c>
      <c r="K339" s="2">
        <f t="shared" ca="1" si="71"/>
        <v>380508912.42861933</v>
      </c>
      <c r="L339" s="5">
        <f t="shared" ca="1" si="60"/>
        <v>19.226698863151622</v>
      </c>
    </row>
    <row r="340" spans="1:12" x14ac:dyDescent="0.3">
      <c r="A340" s="1">
        <f t="shared" si="66"/>
        <v>28</v>
      </c>
      <c r="B340" s="1">
        <f t="shared" si="67"/>
        <v>5</v>
      </c>
      <c r="C340" s="2">
        <f t="shared" ca="1" si="61"/>
        <v>7315930274.0103951</v>
      </c>
      <c r="D340" s="5">
        <f t="shared" ca="1" si="68"/>
        <v>0</v>
      </c>
      <c r="E340" s="2">
        <f t="shared" ca="1" si="69"/>
        <v>38203813.148970082</v>
      </c>
      <c r="F340" s="2">
        <f t="shared" si="70"/>
        <v>14635545.626645515</v>
      </c>
      <c r="G340" s="2">
        <f t="shared" ca="1" si="62"/>
        <v>3820381.3148970082</v>
      </c>
      <c r="H340" s="5">
        <f t="shared" ca="1" si="63"/>
        <v>1.306604994793803E-2</v>
      </c>
      <c r="I340" s="2">
        <f t="shared" ca="1" si="64"/>
        <v>95640227.668932393</v>
      </c>
      <c r="J340" s="2">
        <f t="shared" ca="1" si="65"/>
        <v>7415390882.9942236</v>
      </c>
      <c r="K340" s="2">
        <f t="shared" ca="1" si="71"/>
        <v>380508912.42861933</v>
      </c>
      <c r="L340" s="5">
        <f t="shared" ca="1" si="60"/>
        <v>19.488087245223976</v>
      </c>
    </row>
    <row r="341" spans="1:12" x14ac:dyDescent="0.3">
      <c r="A341" s="1">
        <f t="shared" si="66"/>
        <v>28</v>
      </c>
      <c r="B341" s="1">
        <f t="shared" si="67"/>
        <v>6</v>
      </c>
      <c r="C341" s="2">
        <f t="shared" ca="1" si="61"/>
        <v>7415390882.9942236</v>
      </c>
      <c r="D341" s="5">
        <f t="shared" ca="1" si="68"/>
        <v>0</v>
      </c>
      <c r="E341" s="2">
        <f t="shared" ca="1" si="69"/>
        <v>38203813.148970082</v>
      </c>
      <c r="F341" s="2">
        <f t="shared" si="70"/>
        <v>14635545.626645515</v>
      </c>
      <c r="G341" s="2">
        <f t="shared" ca="1" si="62"/>
        <v>7640762.6297940165</v>
      </c>
      <c r="H341" s="5">
        <f t="shared" ca="1" si="63"/>
        <v>1.4064885113659997E-2</v>
      </c>
      <c r="I341" s="2">
        <f t="shared" ca="1" si="64"/>
        <v>104404087.29076432</v>
      </c>
      <c r="J341" s="2">
        <f t="shared" ca="1" si="65"/>
        <v>7527435732.9147816</v>
      </c>
      <c r="K341" s="2">
        <f t="shared" ca="1" si="71"/>
        <v>380508912.42861933</v>
      </c>
      <c r="L341" s="5">
        <f t="shared" ca="1" si="60"/>
        <v>19.782547759185203</v>
      </c>
    </row>
    <row r="342" spans="1:12" x14ac:dyDescent="0.3">
      <c r="A342" s="1">
        <f t="shared" si="66"/>
        <v>28</v>
      </c>
      <c r="B342" s="1">
        <f t="shared" si="67"/>
        <v>7</v>
      </c>
      <c r="C342" s="2">
        <f t="shared" ca="1" si="61"/>
        <v>7527435732.9147816</v>
      </c>
      <c r="D342" s="5">
        <f t="shared" ca="1" si="68"/>
        <v>0</v>
      </c>
      <c r="E342" s="2">
        <f t="shared" ca="1" si="69"/>
        <v>38203813.148970082</v>
      </c>
      <c r="F342" s="2">
        <f t="shared" si="70"/>
        <v>14635545.626645515</v>
      </c>
      <c r="G342" s="2">
        <f t="shared" ca="1" si="62"/>
        <v>3820381.3148970082</v>
      </c>
      <c r="H342" s="5">
        <f t="shared" ca="1" si="63"/>
        <v>1.3350306641370269E-2</v>
      </c>
      <c r="I342" s="2">
        <f t="shared" ca="1" si="64"/>
        <v>100544578.51966092</v>
      </c>
      <c r="J342" s="2">
        <f t="shared" ca="1" si="65"/>
        <v>7631800692.7493391</v>
      </c>
      <c r="K342" s="2">
        <f t="shared" ca="1" si="71"/>
        <v>380508912.42861933</v>
      </c>
      <c r="L342" s="5">
        <f t="shared" ca="1" si="60"/>
        <v>20.056825066301197</v>
      </c>
    </row>
    <row r="343" spans="1:12" x14ac:dyDescent="0.3">
      <c r="A343" s="1">
        <f t="shared" si="66"/>
        <v>28</v>
      </c>
      <c r="B343" s="1">
        <f t="shared" si="67"/>
        <v>8</v>
      </c>
      <c r="C343" s="2">
        <f t="shared" ca="1" si="61"/>
        <v>7631800692.7493391</v>
      </c>
      <c r="D343" s="5">
        <f t="shared" ca="1" si="68"/>
        <v>0</v>
      </c>
      <c r="E343" s="2">
        <f t="shared" ca="1" si="69"/>
        <v>38203813.148970082</v>
      </c>
      <c r="F343" s="2">
        <f t="shared" si="70"/>
        <v>14635545.626645515</v>
      </c>
      <c r="G343" s="2">
        <f t="shared" ca="1" si="62"/>
        <v>3820381.3148970082</v>
      </c>
      <c r="H343" s="5">
        <f t="shared" ca="1" si="63"/>
        <v>7.748199737862338E-3</v>
      </c>
      <c r="I343" s="2">
        <f t="shared" ca="1" si="64"/>
        <v>59162317.204480655</v>
      </c>
      <c r="J343" s="2">
        <f t="shared" ca="1" si="65"/>
        <v>7694783391.2687168</v>
      </c>
      <c r="K343" s="2">
        <f t="shared" ca="1" si="71"/>
        <v>380508912.42861933</v>
      </c>
      <c r="L343" s="5">
        <f t="shared" ca="1" si="60"/>
        <v>20.222347335194684</v>
      </c>
    </row>
    <row r="344" spans="1:12" x14ac:dyDescent="0.3">
      <c r="A344" s="1">
        <f t="shared" si="66"/>
        <v>28</v>
      </c>
      <c r="B344" s="1">
        <f t="shared" si="67"/>
        <v>9</v>
      </c>
      <c r="C344" s="2">
        <f t="shared" ca="1" si="61"/>
        <v>7694783391.2687168</v>
      </c>
      <c r="D344" s="5">
        <f t="shared" ca="1" si="68"/>
        <v>0</v>
      </c>
      <c r="E344" s="2">
        <f t="shared" ca="1" si="69"/>
        <v>38203813.148970082</v>
      </c>
      <c r="F344" s="2">
        <f t="shared" si="70"/>
        <v>14635545.626645515</v>
      </c>
      <c r="G344" s="2">
        <f t="shared" ca="1" si="62"/>
        <v>3820381.3148970082</v>
      </c>
      <c r="H344" s="5">
        <f t="shared" ca="1" si="63"/>
        <v>1.9218695296476795E-2</v>
      </c>
      <c r="I344" s="2">
        <f t="shared" ca="1" si="64"/>
        <v>147957120.11359119</v>
      </c>
      <c r="J344" s="2">
        <f t="shared" ca="1" si="65"/>
        <v>7846560892.6972046</v>
      </c>
      <c r="K344" s="2">
        <f t="shared" ca="1" si="71"/>
        <v>380508912.42861933</v>
      </c>
      <c r="L344" s="5">
        <f t="shared" ca="1" si="60"/>
        <v>20.621227614922585</v>
      </c>
    </row>
    <row r="345" spans="1:12" x14ac:dyDescent="0.3">
      <c r="A345" s="1">
        <f t="shared" si="66"/>
        <v>28</v>
      </c>
      <c r="B345" s="1">
        <f t="shared" si="67"/>
        <v>10</v>
      </c>
      <c r="C345" s="2">
        <f t="shared" ca="1" si="61"/>
        <v>7846560892.6972046</v>
      </c>
      <c r="D345" s="5">
        <f t="shared" ca="1" si="68"/>
        <v>0</v>
      </c>
      <c r="E345" s="2">
        <f t="shared" ca="1" si="69"/>
        <v>38203813.148970082</v>
      </c>
      <c r="F345" s="2">
        <f t="shared" si="70"/>
        <v>14635545.626645515</v>
      </c>
      <c r="G345" s="2">
        <f t="shared" ca="1" si="62"/>
        <v>3820381.3148970082</v>
      </c>
      <c r="H345" s="5">
        <f t="shared" ca="1" si="63"/>
        <v>1.5463637568210453E-2</v>
      </c>
      <c r="I345" s="2">
        <f t="shared" ca="1" si="64"/>
        <v>121395450.79358937</v>
      </c>
      <c r="J345" s="2">
        <f t="shared" ca="1" si="65"/>
        <v>7971776724.8056908</v>
      </c>
      <c r="K345" s="2">
        <f t="shared" ca="1" si="71"/>
        <v>380508912.42861933</v>
      </c>
      <c r="L345" s="5">
        <f t="shared" ca="1" si="60"/>
        <v>20.95030225159611</v>
      </c>
    </row>
    <row r="346" spans="1:12" x14ac:dyDescent="0.3">
      <c r="A346" s="1">
        <f t="shared" si="66"/>
        <v>28</v>
      </c>
      <c r="B346" s="1">
        <f t="shared" si="67"/>
        <v>11</v>
      </c>
      <c r="C346" s="2">
        <f t="shared" ca="1" si="61"/>
        <v>7971776724.8056908</v>
      </c>
      <c r="D346" s="5">
        <f t="shared" ca="1" si="68"/>
        <v>0</v>
      </c>
      <c r="E346" s="2">
        <f t="shared" ca="1" si="69"/>
        <v>38203813.148970082</v>
      </c>
      <c r="F346" s="2">
        <f t="shared" si="70"/>
        <v>14635545.626645515</v>
      </c>
      <c r="G346" s="2">
        <f t="shared" ca="1" si="62"/>
        <v>3820381.3148970082</v>
      </c>
      <c r="H346" s="5">
        <f t="shared" ca="1" si="63"/>
        <v>1.4053320071821807E-2</v>
      </c>
      <c r="I346" s="2">
        <f t="shared" ca="1" si="64"/>
        <v>112083618.89620836</v>
      </c>
      <c r="J346" s="2">
        <f t="shared" ca="1" si="65"/>
        <v>8087680725.0167961</v>
      </c>
      <c r="K346" s="2">
        <f t="shared" ca="1" si="71"/>
        <v>380508912.42861933</v>
      </c>
      <c r="L346" s="5">
        <f t="shared" ca="1" si="60"/>
        <v>21.254904841510079</v>
      </c>
    </row>
    <row r="347" spans="1:12" x14ac:dyDescent="0.3">
      <c r="A347" s="1">
        <f t="shared" si="66"/>
        <v>28</v>
      </c>
      <c r="B347" s="1">
        <f t="shared" si="67"/>
        <v>12</v>
      </c>
      <c r="C347" s="2">
        <f t="shared" ca="1" si="61"/>
        <v>8087680725.0167961</v>
      </c>
      <c r="D347" s="5">
        <f t="shared" ca="1" si="68"/>
        <v>0</v>
      </c>
      <c r="E347" s="2">
        <f t="shared" ca="1" si="69"/>
        <v>38203813.148970082</v>
      </c>
      <c r="F347" s="2">
        <f t="shared" si="70"/>
        <v>14635545.626645515</v>
      </c>
      <c r="G347" s="2">
        <f t="shared" ca="1" si="62"/>
        <v>7640762.6297940165</v>
      </c>
      <c r="H347" s="5">
        <f t="shared" ca="1" si="63"/>
        <v>1.5191965183415146E-2</v>
      </c>
      <c r="I347" s="2">
        <f t="shared" ca="1" si="64"/>
        <v>122983842.1888795</v>
      </c>
      <c r="J347" s="2">
        <f t="shared" ca="1" si="65"/>
        <v>8218305329.8354702</v>
      </c>
      <c r="K347" s="2">
        <f t="shared" ca="1" si="71"/>
        <v>380508912.42861933</v>
      </c>
      <c r="L347" s="5">
        <f t="shared" ca="1" si="60"/>
        <v>21.598194053804622</v>
      </c>
    </row>
    <row r="348" spans="1:12" x14ac:dyDescent="0.3">
      <c r="A348" s="1">
        <f t="shared" si="66"/>
        <v>29</v>
      </c>
      <c r="B348" s="1">
        <f t="shared" si="67"/>
        <v>1</v>
      </c>
      <c r="C348" s="2">
        <f t="shared" ca="1" si="61"/>
        <v>8218305329.8354702</v>
      </c>
      <c r="D348" s="5">
        <f t="shared" ca="1" si="68"/>
        <v>3.5037457771693613E-2</v>
      </c>
      <c r="E348" s="2">
        <f t="shared" ca="1" si="69"/>
        <v>39542377.638894796</v>
      </c>
      <c r="F348" s="2">
        <f t="shared" si="70"/>
        <v>15755164.867083896</v>
      </c>
      <c r="G348" s="2">
        <f t="shared" ca="1" si="62"/>
        <v>3954237.7638894799</v>
      </c>
      <c r="H348" s="5">
        <f t="shared" ca="1" si="63"/>
        <v>1.3929117403192581E-2</v>
      </c>
      <c r="I348" s="2">
        <f t="shared" ca="1" si="64"/>
        <v>114528818.83661495</v>
      </c>
      <c r="J348" s="2">
        <f t="shared" ca="1" si="65"/>
        <v>8336788386.4359741</v>
      </c>
      <c r="K348" s="2">
        <f t="shared" ca="1" si="71"/>
        <v>390199463.80644256</v>
      </c>
      <c r="L348" s="5">
        <f t="shared" ca="1" si="60"/>
        <v>21.365453209775339</v>
      </c>
    </row>
    <row r="349" spans="1:12" x14ac:dyDescent="0.3">
      <c r="A349" s="1">
        <f t="shared" si="66"/>
        <v>29</v>
      </c>
      <c r="B349" s="1">
        <f t="shared" si="67"/>
        <v>2</v>
      </c>
      <c r="C349" s="2">
        <f t="shared" ca="1" si="61"/>
        <v>8336788386.4359741</v>
      </c>
      <c r="D349" s="5">
        <f t="shared" ca="1" si="68"/>
        <v>0</v>
      </c>
      <c r="E349" s="2">
        <f t="shared" ca="1" si="69"/>
        <v>39542377.638894796</v>
      </c>
      <c r="F349" s="2">
        <f t="shared" si="70"/>
        <v>15755164.867083896</v>
      </c>
      <c r="G349" s="2">
        <f t="shared" ca="1" si="62"/>
        <v>3954237.7638894799</v>
      </c>
      <c r="H349" s="5">
        <f t="shared" ca="1" si="63"/>
        <v>1.4814076398632636E-2</v>
      </c>
      <c r="I349" s="2">
        <f t="shared" ca="1" si="64"/>
        <v>123560398.45622844</v>
      </c>
      <c r="J349" s="2">
        <f t="shared" ca="1" si="65"/>
        <v>8464303022.6560917</v>
      </c>
      <c r="K349" s="2">
        <f t="shared" ca="1" si="71"/>
        <v>390199463.80644256</v>
      </c>
      <c r="L349" s="5">
        <f t="shared" ca="1" si="60"/>
        <v>21.692246678367521</v>
      </c>
    </row>
    <row r="350" spans="1:12" x14ac:dyDescent="0.3">
      <c r="A350" s="1">
        <f t="shared" si="66"/>
        <v>29</v>
      </c>
      <c r="B350" s="1">
        <f t="shared" si="67"/>
        <v>3</v>
      </c>
      <c r="C350" s="2">
        <f t="shared" ca="1" si="61"/>
        <v>8464303022.6560917</v>
      </c>
      <c r="D350" s="5">
        <f t="shared" ca="1" si="68"/>
        <v>0</v>
      </c>
      <c r="E350" s="2">
        <f t="shared" ca="1" si="69"/>
        <v>39542377.638894796</v>
      </c>
      <c r="F350" s="2">
        <f t="shared" si="70"/>
        <v>15755164.867083896</v>
      </c>
      <c r="G350" s="2">
        <f t="shared" ca="1" si="62"/>
        <v>3954237.7638894799</v>
      </c>
      <c r="H350" s="5">
        <f t="shared" ca="1" si="63"/>
        <v>1.3680849483013402E-2</v>
      </c>
      <c r="I350" s="2">
        <f t="shared" ca="1" si="64"/>
        <v>115852952.96324119</v>
      </c>
      <c r="J350" s="2">
        <f t="shared" ca="1" si="65"/>
        <v>8584110213.3832226</v>
      </c>
      <c r="K350" s="2">
        <f t="shared" ca="1" si="71"/>
        <v>390199463.80644256</v>
      </c>
      <c r="L350" s="5">
        <f t="shared" ca="1" si="60"/>
        <v>21.999287568578897</v>
      </c>
    </row>
    <row r="351" spans="1:12" x14ac:dyDescent="0.3">
      <c r="A351" s="1">
        <f t="shared" si="66"/>
        <v>29</v>
      </c>
      <c r="B351" s="1">
        <f t="shared" si="67"/>
        <v>4</v>
      </c>
      <c r="C351" s="2">
        <f t="shared" ca="1" si="61"/>
        <v>8584110213.3832226</v>
      </c>
      <c r="D351" s="5">
        <f t="shared" ca="1" si="68"/>
        <v>0</v>
      </c>
      <c r="E351" s="2">
        <f t="shared" ca="1" si="69"/>
        <v>39542377.638894796</v>
      </c>
      <c r="F351" s="2">
        <f t="shared" si="70"/>
        <v>15755164.867083896</v>
      </c>
      <c r="G351" s="2">
        <f t="shared" ca="1" si="62"/>
        <v>3954237.7638894799</v>
      </c>
      <c r="H351" s="5">
        <f t="shared" ca="1" si="63"/>
        <v>1.5139717537832054E-2</v>
      </c>
      <c r="I351" s="2">
        <f t="shared" ca="1" si="64"/>
        <v>130020869.98706394</v>
      </c>
      <c r="J351" s="2">
        <f t="shared" ca="1" si="65"/>
        <v>8718085321.1341763</v>
      </c>
      <c r="K351" s="2">
        <f t="shared" ca="1" si="71"/>
        <v>390199463.80644256</v>
      </c>
      <c r="L351" s="5">
        <f t="shared" ca="1" si="60"/>
        <v>22.342637880862799</v>
      </c>
    </row>
    <row r="352" spans="1:12" x14ac:dyDescent="0.3">
      <c r="A352" s="1">
        <f t="shared" si="66"/>
        <v>29</v>
      </c>
      <c r="B352" s="1">
        <f t="shared" si="67"/>
        <v>5</v>
      </c>
      <c r="C352" s="2">
        <f t="shared" ca="1" si="61"/>
        <v>8718085321.1341763</v>
      </c>
      <c r="D352" s="5">
        <f t="shared" ca="1" si="68"/>
        <v>0</v>
      </c>
      <c r="E352" s="2">
        <f t="shared" ca="1" si="69"/>
        <v>39542377.638894796</v>
      </c>
      <c r="F352" s="2">
        <f t="shared" si="70"/>
        <v>15755164.867083896</v>
      </c>
      <c r="G352" s="2">
        <f t="shared" ca="1" si="62"/>
        <v>3954237.7638894799</v>
      </c>
      <c r="H352" s="5">
        <f t="shared" ca="1" si="63"/>
        <v>1.3753306599540993E-2</v>
      </c>
      <c r="I352" s="2">
        <f t="shared" ca="1" si="64"/>
        <v>119956884.22685038</v>
      </c>
      <c r="J352" s="2">
        <f t="shared" ca="1" si="65"/>
        <v>8841996443.1249161</v>
      </c>
      <c r="K352" s="2">
        <f t="shared" ca="1" si="71"/>
        <v>390199463.80644256</v>
      </c>
      <c r="L352" s="5">
        <f t="shared" ca="1" si="60"/>
        <v>22.660196292609378</v>
      </c>
    </row>
    <row r="353" spans="1:12" x14ac:dyDescent="0.3">
      <c r="A353" s="1">
        <f t="shared" si="66"/>
        <v>29</v>
      </c>
      <c r="B353" s="1">
        <f t="shared" si="67"/>
        <v>6</v>
      </c>
      <c r="C353" s="2">
        <f t="shared" ca="1" si="61"/>
        <v>8841996443.1249161</v>
      </c>
      <c r="D353" s="5">
        <f t="shared" ca="1" si="68"/>
        <v>0</v>
      </c>
      <c r="E353" s="2">
        <f t="shared" ca="1" si="69"/>
        <v>39542377.638894796</v>
      </c>
      <c r="F353" s="2">
        <f t="shared" si="70"/>
        <v>15755164.867083896</v>
      </c>
      <c r="G353" s="2">
        <f t="shared" ca="1" si="62"/>
        <v>7908475.5277789598</v>
      </c>
      <c r="H353" s="5">
        <f t="shared" ca="1" si="63"/>
        <v>1.1984413063162114E-2</v>
      </c>
      <c r="I353" s="2">
        <f t="shared" ca="1" si="64"/>
        <v>106060916.11484399</v>
      </c>
      <c r="J353" s="2">
        <f t="shared" ca="1" si="65"/>
        <v>8955965834.7675381</v>
      </c>
      <c r="K353" s="2">
        <f t="shared" ca="1" si="71"/>
        <v>390199463.80644256</v>
      </c>
      <c r="L353" s="5">
        <f t="shared" ca="1" si="60"/>
        <v>22.952276118990572</v>
      </c>
    </row>
    <row r="354" spans="1:12" x14ac:dyDescent="0.3">
      <c r="A354" s="1">
        <f t="shared" si="66"/>
        <v>29</v>
      </c>
      <c r="B354" s="1">
        <f t="shared" si="67"/>
        <v>7</v>
      </c>
      <c r="C354" s="2">
        <f t="shared" ca="1" si="61"/>
        <v>8955965834.7675381</v>
      </c>
      <c r="D354" s="5">
        <f t="shared" ca="1" si="68"/>
        <v>0</v>
      </c>
      <c r="E354" s="2">
        <f t="shared" ca="1" si="69"/>
        <v>39542377.638894796</v>
      </c>
      <c r="F354" s="2">
        <f t="shared" si="70"/>
        <v>15755164.867083896</v>
      </c>
      <c r="G354" s="2">
        <f t="shared" ca="1" si="62"/>
        <v>3954237.7638894799</v>
      </c>
      <c r="H354" s="5">
        <f t="shared" ca="1" si="63"/>
        <v>1.854300381582874E-2</v>
      </c>
      <c r="I354" s="2">
        <f t="shared" ca="1" si="64"/>
        <v>166143832.09447077</v>
      </c>
      <c r="J354" s="2">
        <f t="shared" ca="1" si="65"/>
        <v>9126063904.6258984</v>
      </c>
      <c r="K354" s="2">
        <f t="shared" ca="1" si="71"/>
        <v>390199463.80644256</v>
      </c>
      <c r="L354" s="5">
        <f t="shared" ca="1" si="60"/>
        <v>23.388202063631894</v>
      </c>
    </row>
    <row r="355" spans="1:12" x14ac:dyDescent="0.3">
      <c r="A355" s="1">
        <f t="shared" si="66"/>
        <v>29</v>
      </c>
      <c r="B355" s="1">
        <f t="shared" si="67"/>
        <v>8</v>
      </c>
      <c r="C355" s="2">
        <f t="shared" ca="1" si="61"/>
        <v>9126063904.6258984</v>
      </c>
      <c r="D355" s="5">
        <f t="shared" ca="1" si="68"/>
        <v>0</v>
      </c>
      <c r="E355" s="2">
        <f t="shared" ca="1" si="69"/>
        <v>39542377.638894796</v>
      </c>
      <c r="F355" s="2">
        <f t="shared" si="70"/>
        <v>15755164.867083896</v>
      </c>
      <c r="G355" s="2">
        <f t="shared" ca="1" si="62"/>
        <v>3954237.7638894799</v>
      </c>
      <c r="H355" s="5">
        <f t="shared" ca="1" si="63"/>
        <v>1.2011091805131935E-2</v>
      </c>
      <c r="I355" s="2">
        <f t="shared" ca="1" si="64"/>
        <v>109661486.09076387</v>
      </c>
      <c r="J355" s="2">
        <f t="shared" ca="1" si="65"/>
        <v>9239679628.4805508</v>
      </c>
      <c r="K355" s="2">
        <f t="shared" ca="1" si="71"/>
        <v>390199463.80644256</v>
      </c>
      <c r="L355" s="5">
        <f t="shared" ca="1" si="60"/>
        <v>23.679375513093657</v>
      </c>
    </row>
    <row r="356" spans="1:12" x14ac:dyDescent="0.3">
      <c r="A356" s="1">
        <f t="shared" si="66"/>
        <v>29</v>
      </c>
      <c r="B356" s="1">
        <f t="shared" si="67"/>
        <v>9</v>
      </c>
      <c r="C356" s="2">
        <f t="shared" ca="1" si="61"/>
        <v>9239679628.4805508</v>
      </c>
      <c r="D356" s="5">
        <f t="shared" ca="1" si="68"/>
        <v>0</v>
      </c>
      <c r="E356" s="2">
        <f t="shared" ca="1" si="69"/>
        <v>39542377.638894796</v>
      </c>
      <c r="F356" s="2">
        <f t="shared" si="70"/>
        <v>15755164.867083896</v>
      </c>
      <c r="G356" s="2">
        <f t="shared" ca="1" si="62"/>
        <v>3954237.7638894799</v>
      </c>
      <c r="H356" s="5">
        <f t="shared" ca="1" si="63"/>
        <v>2.1065161432954671E-2</v>
      </c>
      <c r="I356" s="2">
        <f t="shared" ca="1" si="64"/>
        <v>194718639.61956605</v>
      </c>
      <c r="J356" s="2">
        <f t="shared" ca="1" si="65"/>
        <v>9438352505.864006</v>
      </c>
      <c r="K356" s="2">
        <f t="shared" ca="1" si="71"/>
        <v>390199463.80644256</v>
      </c>
      <c r="L356" s="5">
        <f t="shared" ca="1" si="60"/>
        <v>24.188532741156909</v>
      </c>
    </row>
    <row r="357" spans="1:12" x14ac:dyDescent="0.3">
      <c r="A357" s="1">
        <f t="shared" si="66"/>
        <v>29</v>
      </c>
      <c r="B357" s="1">
        <f t="shared" si="67"/>
        <v>10</v>
      </c>
      <c r="C357" s="2">
        <f t="shared" ca="1" si="61"/>
        <v>9438352505.864006</v>
      </c>
      <c r="D357" s="5">
        <f t="shared" ca="1" si="68"/>
        <v>0</v>
      </c>
      <c r="E357" s="2">
        <f t="shared" ca="1" si="69"/>
        <v>39542377.638894796</v>
      </c>
      <c r="F357" s="2">
        <f t="shared" si="70"/>
        <v>15755164.867083896</v>
      </c>
      <c r="G357" s="2">
        <f t="shared" ca="1" si="62"/>
        <v>3954237.7638894799</v>
      </c>
      <c r="H357" s="5">
        <f t="shared" ca="1" si="63"/>
        <v>1.6041034085729544E-2</v>
      </c>
      <c r="I357" s="2">
        <f t="shared" ca="1" si="64"/>
        <v>151464364.322449</v>
      </c>
      <c r="J357" s="2">
        <f t="shared" ca="1" si="65"/>
        <v>9593771107.9503441</v>
      </c>
      <c r="K357" s="2">
        <f t="shared" ca="1" si="71"/>
        <v>390199463.80644256</v>
      </c>
      <c r="L357" s="5">
        <f t="shared" ca="1" si="60"/>
        <v>24.58683826564485</v>
      </c>
    </row>
    <row r="358" spans="1:12" x14ac:dyDescent="0.3">
      <c r="A358" s="1">
        <f t="shared" si="66"/>
        <v>29</v>
      </c>
      <c r="B358" s="1">
        <f t="shared" si="67"/>
        <v>11</v>
      </c>
      <c r="C358" s="2">
        <f t="shared" ca="1" si="61"/>
        <v>9593771107.9503441</v>
      </c>
      <c r="D358" s="5">
        <f t="shared" ca="1" si="68"/>
        <v>0</v>
      </c>
      <c r="E358" s="2">
        <f t="shared" ca="1" si="69"/>
        <v>39542377.638894796</v>
      </c>
      <c r="F358" s="2">
        <f t="shared" si="70"/>
        <v>15755164.867083896</v>
      </c>
      <c r="G358" s="2">
        <f t="shared" ca="1" si="62"/>
        <v>3954237.7638894799</v>
      </c>
      <c r="H358" s="5">
        <f t="shared" ca="1" si="63"/>
        <v>1.7623234138926636E-2</v>
      </c>
      <c r="I358" s="2">
        <f t="shared" ca="1" si="64"/>
        <v>169142960.96863252</v>
      </c>
      <c r="J358" s="2">
        <f t="shared" ca="1" si="65"/>
        <v>9766868306.6828651</v>
      </c>
      <c r="K358" s="2">
        <f t="shared" ca="1" si="71"/>
        <v>390199463.80644256</v>
      </c>
      <c r="L358" s="5">
        <f t="shared" ca="1" si="60"/>
        <v>25.030450353278024</v>
      </c>
    </row>
    <row r="359" spans="1:12" x14ac:dyDescent="0.3">
      <c r="A359" s="1">
        <f t="shared" si="66"/>
        <v>29</v>
      </c>
      <c r="B359" s="1">
        <f t="shared" si="67"/>
        <v>12</v>
      </c>
      <c r="C359" s="2">
        <f t="shared" ca="1" si="61"/>
        <v>9766868306.6828651</v>
      </c>
      <c r="D359" s="5">
        <f t="shared" ca="1" si="68"/>
        <v>0</v>
      </c>
      <c r="E359" s="2">
        <f t="shared" ca="1" si="69"/>
        <v>39542377.638894796</v>
      </c>
      <c r="F359" s="2">
        <f t="shared" si="70"/>
        <v>15755164.867083896</v>
      </c>
      <c r="G359" s="2">
        <f t="shared" ca="1" si="62"/>
        <v>7908475.5277789598</v>
      </c>
      <c r="H359" s="5">
        <f t="shared" ca="1" si="63"/>
        <v>1.6543017626200474E-2</v>
      </c>
      <c r="I359" s="2">
        <f t="shared" ca="1" si="64"/>
        <v>161704304.60028583</v>
      </c>
      <c r="J359" s="2">
        <f t="shared" ca="1" si="65"/>
        <v>9936481086.8109303</v>
      </c>
      <c r="K359" s="2">
        <f t="shared" ca="1" si="71"/>
        <v>390199463.80644256</v>
      </c>
      <c r="L359" s="5">
        <f t="shared" ca="1" si="60"/>
        <v>25.465132601360764</v>
      </c>
    </row>
    <row r="360" spans="1:12" x14ac:dyDescent="0.3">
      <c r="A360" s="1">
        <f t="shared" si="66"/>
        <v>30</v>
      </c>
      <c r="B360" s="1">
        <f t="shared" si="67"/>
        <v>1</v>
      </c>
      <c r="C360" s="2">
        <f t="shared" ca="1" si="61"/>
        <v>9936481086.8109303</v>
      </c>
      <c r="D360" s="5">
        <f t="shared" ca="1" si="68"/>
        <v>6.56131696871258E-2</v>
      </c>
      <c r="E360" s="2">
        <f t="shared" ca="1" si="69"/>
        <v>42136878.37274801</v>
      </c>
      <c r="F360" s="2">
        <f t="shared" si="70"/>
        <v>16960434.979415815</v>
      </c>
      <c r="G360" s="2">
        <f t="shared" ca="1" si="62"/>
        <v>4213687.837274801</v>
      </c>
      <c r="H360" s="5">
        <f t="shared" ca="1" si="63"/>
        <v>1.5736916377545818E-2</v>
      </c>
      <c r="I360" s="2">
        <f t="shared" ca="1" si="64"/>
        <v>156435882.40334547</v>
      </c>
      <c r="J360" s="2">
        <f t="shared" ca="1" si="65"/>
        <v>10097130657.05155</v>
      </c>
      <c r="K360" s="2">
        <f t="shared" ca="1" si="71"/>
        <v>405741843.71673197</v>
      </c>
      <c r="L360" s="5">
        <f t="shared" ca="1" si="60"/>
        <v>24.885603527007301</v>
      </c>
    </row>
    <row r="361" spans="1:12" x14ac:dyDescent="0.3">
      <c r="A361" s="1">
        <f t="shared" si="66"/>
        <v>30</v>
      </c>
      <c r="B361" s="1">
        <f t="shared" si="67"/>
        <v>2</v>
      </c>
      <c r="C361" s="2">
        <f t="shared" ca="1" si="61"/>
        <v>10097130657.05155</v>
      </c>
      <c r="D361" s="5">
        <f t="shared" ca="1" si="68"/>
        <v>0</v>
      </c>
      <c r="E361" s="2">
        <f t="shared" ca="1" si="69"/>
        <v>42136878.37274801</v>
      </c>
      <c r="F361" s="2">
        <f t="shared" si="70"/>
        <v>16960434.979415815</v>
      </c>
      <c r="G361" s="2">
        <f t="shared" ca="1" si="62"/>
        <v>4213687.837274801</v>
      </c>
      <c r="H361" s="5">
        <f t="shared" ca="1" si="63"/>
        <v>1.5601235221002652E-2</v>
      </c>
      <c r="I361" s="2">
        <f t="shared" ca="1" si="64"/>
        <v>157593449.17295548</v>
      </c>
      <c r="J361" s="2">
        <f t="shared" ca="1" si="65"/>
        <v>10258937794.061779</v>
      </c>
      <c r="K361" s="2">
        <f t="shared" ca="1" si="71"/>
        <v>405741843.71673197</v>
      </c>
      <c r="L361" s="5">
        <f t="shared" ca="1" si="60"/>
        <v>25.284396847232845</v>
      </c>
    </row>
    <row r="362" spans="1:12" x14ac:dyDescent="0.3">
      <c r="A362" s="1">
        <f t="shared" si="66"/>
        <v>30</v>
      </c>
      <c r="B362" s="1">
        <f t="shared" si="67"/>
        <v>3</v>
      </c>
      <c r="C362" s="2">
        <f t="shared" ca="1" si="61"/>
        <v>10258937794.061779</v>
      </c>
      <c r="D362" s="5">
        <f t="shared" ca="1" si="68"/>
        <v>0</v>
      </c>
      <c r="E362" s="2">
        <f t="shared" ca="1" si="69"/>
        <v>42136878.37274801</v>
      </c>
      <c r="F362" s="2">
        <f t="shared" si="70"/>
        <v>16960434.979415815</v>
      </c>
      <c r="G362" s="2">
        <f t="shared" ca="1" si="62"/>
        <v>4213687.837274801</v>
      </c>
      <c r="H362" s="5">
        <f t="shared" ca="1" si="63"/>
        <v>1.3879652908829865E-2</v>
      </c>
      <c r="I362" s="2">
        <f t="shared" ca="1" si="64"/>
        <v>142448980.31950173</v>
      </c>
      <c r="J362" s="2">
        <f t="shared" ca="1" si="65"/>
        <v>10405600462.218555</v>
      </c>
      <c r="K362" s="2">
        <f t="shared" ca="1" si="71"/>
        <v>405741843.71673197</v>
      </c>
      <c r="L362" s="5">
        <f t="shared" ca="1" si="60"/>
        <v>25.645864786583878</v>
      </c>
    </row>
    <row r="363" spans="1:12" x14ac:dyDescent="0.3">
      <c r="A363" s="1">
        <f t="shared" si="66"/>
        <v>30</v>
      </c>
      <c r="B363" s="1">
        <f t="shared" si="67"/>
        <v>4</v>
      </c>
      <c r="C363" s="2">
        <f t="shared" ca="1" si="61"/>
        <v>10405600462.218555</v>
      </c>
      <c r="D363" s="5">
        <f t="shared" ca="1" si="68"/>
        <v>0</v>
      </c>
      <c r="E363" s="2">
        <f t="shared" ca="1" si="69"/>
        <v>42136878.37274801</v>
      </c>
      <c r="F363" s="2">
        <f t="shared" si="70"/>
        <v>16960434.979415815</v>
      </c>
      <c r="G363" s="2">
        <f t="shared" ca="1" si="62"/>
        <v>4213687.837274801</v>
      </c>
      <c r="H363" s="5">
        <f t="shared" ca="1" si="63"/>
        <v>1.456602656746786E-2</v>
      </c>
      <c r="I363" s="2">
        <f t="shared" ca="1" si="64"/>
        <v>151629629.47211608</v>
      </c>
      <c r="J363" s="2">
        <f t="shared" ca="1" si="65"/>
        <v>10561443779.527946</v>
      </c>
      <c r="K363" s="2">
        <f t="shared" ca="1" si="71"/>
        <v>405741843.71673197</v>
      </c>
      <c r="L363" s="5">
        <f t="shared" ca="1" si="60"/>
        <v>26.029959549603177</v>
      </c>
    </row>
    <row r="364" spans="1:12" x14ac:dyDescent="0.3">
      <c r="A364" s="1">
        <f t="shared" si="66"/>
        <v>30</v>
      </c>
      <c r="B364" s="1">
        <f t="shared" si="67"/>
        <v>5</v>
      </c>
      <c r="C364" s="2">
        <f t="shared" ca="1" si="61"/>
        <v>10561443779.527946</v>
      </c>
      <c r="D364" s="5">
        <f t="shared" ca="1" si="68"/>
        <v>0</v>
      </c>
      <c r="E364" s="2">
        <f t="shared" ca="1" si="69"/>
        <v>42136878.37274801</v>
      </c>
      <c r="F364" s="2">
        <f t="shared" si="70"/>
        <v>16960434.979415815</v>
      </c>
      <c r="G364" s="2">
        <f t="shared" ca="1" si="62"/>
        <v>4213687.837274801</v>
      </c>
      <c r="H364" s="5">
        <f t="shared" ca="1" si="63"/>
        <v>1.6325194567668566E-2</v>
      </c>
      <c r="I364" s="2">
        <f t="shared" ca="1" si="64"/>
        <v>172486413.89007753</v>
      </c>
      <c r="J364" s="2">
        <f t="shared" ca="1" si="65"/>
        <v>10738143881.255299</v>
      </c>
      <c r="K364" s="2">
        <f t="shared" ca="1" si="71"/>
        <v>405741843.71673197</v>
      </c>
      <c r="L364" s="5">
        <f t="shared" ca="1" si="60"/>
        <v>26.465458388245796</v>
      </c>
    </row>
    <row r="365" spans="1:12" x14ac:dyDescent="0.3">
      <c r="A365" s="1">
        <f t="shared" si="66"/>
        <v>30</v>
      </c>
      <c r="B365" s="1">
        <f t="shared" si="67"/>
        <v>6</v>
      </c>
      <c r="C365" s="2">
        <f t="shared" ca="1" si="61"/>
        <v>10738143881.255299</v>
      </c>
      <c r="D365" s="5">
        <f t="shared" ca="1" si="68"/>
        <v>0</v>
      </c>
      <c r="E365" s="2">
        <f t="shared" ca="1" si="69"/>
        <v>42136878.37274801</v>
      </c>
      <c r="F365" s="2">
        <f t="shared" si="70"/>
        <v>16960434.979415815</v>
      </c>
      <c r="G365" s="2">
        <f t="shared" ca="1" si="62"/>
        <v>8427375.674549602</v>
      </c>
      <c r="H365" s="5">
        <f t="shared" ca="1" si="63"/>
        <v>1.8362645297811397E-2</v>
      </c>
      <c r="I365" s="2">
        <f t="shared" ca="1" si="64"/>
        <v>197335476.158658</v>
      </c>
      <c r="J365" s="2">
        <f t="shared" ca="1" si="65"/>
        <v>10943906733.088505</v>
      </c>
      <c r="K365" s="2">
        <f t="shared" ca="1" si="71"/>
        <v>405741843.71673197</v>
      </c>
      <c r="L365" s="5">
        <f t="shared" ca="1" si="60"/>
        <v>26.972585900528848</v>
      </c>
    </row>
    <row r="366" spans="1:12" x14ac:dyDescent="0.3">
      <c r="A366" s="1">
        <f t="shared" si="66"/>
        <v>30</v>
      </c>
      <c r="B366" s="1">
        <f t="shared" si="67"/>
        <v>7</v>
      </c>
      <c r="C366" s="2">
        <f t="shared" ca="1" si="61"/>
        <v>10943906733.088505</v>
      </c>
      <c r="D366" s="5">
        <f t="shared" ca="1" si="68"/>
        <v>0</v>
      </c>
      <c r="E366" s="2">
        <f t="shared" ca="1" si="69"/>
        <v>42136878.37274801</v>
      </c>
      <c r="F366" s="2">
        <f t="shared" si="70"/>
        <v>16960434.979415815</v>
      </c>
      <c r="G366" s="2">
        <f t="shared" ca="1" si="62"/>
        <v>4213687.837274801</v>
      </c>
      <c r="H366" s="5">
        <f t="shared" ca="1" si="63"/>
        <v>9.3129962190574567E-3</v>
      </c>
      <c r="I366" s="2">
        <f t="shared" ca="1" si="64"/>
        <v>101959804.08586751</v>
      </c>
      <c r="J366" s="2">
        <f t="shared" ca="1" si="65"/>
        <v>11050080225.011646</v>
      </c>
      <c r="K366" s="2">
        <f t="shared" ca="1" si="71"/>
        <v>405741843.71673197</v>
      </c>
      <c r="L366" s="5">
        <f t="shared" ca="1" si="60"/>
        <v>27.234263352749593</v>
      </c>
    </row>
    <row r="367" spans="1:12" x14ac:dyDescent="0.3">
      <c r="A367" s="1">
        <f t="shared" si="66"/>
        <v>30</v>
      </c>
      <c r="B367" s="1">
        <f t="shared" si="67"/>
        <v>8</v>
      </c>
      <c r="C367" s="2">
        <f t="shared" ca="1" si="61"/>
        <v>11050080225.011646</v>
      </c>
      <c r="D367" s="5">
        <f t="shared" ca="1" si="68"/>
        <v>0</v>
      </c>
      <c r="E367" s="2">
        <f t="shared" ca="1" si="69"/>
        <v>42136878.37274801</v>
      </c>
      <c r="F367" s="2">
        <f t="shared" si="70"/>
        <v>16960434.979415815</v>
      </c>
      <c r="G367" s="2">
        <f t="shared" ca="1" si="62"/>
        <v>4213687.837274801</v>
      </c>
      <c r="H367" s="5">
        <f t="shared" ca="1" si="63"/>
        <v>1.568461317138703E-2</v>
      </c>
      <c r="I367" s="2">
        <f t="shared" ca="1" si="64"/>
        <v>173382323.90585366</v>
      </c>
      <c r="J367" s="2">
        <f t="shared" ca="1" si="65"/>
        <v>11227676236.754774</v>
      </c>
      <c r="K367" s="2">
        <f t="shared" ca="1" si="71"/>
        <v>405741843.71673197</v>
      </c>
      <c r="L367" s="5">
        <f t="shared" ca="1" si="60"/>
        <v>27.671970270321339</v>
      </c>
    </row>
    <row r="368" spans="1:12" x14ac:dyDescent="0.3">
      <c r="A368" s="1">
        <f t="shared" si="66"/>
        <v>30</v>
      </c>
      <c r="B368" s="1">
        <f t="shared" si="67"/>
        <v>9</v>
      </c>
      <c r="C368" s="2">
        <f t="shared" ca="1" si="61"/>
        <v>11227676236.754774</v>
      </c>
      <c r="D368" s="5">
        <f t="shared" ca="1" si="68"/>
        <v>0</v>
      </c>
      <c r="E368" s="2">
        <f t="shared" ca="1" si="69"/>
        <v>42136878.37274801</v>
      </c>
      <c r="F368" s="2">
        <f t="shared" si="70"/>
        <v>16960434.979415815</v>
      </c>
      <c r="G368" s="2">
        <f t="shared" ca="1" si="62"/>
        <v>4213687.837274801</v>
      </c>
      <c r="H368" s="5">
        <f t="shared" ca="1" si="63"/>
        <v>1.7258650525568076E-2</v>
      </c>
      <c r="I368" s="2">
        <f t="shared" ca="1" si="64"/>
        <v>193847262.95018333</v>
      </c>
      <c r="J368" s="2">
        <f t="shared" ca="1" si="65"/>
        <v>11425737187.542233</v>
      </c>
      <c r="K368" s="2">
        <f t="shared" ca="1" si="71"/>
        <v>405741843.71673197</v>
      </c>
      <c r="L368" s="5">
        <f t="shared" ca="1" si="60"/>
        <v>28.160115513052908</v>
      </c>
    </row>
    <row r="369" spans="1:12" x14ac:dyDescent="0.3">
      <c r="A369" s="1">
        <f t="shared" si="66"/>
        <v>30</v>
      </c>
      <c r="B369" s="1">
        <f t="shared" si="67"/>
        <v>10</v>
      </c>
      <c r="C369" s="2">
        <f t="shared" ca="1" si="61"/>
        <v>11425737187.542233</v>
      </c>
      <c r="D369" s="5">
        <f t="shared" ca="1" si="68"/>
        <v>0</v>
      </c>
      <c r="E369" s="2">
        <f t="shared" ca="1" si="69"/>
        <v>42136878.37274801</v>
      </c>
      <c r="F369" s="2">
        <f t="shared" si="70"/>
        <v>16960434.979415815</v>
      </c>
      <c r="G369" s="2">
        <f t="shared" ca="1" si="62"/>
        <v>4213687.837274801</v>
      </c>
      <c r="H369" s="5">
        <f t="shared" ca="1" si="63"/>
        <v>1.5525255236946478E-2</v>
      </c>
      <c r="I369" s="2">
        <f t="shared" ca="1" si="64"/>
        <v>177452904.68602666</v>
      </c>
      <c r="J369" s="2">
        <f t="shared" ca="1" si="65"/>
        <v>11607403780.065535</v>
      </c>
      <c r="K369" s="2">
        <f t="shared" ca="1" si="71"/>
        <v>405741843.71673197</v>
      </c>
      <c r="L369" s="5">
        <f t="shared" ca="1" si="60"/>
        <v>28.607854870815903</v>
      </c>
    </row>
    <row r="370" spans="1:12" x14ac:dyDescent="0.3">
      <c r="A370" s="1">
        <f t="shared" si="66"/>
        <v>30</v>
      </c>
      <c r="B370" s="1">
        <f t="shared" si="67"/>
        <v>11</v>
      </c>
      <c r="C370" s="2">
        <f t="shared" ca="1" si="61"/>
        <v>11607403780.065535</v>
      </c>
      <c r="D370" s="5">
        <f t="shared" ca="1" si="68"/>
        <v>0</v>
      </c>
      <c r="E370" s="2">
        <f t="shared" ca="1" si="69"/>
        <v>42136878.37274801</v>
      </c>
      <c r="F370" s="2">
        <f t="shared" si="70"/>
        <v>16960434.979415815</v>
      </c>
      <c r="G370" s="2">
        <f t="shared" ca="1" si="62"/>
        <v>4213687.837274801</v>
      </c>
      <c r="H370" s="5">
        <f t="shared" ca="1" si="63"/>
        <v>1.0618772417281042E-2</v>
      </c>
      <c r="I370" s="2">
        <f t="shared" ca="1" si="64"/>
        <v>123301123.28818507</v>
      </c>
      <c r="J370" s="2">
        <f t="shared" ca="1" si="65"/>
        <v>11734918591.190994</v>
      </c>
      <c r="K370" s="2">
        <f t="shared" ca="1" si="71"/>
        <v>405741843.71673197</v>
      </c>
      <c r="L370" s="5">
        <f t="shared" ca="1" si="60"/>
        <v>28.922130593421638</v>
      </c>
    </row>
    <row r="371" spans="1:12" x14ac:dyDescent="0.3">
      <c r="A371" s="1">
        <f t="shared" si="66"/>
        <v>30</v>
      </c>
      <c r="B371" s="1">
        <f t="shared" si="67"/>
        <v>12</v>
      </c>
      <c r="C371" s="2">
        <f t="shared" ca="1" si="61"/>
        <v>11734918591.190994</v>
      </c>
      <c r="D371" s="5">
        <f t="shared" ca="1" si="68"/>
        <v>0</v>
      </c>
      <c r="E371" s="2">
        <f t="shared" ca="1" si="69"/>
        <v>42136878.37274801</v>
      </c>
      <c r="F371" s="2">
        <f t="shared" si="70"/>
        <v>16960434.979415815</v>
      </c>
      <c r="G371" s="2">
        <f t="shared" ca="1" si="62"/>
        <v>8427375.674549602</v>
      </c>
      <c r="H371" s="5">
        <f t="shared" ca="1" si="63"/>
        <v>1.4201721324413219E-2</v>
      </c>
      <c r="I371" s="2">
        <f t="shared" ca="1" si="64"/>
        <v>166775726.83759636</v>
      </c>
      <c r="J371" s="2">
        <f t="shared" ca="1" si="65"/>
        <v>11910121693.70314</v>
      </c>
      <c r="K371" s="2">
        <f t="shared" ca="1" si="71"/>
        <v>405741843.71673197</v>
      </c>
      <c r="L371" s="5">
        <f t="shared" ca="1" si="60"/>
        <v>29.353939895876682</v>
      </c>
    </row>
    <row r="372" spans="1:12" x14ac:dyDescent="0.3">
      <c r="A372" s="1">
        <f t="shared" si="66"/>
        <v>31</v>
      </c>
      <c r="B372" s="1">
        <f t="shared" si="67"/>
        <v>1</v>
      </c>
      <c r="C372" s="2">
        <f t="shared" ca="1" si="61"/>
        <v>11910121693.70314</v>
      </c>
      <c r="D372" s="5">
        <f t="shared" ca="1" si="68"/>
        <v>0.16816466764891036</v>
      </c>
      <c r="E372" s="2">
        <f t="shared" ca="1" si="69"/>
        <v>49222812.520063736</v>
      </c>
      <c r="F372" s="2">
        <f t="shared" si="70"/>
        <v>18257908.255341124</v>
      </c>
      <c r="G372" s="2">
        <f t="shared" ca="1" si="62"/>
        <v>4922281.2520063734</v>
      </c>
      <c r="H372" s="5">
        <f t="shared" ca="1" si="63"/>
        <v>1.551850245023334E-2</v>
      </c>
      <c r="I372" s="2">
        <f t="shared" ca="1" si="64"/>
        <v>184903639.11997944</v>
      </c>
      <c r="J372" s="2">
        <f t="shared" ca="1" si="65"/>
        <v>12099947614.075127</v>
      </c>
      <c r="K372" s="2">
        <f t="shared" ca="1" si="71"/>
        <v>419050535.38196319</v>
      </c>
      <c r="L372" s="5">
        <f t="shared" ca="1" si="60"/>
        <v>28.874674036738945</v>
      </c>
    </row>
    <row r="373" spans="1:12" x14ac:dyDescent="0.3">
      <c r="A373" s="1">
        <f t="shared" si="66"/>
        <v>31</v>
      </c>
      <c r="B373" s="1">
        <f t="shared" si="67"/>
        <v>2</v>
      </c>
      <c r="C373" s="2">
        <f t="shared" ca="1" si="61"/>
        <v>12099947614.075127</v>
      </c>
      <c r="D373" s="5">
        <f t="shared" ca="1" si="68"/>
        <v>0</v>
      </c>
      <c r="E373" s="2">
        <f t="shared" ca="1" si="69"/>
        <v>49222812.520063736</v>
      </c>
      <c r="F373" s="2">
        <f t="shared" si="70"/>
        <v>18257908.255341124</v>
      </c>
      <c r="G373" s="2">
        <f t="shared" ca="1" si="62"/>
        <v>4922281.2520063734</v>
      </c>
      <c r="H373" s="5">
        <f t="shared" ca="1" si="63"/>
        <v>1.5542578758042547E-2</v>
      </c>
      <c r="I373" s="2">
        <f t="shared" ca="1" si="64"/>
        <v>188140893.70398021</v>
      </c>
      <c r="J373" s="2">
        <f t="shared" ca="1" si="65"/>
        <v>12293010789.031113</v>
      </c>
      <c r="K373" s="2">
        <f t="shared" ca="1" si="71"/>
        <v>419050535.38196319</v>
      </c>
      <c r="L373" s="5">
        <f t="shared" ca="1" si="60"/>
        <v>29.335389770653972</v>
      </c>
    </row>
    <row r="374" spans="1:12" x14ac:dyDescent="0.3">
      <c r="A374" s="1">
        <f t="shared" si="66"/>
        <v>31</v>
      </c>
      <c r="B374" s="1">
        <f t="shared" si="67"/>
        <v>3</v>
      </c>
      <c r="C374" s="2">
        <f t="shared" ca="1" si="61"/>
        <v>12293010789.031113</v>
      </c>
      <c r="D374" s="5">
        <f t="shared" ca="1" si="68"/>
        <v>0</v>
      </c>
      <c r="E374" s="2">
        <f t="shared" ca="1" si="69"/>
        <v>49222812.520063736</v>
      </c>
      <c r="F374" s="2">
        <f t="shared" si="70"/>
        <v>18257908.255341124</v>
      </c>
      <c r="G374" s="2">
        <f t="shared" ca="1" si="62"/>
        <v>4922281.2520063734</v>
      </c>
      <c r="H374" s="5">
        <f t="shared" ca="1" si="63"/>
        <v>1.7443136352668365E-2</v>
      </c>
      <c r="I374" s="2">
        <f t="shared" ca="1" si="64"/>
        <v>214514523.40093794</v>
      </c>
      <c r="J374" s="2">
        <f t="shared" ca="1" si="65"/>
        <v>12512447593.684057</v>
      </c>
      <c r="K374" s="2">
        <f t="shared" ca="1" si="71"/>
        <v>419050535.38196319</v>
      </c>
      <c r="L374" s="5">
        <f t="shared" ca="1" si="60"/>
        <v>29.859042137433381</v>
      </c>
    </row>
    <row r="375" spans="1:12" x14ac:dyDescent="0.3">
      <c r="A375" s="1">
        <f t="shared" si="66"/>
        <v>31</v>
      </c>
      <c r="B375" s="1">
        <f t="shared" si="67"/>
        <v>4</v>
      </c>
      <c r="C375" s="2">
        <f t="shared" ca="1" si="61"/>
        <v>12512447593.684057</v>
      </c>
      <c r="D375" s="5">
        <f t="shared" ca="1" si="68"/>
        <v>0</v>
      </c>
      <c r="E375" s="2">
        <f t="shared" ca="1" si="69"/>
        <v>49222812.520063736</v>
      </c>
      <c r="F375" s="2">
        <f t="shared" si="70"/>
        <v>18257908.255341124</v>
      </c>
      <c r="G375" s="2">
        <f t="shared" ca="1" si="62"/>
        <v>4922281.2520063734</v>
      </c>
      <c r="H375" s="5">
        <f t="shared" ca="1" si="63"/>
        <v>1.786880324226181E-2</v>
      </c>
      <c r="I375" s="2">
        <f t="shared" ca="1" si="64"/>
        <v>223670419.40584785</v>
      </c>
      <c r="J375" s="2">
        <f t="shared" ca="1" si="65"/>
        <v>12741040294.341911</v>
      </c>
      <c r="K375" s="2">
        <f t="shared" ca="1" si="71"/>
        <v>419050535.38196319</v>
      </c>
      <c r="L375" s="5">
        <f t="shared" ca="1" si="60"/>
        <v>30.404543649439546</v>
      </c>
    </row>
    <row r="376" spans="1:12" x14ac:dyDescent="0.3">
      <c r="A376" s="1">
        <f t="shared" si="66"/>
        <v>31</v>
      </c>
      <c r="B376" s="1">
        <f t="shared" si="67"/>
        <v>5</v>
      </c>
      <c r="C376" s="2">
        <f t="shared" ca="1" si="61"/>
        <v>12741040294.341911</v>
      </c>
      <c r="D376" s="5">
        <f t="shared" ca="1" si="68"/>
        <v>0</v>
      </c>
      <c r="E376" s="2">
        <f t="shared" ca="1" si="69"/>
        <v>49222812.520063736</v>
      </c>
      <c r="F376" s="2">
        <f t="shared" si="70"/>
        <v>18257908.255341124</v>
      </c>
      <c r="G376" s="2">
        <f t="shared" ca="1" si="62"/>
        <v>4922281.2520063734</v>
      </c>
      <c r="H376" s="5">
        <f t="shared" ca="1" si="63"/>
        <v>1.5377932113857407E-2</v>
      </c>
      <c r="I376" s="2">
        <f t="shared" ca="1" si="64"/>
        <v>196006547.21325037</v>
      </c>
      <c r="J376" s="2">
        <f t="shared" ca="1" si="65"/>
        <v>12941969122.807169</v>
      </c>
      <c r="K376" s="2">
        <f t="shared" ca="1" si="71"/>
        <v>419050535.38196319</v>
      </c>
      <c r="L376" s="5">
        <f t="shared" ca="1" si="60"/>
        <v>30.884029562235511</v>
      </c>
    </row>
    <row r="377" spans="1:12" x14ac:dyDescent="0.3">
      <c r="A377" s="1">
        <f t="shared" si="66"/>
        <v>31</v>
      </c>
      <c r="B377" s="1">
        <f t="shared" si="67"/>
        <v>6</v>
      </c>
      <c r="C377" s="2">
        <f t="shared" ca="1" si="61"/>
        <v>12941969122.807169</v>
      </c>
      <c r="D377" s="5">
        <f t="shared" ca="1" si="68"/>
        <v>0</v>
      </c>
      <c r="E377" s="2">
        <f t="shared" ca="1" si="69"/>
        <v>49222812.520063736</v>
      </c>
      <c r="F377" s="2">
        <f t="shared" si="70"/>
        <v>18257908.255341124</v>
      </c>
      <c r="G377" s="2">
        <f t="shared" ca="1" si="62"/>
        <v>9844562.5040127467</v>
      </c>
      <c r="H377" s="5">
        <f t="shared" ca="1" si="63"/>
        <v>1.4823528064918712E-2</v>
      </c>
      <c r="I377" s="2">
        <f t="shared" ca="1" si="64"/>
        <v>191991573.65580857</v>
      </c>
      <c r="J377" s="2">
        <f t="shared" ca="1" si="65"/>
        <v>13143805258.966991</v>
      </c>
      <c r="K377" s="2">
        <f t="shared" ca="1" si="71"/>
        <v>419050535.38196319</v>
      </c>
      <c r="L377" s="5">
        <f t="shared" ca="1" si="60"/>
        <v>31.365680626052551</v>
      </c>
    </row>
    <row r="378" spans="1:12" x14ac:dyDescent="0.3">
      <c r="A378" s="1">
        <f t="shared" si="66"/>
        <v>31</v>
      </c>
      <c r="B378" s="1">
        <f t="shared" si="67"/>
        <v>7</v>
      </c>
      <c r="C378" s="2">
        <f t="shared" ca="1" si="61"/>
        <v>13143805258.966991</v>
      </c>
      <c r="D378" s="5">
        <f t="shared" ca="1" si="68"/>
        <v>0</v>
      </c>
      <c r="E378" s="2">
        <f t="shared" ca="1" si="69"/>
        <v>49222812.520063736</v>
      </c>
      <c r="F378" s="2">
        <f t="shared" si="70"/>
        <v>18257908.255341124</v>
      </c>
      <c r="G378" s="2">
        <f t="shared" ca="1" si="62"/>
        <v>4922281.2520063734</v>
      </c>
      <c r="H378" s="5">
        <f t="shared" ca="1" si="63"/>
        <v>1.5972377322345688E-2</v>
      </c>
      <c r="I378" s="2">
        <f t="shared" ca="1" si="64"/>
        <v>210016437.58109611</v>
      </c>
      <c r="J378" s="2">
        <f t="shared" ca="1" si="65"/>
        <v>13358743977.800095</v>
      </c>
      <c r="K378" s="2">
        <f t="shared" ca="1" si="71"/>
        <v>419050535.38196319</v>
      </c>
      <c r="L378" s="5">
        <f t="shared" ca="1" si="60"/>
        <v>31.878598999100774</v>
      </c>
    </row>
    <row r="379" spans="1:12" x14ac:dyDescent="0.3">
      <c r="A379" s="1">
        <f t="shared" si="66"/>
        <v>31</v>
      </c>
      <c r="B379" s="1">
        <f t="shared" si="67"/>
        <v>8</v>
      </c>
      <c r="C379" s="2">
        <f t="shared" ca="1" si="61"/>
        <v>13358743977.800095</v>
      </c>
      <c r="D379" s="5">
        <f t="shared" ca="1" si="68"/>
        <v>0</v>
      </c>
      <c r="E379" s="2">
        <f t="shared" ca="1" si="69"/>
        <v>49222812.520063736</v>
      </c>
      <c r="F379" s="2">
        <f t="shared" si="70"/>
        <v>18257908.255341124</v>
      </c>
      <c r="G379" s="2">
        <f t="shared" ca="1" si="62"/>
        <v>4922281.2520063734</v>
      </c>
      <c r="H379" s="5">
        <f t="shared" ca="1" si="63"/>
        <v>1.4548046102516254E-2</v>
      </c>
      <c r="I379" s="2">
        <f t="shared" ca="1" si="64"/>
        <v>194415232.8353309</v>
      </c>
      <c r="J379" s="2">
        <f t="shared" ca="1" si="65"/>
        <v>13558081491.887432</v>
      </c>
      <c r="K379" s="2">
        <f t="shared" ca="1" si="71"/>
        <v>419050535.38196319</v>
      </c>
      <c r="L379" s="5">
        <f t="shared" ca="1" si="60"/>
        <v>32.354287483559197</v>
      </c>
    </row>
    <row r="380" spans="1:12" x14ac:dyDescent="0.3">
      <c r="A380" s="1">
        <f t="shared" si="66"/>
        <v>31</v>
      </c>
      <c r="B380" s="1">
        <f t="shared" si="67"/>
        <v>9</v>
      </c>
      <c r="C380" s="2">
        <f t="shared" ca="1" si="61"/>
        <v>13558081491.887432</v>
      </c>
      <c r="D380" s="5">
        <f t="shared" ca="1" si="68"/>
        <v>0</v>
      </c>
      <c r="E380" s="2">
        <f t="shared" ca="1" si="69"/>
        <v>49222812.520063736</v>
      </c>
      <c r="F380" s="2">
        <f t="shared" si="70"/>
        <v>18257908.255341124</v>
      </c>
      <c r="G380" s="2">
        <f t="shared" ca="1" si="62"/>
        <v>4922281.2520063734</v>
      </c>
      <c r="H380" s="5">
        <f t="shared" ca="1" si="63"/>
        <v>1.5037616096791773E-2</v>
      </c>
      <c r="I380" s="2">
        <f t="shared" ca="1" si="64"/>
        <v>203955243.85980916</v>
      </c>
      <c r="J380" s="2">
        <f t="shared" ca="1" si="65"/>
        <v>13766959016.999249</v>
      </c>
      <c r="K380" s="2">
        <f t="shared" ca="1" si="71"/>
        <v>419050535.38196319</v>
      </c>
      <c r="L380" s="5">
        <f t="shared" ca="1" si="60"/>
        <v>32.852741744980015</v>
      </c>
    </row>
    <row r="381" spans="1:12" x14ac:dyDescent="0.3">
      <c r="A381" s="1">
        <f t="shared" si="66"/>
        <v>31</v>
      </c>
      <c r="B381" s="1">
        <f t="shared" si="67"/>
        <v>10</v>
      </c>
      <c r="C381" s="2">
        <f t="shared" ca="1" si="61"/>
        <v>13766959016.999249</v>
      </c>
      <c r="D381" s="5">
        <f t="shared" ca="1" si="68"/>
        <v>0</v>
      </c>
      <c r="E381" s="2">
        <f t="shared" ca="1" si="69"/>
        <v>49222812.520063736</v>
      </c>
      <c r="F381" s="2">
        <f t="shared" si="70"/>
        <v>18257908.255341124</v>
      </c>
      <c r="G381" s="2">
        <f t="shared" ca="1" si="62"/>
        <v>4922281.2520063734</v>
      </c>
      <c r="H381" s="5">
        <f t="shared" ca="1" si="63"/>
        <v>1.8033139427287459E-2</v>
      </c>
      <c r="I381" s="2">
        <f t="shared" ca="1" si="64"/>
        <v>248350255.6274175</v>
      </c>
      <c r="J381" s="2">
        <f t="shared" ca="1" si="65"/>
        <v>14020231553.878672</v>
      </c>
      <c r="K381" s="2">
        <f t="shared" ca="1" si="71"/>
        <v>419050535.38196319</v>
      </c>
      <c r="L381" s="5">
        <f t="shared" ca="1" si="60"/>
        <v>33.457137910823278</v>
      </c>
    </row>
    <row r="382" spans="1:12" x14ac:dyDescent="0.3">
      <c r="A382" s="1">
        <f t="shared" si="66"/>
        <v>31</v>
      </c>
      <c r="B382" s="1">
        <f t="shared" si="67"/>
        <v>11</v>
      </c>
      <c r="C382" s="2">
        <f t="shared" ca="1" si="61"/>
        <v>14020231553.878672</v>
      </c>
      <c r="D382" s="5">
        <f t="shared" ca="1" si="68"/>
        <v>0</v>
      </c>
      <c r="E382" s="2">
        <f t="shared" ca="1" si="69"/>
        <v>49222812.520063736</v>
      </c>
      <c r="F382" s="2">
        <f t="shared" si="70"/>
        <v>18257908.255341124</v>
      </c>
      <c r="G382" s="2">
        <f t="shared" ca="1" si="62"/>
        <v>4922281.2520063734</v>
      </c>
      <c r="H382" s="5">
        <f t="shared" ca="1" si="63"/>
        <v>1.365995422802424E-2</v>
      </c>
      <c r="I382" s="2">
        <f t="shared" ca="1" si="64"/>
        <v>191582959.4288837</v>
      </c>
      <c r="J382" s="2">
        <f t="shared" ca="1" si="65"/>
        <v>14216736794.559563</v>
      </c>
      <c r="K382" s="2">
        <f t="shared" ca="1" si="71"/>
        <v>419050535.38196319</v>
      </c>
      <c r="L382" s="5">
        <f t="shared" ca="1" si="60"/>
        <v>33.92606760805365</v>
      </c>
    </row>
    <row r="383" spans="1:12" x14ac:dyDescent="0.3">
      <c r="A383" s="1">
        <f t="shared" si="66"/>
        <v>31</v>
      </c>
      <c r="B383" s="1">
        <f t="shared" si="67"/>
        <v>12</v>
      </c>
      <c r="C383" s="2">
        <f t="shared" ca="1" si="61"/>
        <v>14216736794.559563</v>
      </c>
      <c r="D383" s="5">
        <f t="shared" ca="1" si="68"/>
        <v>0</v>
      </c>
      <c r="E383" s="2">
        <f t="shared" ca="1" si="69"/>
        <v>49222812.520063736</v>
      </c>
      <c r="F383" s="2">
        <f t="shared" si="70"/>
        <v>18257908.255341124</v>
      </c>
      <c r="G383" s="2">
        <f t="shared" ca="1" si="62"/>
        <v>9844562.5040127467</v>
      </c>
      <c r="H383" s="5">
        <f t="shared" ca="1" si="63"/>
        <v>1.6587505909325673E-2</v>
      </c>
      <c r="I383" s="2">
        <f t="shared" ca="1" si="64"/>
        <v>235983502.3297945</v>
      </c>
      <c r="J383" s="2">
        <f t="shared" ca="1" si="65"/>
        <v>14462564859.39337</v>
      </c>
      <c r="K383" s="2">
        <f t="shared" ca="1" si="71"/>
        <v>419050535.38196319</v>
      </c>
      <c r="L383" s="5">
        <f t="shared" ca="1" si="60"/>
        <v>34.512698680150329</v>
      </c>
    </row>
    <row r="384" spans="1:12" x14ac:dyDescent="0.3">
      <c r="A384" s="1">
        <f t="shared" si="66"/>
        <v>32</v>
      </c>
      <c r="B384" s="1">
        <f t="shared" si="67"/>
        <v>1</v>
      </c>
      <c r="C384" s="2">
        <f t="shared" ca="1" si="61"/>
        <v>14462564859.39337</v>
      </c>
      <c r="D384" s="5">
        <f t="shared" ca="1" si="68"/>
        <v>7.0967415382321028E-2</v>
      </c>
      <c r="E384" s="2">
        <f t="shared" ca="1" si="69"/>
        <v>52716028.302461207</v>
      </c>
      <c r="F384" s="2">
        <f t="shared" si="70"/>
        <v>19654638.236874718</v>
      </c>
      <c r="G384" s="2">
        <f t="shared" ca="1" si="62"/>
        <v>5271602.8302461207</v>
      </c>
      <c r="H384" s="5">
        <f t="shared" ca="1" si="63"/>
        <v>1.214426460805007E-2</v>
      </c>
      <c r="I384" s="2">
        <f t="shared" ca="1" si="64"/>
        <v>175701234.3032386</v>
      </c>
      <c r="J384" s="2">
        <f t="shared" ca="1" si="65"/>
        <v>14643537696.526854</v>
      </c>
      <c r="K384" s="2">
        <f t="shared" ca="1" si="71"/>
        <v>432521163.72272664</v>
      </c>
      <c r="L384" s="5">
        <f t="shared" ca="1" si="60"/>
        <v>33.856233925039298</v>
      </c>
    </row>
    <row r="385" spans="1:12" x14ac:dyDescent="0.3">
      <c r="A385" s="1">
        <f t="shared" si="66"/>
        <v>32</v>
      </c>
      <c r="B385" s="1">
        <f t="shared" si="67"/>
        <v>2</v>
      </c>
      <c r="C385" s="2">
        <f t="shared" ca="1" si="61"/>
        <v>14643537696.526854</v>
      </c>
      <c r="D385" s="5">
        <f t="shared" ca="1" si="68"/>
        <v>0</v>
      </c>
      <c r="E385" s="2">
        <f t="shared" ca="1" si="69"/>
        <v>52716028.302461207</v>
      </c>
      <c r="F385" s="2">
        <f t="shared" si="70"/>
        <v>19654638.236874718</v>
      </c>
      <c r="G385" s="2">
        <f t="shared" ca="1" si="62"/>
        <v>5271602.8302461207</v>
      </c>
      <c r="H385" s="5">
        <f t="shared" ca="1" si="63"/>
        <v>1.7374008033027133E-2</v>
      </c>
      <c r="I385" s="2">
        <f t="shared" ca="1" si="64"/>
        <v>254508530.44131282</v>
      </c>
      <c r="J385" s="2">
        <f t="shared" ca="1" si="65"/>
        <v>14903317829.798412</v>
      </c>
      <c r="K385" s="2">
        <f t="shared" ca="1" si="71"/>
        <v>432521163.72272664</v>
      </c>
      <c r="L385" s="5">
        <f t="shared" ca="1" si="60"/>
        <v>34.456852241691415</v>
      </c>
    </row>
    <row r="386" spans="1:12" x14ac:dyDescent="0.3">
      <c r="A386" s="1">
        <f t="shared" si="66"/>
        <v>32</v>
      </c>
      <c r="B386" s="1">
        <f t="shared" si="67"/>
        <v>3</v>
      </c>
      <c r="C386" s="2">
        <f t="shared" ca="1" si="61"/>
        <v>14903317829.798412</v>
      </c>
      <c r="D386" s="5">
        <f t="shared" ca="1" si="68"/>
        <v>0</v>
      </c>
      <c r="E386" s="2">
        <f t="shared" ca="1" si="69"/>
        <v>52716028.302461207</v>
      </c>
      <c r="F386" s="2">
        <f t="shared" si="70"/>
        <v>19654638.236874718</v>
      </c>
      <c r="G386" s="2">
        <f t="shared" ca="1" si="62"/>
        <v>5271602.8302461207</v>
      </c>
      <c r="H386" s="5">
        <f t="shared" ca="1" si="63"/>
        <v>1.6016998772304447E-2</v>
      </c>
      <c r="I386" s="2">
        <f t="shared" ca="1" si="64"/>
        <v>238790858.63920426</v>
      </c>
      <c r="J386" s="2">
        <f t="shared" ca="1" si="65"/>
        <v>15147380291.267862</v>
      </c>
      <c r="K386" s="2">
        <f t="shared" ca="1" si="71"/>
        <v>432521163.72272664</v>
      </c>
      <c r="L386" s="5">
        <f t="shared" ca="1" si="60"/>
        <v>35.021130898876173</v>
      </c>
    </row>
    <row r="387" spans="1:12" x14ac:dyDescent="0.3">
      <c r="A387" s="1">
        <f t="shared" si="66"/>
        <v>32</v>
      </c>
      <c r="B387" s="1">
        <f t="shared" si="67"/>
        <v>4</v>
      </c>
      <c r="C387" s="2">
        <f t="shared" ca="1" si="61"/>
        <v>15147380291.267862</v>
      </c>
      <c r="D387" s="5">
        <f t="shared" ca="1" si="68"/>
        <v>0</v>
      </c>
      <c r="E387" s="2">
        <f t="shared" ca="1" si="69"/>
        <v>52716028.302461207</v>
      </c>
      <c r="F387" s="2">
        <f t="shared" si="70"/>
        <v>19654638.236874718</v>
      </c>
      <c r="G387" s="2">
        <f t="shared" ca="1" si="62"/>
        <v>5271602.8302461207</v>
      </c>
      <c r="H387" s="5">
        <f t="shared" ca="1" si="63"/>
        <v>1.6577338759289573E-2</v>
      </c>
      <c r="I387" s="2">
        <f t="shared" ca="1" si="64"/>
        <v>251190643.55005512</v>
      </c>
      <c r="J387" s="2">
        <f t="shared" ca="1" si="65"/>
        <v>15403842537.648163</v>
      </c>
      <c r="K387" s="2">
        <f t="shared" ca="1" si="71"/>
        <v>432521163.72272664</v>
      </c>
      <c r="L387" s="5">
        <f t="shared" ca="1" si="60"/>
        <v>35.614078176121339</v>
      </c>
    </row>
    <row r="388" spans="1:12" x14ac:dyDescent="0.3">
      <c r="A388" s="1">
        <f t="shared" si="66"/>
        <v>32</v>
      </c>
      <c r="B388" s="1">
        <f t="shared" si="67"/>
        <v>5</v>
      </c>
      <c r="C388" s="2">
        <f t="shared" ca="1" si="61"/>
        <v>15403842537.648163</v>
      </c>
      <c r="D388" s="5">
        <f t="shared" ca="1" si="68"/>
        <v>0</v>
      </c>
      <c r="E388" s="2">
        <f t="shared" ca="1" si="69"/>
        <v>52716028.302461207</v>
      </c>
      <c r="F388" s="2">
        <f t="shared" si="70"/>
        <v>19654638.236874718</v>
      </c>
      <c r="G388" s="2">
        <f t="shared" ca="1" si="62"/>
        <v>5271602.8302461207</v>
      </c>
      <c r="H388" s="5">
        <f t="shared" ca="1" si="63"/>
        <v>1.6241690620717009E-2</v>
      </c>
      <c r="I388" s="2">
        <f t="shared" ca="1" si="64"/>
        <v>250270064.60896599</v>
      </c>
      <c r="J388" s="2">
        <f t="shared" ca="1" si="65"/>
        <v>15659384205.087376</v>
      </c>
      <c r="K388" s="2">
        <f t="shared" ca="1" si="71"/>
        <v>432521163.72272664</v>
      </c>
      <c r="L388" s="5">
        <f t="shared" ca="1" si="60"/>
        <v>36.204897051294417</v>
      </c>
    </row>
    <row r="389" spans="1:12" x14ac:dyDescent="0.3">
      <c r="A389" s="1">
        <f t="shared" si="66"/>
        <v>32</v>
      </c>
      <c r="B389" s="1">
        <f t="shared" si="67"/>
        <v>6</v>
      </c>
      <c r="C389" s="2">
        <f t="shared" ca="1" si="61"/>
        <v>15659384205.087376</v>
      </c>
      <c r="D389" s="5">
        <f t="shared" ca="1" si="68"/>
        <v>0</v>
      </c>
      <c r="E389" s="2">
        <f t="shared" ca="1" si="69"/>
        <v>52716028.302461207</v>
      </c>
      <c r="F389" s="2">
        <f t="shared" si="70"/>
        <v>19654638.236874718</v>
      </c>
      <c r="G389" s="2">
        <f t="shared" ca="1" si="62"/>
        <v>10543205.660492241</v>
      </c>
      <c r="H389" s="5">
        <f t="shared" ca="1" si="63"/>
        <v>1.3625782737416881E-2</v>
      </c>
      <c r="I389" s="2">
        <f t="shared" ca="1" si="64"/>
        <v>213515026.40994388</v>
      </c>
      <c r="J389" s="2">
        <f t="shared" ca="1" si="65"/>
        <v>15883442437.157812</v>
      </c>
      <c r="K389" s="2">
        <f t="shared" ca="1" si="71"/>
        <v>432521163.72272664</v>
      </c>
      <c r="L389" s="5">
        <f t="shared" ca="1" si="60"/>
        <v>36.722925418142317</v>
      </c>
    </row>
    <row r="390" spans="1:12" x14ac:dyDescent="0.3">
      <c r="A390" s="1">
        <f t="shared" si="66"/>
        <v>32</v>
      </c>
      <c r="B390" s="1">
        <f t="shared" si="67"/>
        <v>7</v>
      </c>
      <c r="C390" s="2">
        <f t="shared" ca="1" si="61"/>
        <v>15883442437.157812</v>
      </c>
      <c r="D390" s="5">
        <f t="shared" ca="1" si="68"/>
        <v>0</v>
      </c>
      <c r="E390" s="2">
        <f t="shared" ca="1" si="69"/>
        <v>52716028.302461207</v>
      </c>
      <c r="F390" s="2">
        <f t="shared" si="70"/>
        <v>19654638.236874718</v>
      </c>
      <c r="G390" s="2">
        <f t="shared" ca="1" si="62"/>
        <v>5271602.8302461207</v>
      </c>
      <c r="H390" s="5">
        <f t="shared" ca="1" si="63"/>
        <v>1.7202138974736991E-2</v>
      </c>
      <c r="I390" s="2">
        <f t="shared" ca="1" si="64"/>
        <v>273319867.0457294</v>
      </c>
      <c r="J390" s="2">
        <f t="shared" ca="1" si="65"/>
        <v>16162033907.033787</v>
      </c>
      <c r="K390" s="2">
        <f t="shared" ca="1" si="71"/>
        <v>432521163.72272664</v>
      </c>
      <c r="L390" s="5">
        <f t="shared" ca="1" si="60"/>
        <v>37.367036026460596</v>
      </c>
    </row>
    <row r="391" spans="1:12" x14ac:dyDescent="0.3">
      <c r="A391" s="1">
        <f t="shared" si="66"/>
        <v>32</v>
      </c>
      <c r="B391" s="1">
        <f t="shared" si="67"/>
        <v>8</v>
      </c>
      <c r="C391" s="2">
        <f t="shared" ca="1" si="61"/>
        <v>16162033907.033787</v>
      </c>
      <c r="D391" s="5">
        <f t="shared" ca="1" si="68"/>
        <v>0</v>
      </c>
      <c r="E391" s="2">
        <f t="shared" ca="1" si="69"/>
        <v>52716028.302461207</v>
      </c>
      <c r="F391" s="2">
        <f t="shared" si="70"/>
        <v>19654638.236874718</v>
      </c>
      <c r="G391" s="2">
        <f t="shared" ca="1" si="62"/>
        <v>5271602.8302461207</v>
      </c>
      <c r="H391" s="5">
        <f t="shared" ca="1" si="63"/>
        <v>1.3689526965975363E-2</v>
      </c>
      <c r="I391" s="2">
        <f t="shared" ca="1" si="64"/>
        <v>221322764.74444574</v>
      </c>
      <c r="J391" s="2">
        <f t="shared" ca="1" si="65"/>
        <v>16388628274.608479</v>
      </c>
      <c r="K391" s="2">
        <f t="shared" ca="1" si="71"/>
        <v>432521163.72272664</v>
      </c>
      <c r="L391" s="5">
        <f t="shared" ca="1" si="60"/>
        <v>37.890928003501401</v>
      </c>
    </row>
    <row r="392" spans="1:12" x14ac:dyDescent="0.3">
      <c r="A392" s="1">
        <f t="shared" si="66"/>
        <v>32</v>
      </c>
      <c r="B392" s="1">
        <f t="shared" si="67"/>
        <v>9</v>
      </c>
      <c r="C392" s="2">
        <f t="shared" ca="1" si="61"/>
        <v>16388628274.608479</v>
      </c>
      <c r="D392" s="5">
        <f t="shared" ca="1" si="68"/>
        <v>0</v>
      </c>
      <c r="E392" s="2">
        <f t="shared" ca="1" si="69"/>
        <v>52716028.302461207</v>
      </c>
      <c r="F392" s="2">
        <f t="shared" si="70"/>
        <v>19654638.236874718</v>
      </c>
      <c r="G392" s="2">
        <f t="shared" ca="1" si="62"/>
        <v>5271602.8302461207</v>
      </c>
      <c r="H392" s="5">
        <f t="shared" ca="1" si="63"/>
        <v>1.3423837020972718E-2</v>
      </c>
      <c r="I392" s="2">
        <f t="shared" ca="1" si="64"/>
        <v>220069040.09288204</v>
      </c>
      <c r="J392" s="2">
        <f t="shared" ca="1" si="65"/>
        <v>16613968917.531607</v>
      </c>
      <c r="K392" s="2">
        <f t="shared" ca="1" si="71"/>
        <v>432521163.72272664</v>
      </c>
      <c r="L392" s="5">
        <f t="shared" ca="1" si="60"/>
        <v>38.411921337061344</v>
      </c>
    </row>
    <row r="393" spans="1:12" x14ac:dyDescent="0.3">
      <c r="A393" s="1">
        <f t="shared" si="66"/>
        <v>32</v>
      </c>
      <c r="B393" s="1">
        <f t="shared" si="67"/>
        <v>10</v>
      </c>
      <c r="C393" s="2">
        <f t="shared" ca="1" si="61"/>
        <v>16613968917.531607</v>
      </c>
      <c r="D393" s="5">
        <f t="shared" ca="1" si="68"/>
        <v>0</v>
      </c>
      <c r="E393" s="2">
        <f t="shared" ca="1" si="69"/>
        <v>52716028.302461207</v>
      </c>
      <c r="F393" s="2">
        <f t="shared" si="70"/>
        <v>19654638.236874718</v>
      </c>
      <c r="G393" s="2">
        <f t="shared" ca="1" si="62"/>
        <v>5271602.8302461207</v>
      </c>
      <c r="H393" s="5">
        <f t="shared" ca="1" si="63"/>
        <v>1.4222664988011058E-2</v>
      </c>
      <c r="I393" s="2">
        <f t="shared" ca="1" si="64"/>
        <v>236369890.2762852</v>
      </c>
      <c r="J393" s="2">
        <f t="shared" ca="1" si="65"/>
        <v>16855610410.638138</v>
      </c>
      <c r="K393" s="2">
        <f t="shared" ca="1" si="71"/>
        <v>432521163.72272664</v>
      </c>
      <c r="L393" s="5">
        <f t="shared" ca="1" si="60"/>
        <v>38.97060265343142</v>
      </c>
    </row>
    <row r="394" spans="1:12" x14ac:dyDescent="0.3">
      <c r="A394" s="1">
        <f t="shared" si="66"/>
        <v>32</v>
      </c>
      <c r="B394" s="1">
        <f t="shared" si="67"/>
        <v>11</v>
      </c>
      <c r="C394" s="2">
        <f t="shared" ca="1" si="61"/>
        <v>16855610410.638138</v>
      </c>
      <c r="D394" s="5">
        <f t="shared" ca="1" si="68"/>
        <v>0</v>
      </c>
      <c r="E394" s="2">
        <f t="shared" ca="1" si="69"/>
        <v>52716028.302461207</v>
      </c>
      <c r="F394" s="2">
        <f t="shared" si="70"/>
        <v>19654638.236874718</v>
      </c>
      <c r="G394" s="2">
        <f t="shared" ca="1" si="62"/>
        <v>5271602.8302461207</v>
      </c>
      <c r="H394" s="5">
        <f t="shared" ca="1" si="63"/>
        <v>1.6602116117649501E-2</v>
      </c>
      <c r="I394" s="2">
        <f t="shared" ca="1" si="64"/>
        <v>279926321.03359002</v>
      </c>
      <c r="J394" s="2">
        <f t="shared" ca="1" si="65"/>
        <v>17140808334.501974</v>
      </c>
      <c r="K394" s="2">
        <f t="shared" ca="1" si="71"/>
        <v>432521163.72272664</v>
      </c>
      <c r="L394" s="5">
        <f t="shared" ca="1" si="60"/>
        <v>39.629987552447986</v>
      </c>
    </row>
    <row r="395" spans="1:12" x14ac:dyDescent="0.3">
      <c r="A395" s="1">
        <f t="shared" si="66"/>
        <v>32</v>
      </c>
      <c r="B395" s="1">
        <f t="shared" si="67"/>
        <v>12</v>
      </c>
      <c r="C395" s="2">
        <f t="shared" ca="1" si="61"/>
        <v>17140808334.501974</v>
      </c>
      <c r="D395" s="5">
        <f t="shared" ca="1" si="68"/>
        <v>0</v>
      </c>
      <c r="E395" s="2">
        <f t="shared" ca="1" si="69"/>
        <v>52716028.302461207</v>
      </c>
      <c r="F395" s="2">
        <f t="shared" si="70"/>
        <v>19654638.236874718</v>
      </c>
      <c r="G395" s="2">
        <f t="shared" ca="1" si="62"/>
        <v>10543205.660492241</v>
      </c>
      <c r="H395" s="5">
        <f t="shared" ca="1" si="63"/>
        <v>1.6772997731811179E-2</v>
      </c>
      <c r="I395" s="2">
        <f t="shared" ca="1" si="64"/>
        <v>287679580.48064119</v>
      </c>
      <c r="J395" s="2">
        <f t="shared" ca="1" si="65"/>
        <v>17439031120.643108</v>
      </c>
      <c r="K395" s="2">
        <f t="shared" ca="1" si="71"/>
        <v>432521163.72272664</v>
      </c>
      <c r="L395" s="5">
        <f t="shared" ca="1" si="60"/>
        <v>40.319486266393724</v>
      </c>
    </row>
    <row r="396" spans="1:12" x14ac:dyDescent="0.3">
      <c r="C396" s="2"/>
      <c r="D396" s="2"/>
      <c r="E396" s="2"/>
      <c r="F396" s="2"/>
      <c r="G396" s="2"/>
      <c r="H396" s="2"/>
      <c r="I396" s="2"/>
      <c r="J396" s="2"/>
      <c r="K396" s="2"/>
    </row>
    <row r="397" spans="1:12" x14ac:dyDescent="0.3">
      <c r="C397" s="2"/>
      <c r="D397" s="2"/>
      <c r="E397" s="2"/>
      <c r="F397" s="2"/>
      <c r="G397" s="2"/>
      <c r="H397" s="2"/>
      <c r="I397" s="2"/>
      <c r="J397" s="2"/>
      <c r="K397" s="2"/>
    </row>
    <row r="398" spans="1:12" x14ac:dyDescent="0.3">
      <c r="C398" s="2"/>
      <c r="D398" s="2"/>
      <c r="E398" s="2"/>
      <c r="F398" s="2"/>
      <c r="G398" s="2"/>
      <c r="H398" s="2"/>
      <c r="I398" s="2"/>
      <c r="J398" s="2"/>
      <c r="K398" s="2"/>
    </row>
    <row r="399" spans="1:12" x14ac:dyDescent="0.3">
      <c r="C399" s="2"/>
      <c r="D399" s="2"/>
      <c r="E399" s="2"/>
      <c r="F399" s="2"/>
      <c r="G399" s="2"/>
      <c r="H399" s="2"/>
      <c r="I399" s="2"/>
      <c r="J399" s="2"/>
      <c r="K399" s="2"/>
    </row>
    <row r="400" spans="1:12" x14ac:dyDescent="0.3">
      <c r="C400" s="2"/>
      <c r="D400" s="2"/>
      <c r="E400" s="2"/>
      <c r="F400" s="2"/>
      <c r="G400" s="2"/>
      <c r="H400" s="2"/>
      <c r="I400" s="2"/>
      <c r="J400" s="2"/>
      <c r="K400" s="2"/>
    </row>
    <row r="401" spans="3:11" x14ac:dyDescent="0.3">
      <c r="C401" s="2"/>
      <c r="D401" s="2"/>
      <c r="E401" s="2"/>
      <c r="F401" s="2"/>
      <c r="G401" s="2"/>
      <c r="H401" s="2"/>
      <c r="I401" s="2"/>
      <c r="J401" s="2"/>
      <c r="K401" s="2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Rivera Agudelo</dc:creator>
  <cp:lastModifiedBy>Juan Carlos Rivera Agudelo</cp:lastModifiedBy>
  <dcterms:created xsi:type="dcterms:W3CDTF">2026-10-26T14:03:43Z</dcterms:created>
  <dcterms:modified xsi:type="dcterms:W3CDTF">2026-10-28T15:26:50Z</dcterms:modified>
</cp:coreProperties>
</file>