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arametros" sheetId="1" state="visible" r:id="rId3"/>
    <sheet name="Uniforme" sheetId="2" state="visible" r:id="rId4"/>
    <sheet name="Empirica" sheetId="3" state="visible" r:id="rId5"/>
    <sheet name="Politicas" sheetId="4" state="visible" r:id="rId6"/>
  </sheets>
  <definedNames>
    <definedName function="false" hidden="true" localSheetId="2" name="_xlnm._FilterDatabase" vbProcedure="false">Empirica!$A$5:$R$318</definedName>
    <definedName function="false" hidden="true" localSheetId="3" name="_xlnm._FilterDatabase" vbProcedure="false">Politicas!$A$4:$G$20</definedName>
    <definedName function="false" hidden="true" localSheetId="1" name="_xlnm._FilterDatabase" vbProcedure="false">Uniforme!$A$5:$R$318</definedName>
    <definedName function="false" hidden="false" name="AnioSim" vbProcedure="false">Parametros!$B$11</definedName>
    <definedName function="false" hidden="false" name="CantPedido" vbProcedure="false">Parametros!$B$5</definedName>
    <definedName function="false" hidden="false" name="CostoAlm" vbProcedure="false">Parametros!$B$9</definedName>
    <definedName function="false" hidden="false" name="CostoFijo" vbProcedure="false">Parametros!$B$10</definedName>
    <definedName function="false" hidden="false" name="CostoPedido" vbProcedure="false">Parametros!$B$8</definedName>
    <definedName function="false" hidden="false" name="CostoUnitario" vbProcedure="false">Parametros!$B$7</definedName>
    <definedName function="false" hidden="false" name="PrecioVenta" vbProcedure="false">Parametros!$B$6</definedName>
    <definedName function="false" hidden="false" name="PuntoReorden" vbProcedure="false">Parametros!$B$4</definedName>
    <definedName function="false" hidden="false" name="TablaEmpirica" vbProcedure="false">Parametros!$E$4:$F$8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W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W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W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X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Y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2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3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4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5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6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7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8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7"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8"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99"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0"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1"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2"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3"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4"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5"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 ref="Z106" authorId="0">
      <text>
        <r>
          <rPr>
            <sz val="10"/>
            <rFont val="Arial"/>
            <family val="2"/>
          </rPr>
          <t xml:space="preserve">Réplicación Montecarlo independiente, simulada con semilla fija 12345 para que los resultados sean reproducibles. Los resultados se guardan como valores para evitar incompatibilidad de TABLE() entre programas de hojas de cálculo.</t>
        </r>
      </text>
      <mc:AlternateContent>
        <mc:Choice Requires="v2">
          <commentPr autoFill="true" autoScale="false" colHidden="false" locked="false" rowHidden="false" textHAlign="justify" textVAlign="top">
            <anchor moveWithCells="false" sizeWithCells="false">
              <xdr:from>
                <xdr:col>1</xdr:col>
                <xdr:colOff>20</xdr:colOff>
                <xdr:row>0</xdr:row>
                <xdr:rowOff>2</xdr:rowOff>
              </xdr:from>
              <xdr:to>
                <xdr:col>2</xdr:col>
                <xdr:colOff>53</xdr:colOff>
                <xdr:row>4</xdr:row>
                <xdr:rowOff>1</xdr:rowOff>
              </xdr:to>
            </anchor>
          </commentPr>
        </mc:Choice>
        <mc:Fallback/>
      </mc:AlternateContent>
    </comment>
  </commentList>
</comments>
</file>

<file path=xl/sharedStrings.xml><?xml version="1.0" encoding="utf-8"?>
<sst xmlns="http://schemas.openxmlformats.org/spreadsheetml/2006/main" count="149" uniqueCount="84">
  <si>
    <t xml:space="preserve">Parámetros del modelo (Taller 2 - Simulación Montecarlo)</t>
  </si>
  <si>
    <t xml:space="preserve">Celdas en azul = entradas editables. Amarillo = política (s, Q) que usted elige.</t>
  </si>
  <si>
    <t xml:space="preserve">Parámetro</t>
  </si>
  <si>
    <t xml:space="preserve">Valor</t>
  </si>
  <si>
    <t xml:space="preserve">Nombre definido</t>
  </si>
  <si>
    <t xml:space="preserve">Lím. inf. acumulado</t>
  </si>
  <si>
    <t xml:space="preserve">Demanda</t>
  </si>
  <si>
    <t xml:space="preserve">Probabilidad</t>
  </si>
  <si>
    <t xml:space="preserve">Acumulada</t>
  </si>
  <si>
    <t xml:space="preserve">Punto de reorden s</t>
  </si>
  <si>
    <t xml:space="preserve">PuntoReorden</t>
  </si>
  <si>
    <t xml:space="preserve">Cantidad a pedir Q</t>
  </si>
  <si>
    <t xml:space="preserve">CantPedido</t>
  </si>
  <si>
    <t xml:space="preserve">Precio de venta</t>
  </si>
  <si>
    <t xml:space="preserve">PrecioVenta</t>
  </si>
  <si>
    <t xml:space="preserve">Costo de compra por unidad</t>
  </si>
  <si>
    <t xml:space="preserve">CostoUnitario</t>
  </si>
  <si>
    <t xml:space="preserve">Costo por pedido</t>
  </si>
  <si>
    <t xml:space="preserve">CostoPedido</t>
  </si>
  <si>
    <t xml:space="preserve">Costo de almacenamiento por unidad-día</t>
  </si>
  <si>
    <t xml:space="preserve">CostoAlm</t>
  </si>
  <si>
    <t xml:space="preserve">Suma</t>
  </si>
  <si>
    <t xml:space="preserve">Costo fijo mensual</t>
  </si>
  <si>
    <t xml:space="preserve">CostoFijo</t>
  </si>
  <si>
    <t xml:space="preserve">Nombre definido TablaEmpirica = E4:F8. Demanda uniforme se genera con ALEATORIO.ENTRE(3;7).</t>
  </si>
  <si>
    <t xml:space="preserve">Año simulado</t>
  </si>
  <si>
    <t xml:space="preserve">AnioSim</t>
  </si>
  <si>
    <t xml:space="preserve">Fuente de los valores: enunciado del Taller 2 (Métodos Cuantitativos, EAFIT). Política (s, Q) cargada: sugerencia inicial, cámbiela por la que justifique.</t>
  </si>
  <si>
    <t xml:space="preserve">Verificación teórica de demanda</t>
  </si>
  <si>
    <t xml:space="preserve">Distribución</t>
  </si>
  <si>
    <t xml:space="preserve">Media</t>
  </si>
  <si>
    <t xml:space="preserve">Varianza</t>
  </si>
  <si>
    <t xml:space="preserve">Desv. estándar</t>
  </si>
  <si>
    <t xml:space="preserve">Uniforme</t>
  </si>
  <si>
    <t xml:space="preserve">Empírica</t>
  </si>
  <si>
    <t xml:space="preserve">Simulación de un año - demanda uniforme</t>
  </si>
  <si>
    <t xml:space="preserve">W2 = celda de entrada (columna) de la tabla de datos: debe estar VACÍA.</t>
  </si>
  <si>
    <t xml:space="preserve">Cada fila es un día hábil (lunes a sábado). Presione F9 para generar otra réplica.</t>
  </si>
  <si>
    <t xml:space="preserve">Estadísticos (100 réplicas)</t>
  </si>
  <si>
    <t xml:space="preserve">Día</t>
  </si>
  <si>
    <t xml:space="preserve">Fecha</t>
  </si>
  <si>
    <t xml:space="preserve">Mes</t>
  </si>
  <si>
    <t xml:space="preserve">Inicio de mes (1/0)</t>
  </si>
  <si>
    <t xml:space="preserve">Unidades recibidas</t>
  </si>
  <si>
    <t xml:space="preserve">Inventario inicial</t>
  </si>
  <si>
    <t xml:space="preserve">Ventas</t>
  </si>
  <si>
    <t xml:space="preserve">Ventas perdidas</t>
  </si>
  <si>
    <t xml:space="preserve">Inventario final</t>
  </si>
  <si>
    <t xml:space="preserve">Día con faltante (1/0)</t>
  </si>
  <si>
    <t xml:space="preserve">Pedido al cierre (1/0)</t>
  </si>
  <si>
    <t xml:space="preserve">Ingresos</t>
  </si>
  <si>
    <t xml:space="preserve">Costo de compra</t>
  </si>
  <si>
    <t xml:space="preserve">Costo de pedido</t>
  </si>
  <si>
    <t xml:space="preserve">Costo de almacenamiento</t>
  </si>
  <si>
    <t xml:space="preserve">Costo fijo</t>
  </si>
  <si>
    <t xml:space="preserve">Utilidad del día</t>
  </si>
  <si>
    <t xml:space="preserve">Resumen de la réplica</t>
  </si>
  <si>
    <t xml:space="preserve">Réplica</t>
  </si>
  <si>
    <t xml:space="preserve">Ganancia anual</t>
  </si>
  <si>
    <t xml:space="preserve">Prob. faltante</t>
  </si>
  <si>
    <t xml:space="preserve">Ventas perdidas/día</t>
  </si>
  <si>
    <t xml:space="preserve">Ganancia promedio</t>
  </si>
  <si>
    <t xml:space="preserve">Desviación estándar de la ganancia</t>
  </si>
  <si>
    <t xml:space="preserve">Fracción de días con faltante</t>
  </si>
  <si>
    <t xml:space="preserve">Probabilidad de ventas perdidas</t>
  </si>
  <si>
    <t xml:space="preserve">Ventas perdidas promedio/día</t>
  </si>
  <si>
    <t xml:space="preserve">Ventas perdidas promedio por día</t>
  </si>
  <si>
    <t xml:space="preserve">Histograma (10 clases de igual ancho)</t>
  </si>
  <si>
    <t xml:space="preserve">Mínimo</t>
  </si>
  <si>
    <t xml:space="preserve">Máximo</t>
  </si>
  <si>
    <t xml:space="preserve">Ancho de clase</t>
  </si>
  <si>
    <t xml:space="preserve">Clase k</t>
  </si>
  <si>
    <t xml:space="preserve">Límite inferior</t>
  </si>
  <si>
    <t xml:space="preserve">Límite superior</t>
  </si>
  <si>
    <t xml:space="preserve">Marca de clase (millones)</t>
  </si>
  <si>
    <t xml:space="preserve">Frecuencia</t>
  </si>
  <si>
    <t xml:space="preserve">Total</t>
  </si>
  <si>
    <t xml:space="preserve">Simulación de un año - demanda empirica</t>
  </si>
  <si>
    <t xml:space="preserve">Comparación de políticas (s, Q) - 100 réplicas por combinación</t>
  </si>
  <si>
    <t xml:space="preserve">Resultados reproducibles: 100 réplicas por combinación, semilla 12345 y números aleatorios comunes entre políticas. Valores calculados con el mismo modelo del enunciado.</t>
  </si>
  <si>
    <t xml:space="preserve">s</t>
  </si>
  <si>
    <t xml:space="preserve">Q</t>
  </si>
  <si>
    <t xml:space="preserve">Prob. ventas perdidas</t>
  </si>
  <si>
    <t xml:space="preserve">Política recomendada cargada en Parametros: s = 7, Q = 15. Se prioriza cero ventas perdidas y ganancia alta; no se afirma que sea el máximo absoluto en todas las métricas.</t>
  </si>
</sst>
</file>

<file path=xl/styles.xml><?xml version="1.0" encoding="utf-8"?>
<styleSheet xmlns="http://schemas.openxmlformats.org/spreadsheetml/2006/main">
  <numFmts count="8">
    <numFmt numFmtId="164" formatCode="General"/>
    <numFmt numFmtId="165" formatCode="0"/>
    <numFmt numFmtId="166" formatCode="0.00"/>
    <numFmt numFmtId="167" formatCode="\$#,##0;[RED]&quot;-$&quot;#,##0"/>
    <numFmt numFmtId="168" formatCode="dd/mm/yyyy"/>
    <numFmt numFmtId="169" formatCode="0.0000"/>
    <numFmt numFmtId="170" formatCode="\$#,##0;[RED]&quot;-$&quot;#,##0"/>
    <numFmt numFmtId="171" formatCode="0.00%"/>
  </numFmts>
  <fonts count="16">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b val="true"/>
      <sz val="11"/>
      <color rgb="FFFFFFFF"/>
      <name val="Cambria"/>
      <family val="0"/>
      <charset val="1"/>
    </font>
    <font>
      <b val="true"/>
      <sz val="11"/>
      <color rgb="FF000000"/>
      <name val="Cambria"/>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1F3864"/>
        <bgColor rgb="FF1F4E78"/>
      </patternFill>
    </fill>
    <fill>
      <patternFill patternType="solid">
        <fgColor rgb="FFFFFF99"/>
        <bgColor rgb="FFFFF2CC"/>
      </patternFill>
    </fill>
    <fill>
      <patternFill patternType="solid">
        <fgColor rgb="FF1F4E78"/>
        <bgColor rgb="FF1F3864"/>
      </patternFill>
    </fill>
    <fill>
      <patternFill patternType="solid">
        <fgColor rgb="FFD9EAF7"/>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70" fontId="7" fillId="6" borderId="1" xfId="0" applyFont="true" applyBorder="true" applyAlignment="true" applyProtection="false">
      <alignment horizontal="general" vertical="bottom" textRotation="0" wrapText="false" indent="0" shrinkToFit="false"/>
      <protection locked="true" hidden="false"/>
    </xf>
    <xf numFmtId="171" fontId="7" fillId="6" borderId="1" xfId="0" applyFont="true" applyBorder="true" applyAlignment="true" applyProtection="false">
      <alignment horizontal="general" vertical="bottom" textRotation="0" wrapText="false" indent="0" shrinkToFit="false"/>
      <protection locked="true" hidden="false"/>
    </xf>
    <xf numFmtId="169" fontId="7" fillId="6"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99999"/>
      <rgbColor rgb="FF1F38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Histograma de ganancia anual - demanda uniforme</a:t>
            </a:r>
          </a:p>
        </c:rich>
      </c:tx>
      <c:overlay val="0"/>
      <c:spPr>
        <a:noFill/>
        <a:ln w="0">
          <a:noFill/>
        </a:ln>
      </c:spPr>
    </c:title>
    <c:autoTitleDeleted val="0"/>
    <c:plotArea>
      <c:barChart>
        <c:barDir val="col"/>
        <c:grouping val="clustered"/>
        <c:varyColors val="0"/>
        <c:ser>
          <c:idx val="0"/>
          <c:order val="0"/>
          <c:tx>
            <c:strRef>
              <c:f>Uniforme!AF16</c:f>
              <c:strCache>
                <c:ptCount val="1"/>
                <c:pt idx="0">
                  <c:v>Frecuencia</c:v>
                </c:pt>
              </c:strCache>
            </c:strRef>
          </c:tx>
          <c:spPr>
            <a:solidFill>
              <a:srgbClr val="4f81bd"/>
            </a:solidFill>
            <a:ln w="0">
              <a:solidFill>
                <a:srgbClr val="000000"/>
              </a:solid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Uniforme!$AE$17:$AE$26</c:f>
              <c:strCache>
                <c:ptCount val="10"/>
                <c:pt idx="0">
                  <c:v>95.67</c:v>
                </c:pt>
                <c:pt idx="1">
                  <c:v>97.10</c:v>
                </c:pt>
                <c:pt idx="2">
                  <c:v>98.54</c:v>
                </c:pt>
                <c:pt idx="3">
                  <c:v>99.98</c:v>
                </c:pt>
                <c:pt idx="4">
                  <c:v>101.41</c:v>
                </c:pt>
                <c:pt idx="5">
                  <c:v>102.85</c:v>
                </c:pt>
                <c:pt idx="6">
                  <c:v>104.28</c:v>
                </c:pt>
                <c:pt idx="7">
                  <c:v>105.72</c:v>
                </c:pt>
                <c:pt idx="8">
                  <c:v>107.16</c:v>
                </c:pt>
                <c:pt idx="9">
                  <c:v>108.59</c:v>
                </c:pt>
              </c:strCache>
            </c:strRef>
          </c:cat>
          <c:val>
            <c:numRef>
              <c:f>Uniforme!$AF$17:$AF$26</c:f>
              <c:numCache>
                <c:formatCode>General</c:formatCode>
                <c:ptCount val="10"/>
                <c:pt idx="0">
                  <c:v>2</c:v>
                </c:pt>
                <c:pt idx="1">
                  <c:v>3</c:v>
                </c:pt>
                <c:pt idx="2">
                  <c:v>8</c:v>
                </c:pt>
                <c:pt idx="3">
                  <c:v>12</c:v>
                </c:pt>
                <c:pt idx="4">
                  <c:v>15</c:v>
                </c:pt>
                <c:pt idx="5">
                  <c:v>16</c:v>
                </c:pt>
                <c:pt idx="6">
                  <c:v>13</c:v>
                </c:pt>
                <c:pt idx="7">
                  <c:v>12</c:v>
                </c:pt>
                <c:pt idx="8">
                  <c:v>13</c:v>
                </c:pt>
                <c:pt idx="9">
                  <c:v>6</c:v>
                </c:pt>
              </c:numCache>
            </c:numRef>
          </c:val>
        </c:ser>
        <c:gapWidth val="0"/>
        <c:overlap val="0"/>
        <c:axId val="30311139"/>
        <c:axId val="32778881"/>
      </c:barChart>
      <c:catAx>
        <c:axId val="30311139"/>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Ganancia anual (millones de COP)</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32778881"/>
        <c:crosses val="autoZero"/>
        <c:auto val="1"/>
        <c:lblAlgn val="ctr"/>
        <c:lblOffset val="100"/>
        <c:noMultiLvlLbl val="0"/>
      </c:catAx>
      <c:valAx>
        <c:axId val="32778881"/>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Frecuencia</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30311139"/>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Histograma de ganancia anual - demanda empírica</a:t>
            </a:r>
          </a:p>
        </c:rich>
      </c:tx>
      <c:overlay val="0"/>
      <c:spPr>
        <a:noFill/>
        <a:ln w="0">
          <a:noFill/>
        </a:ln>
      </c:spPr>
    </c:title>
    <c:autoTitleDeleted val="0"/>
    <c:plotArea>
      <c:barChart>
        <c:barDir val="col"/>
        <c:grouping val="clustered"/>
        <c:varyColors val="0"/>
        <c:ser>
          <c:idx val="0"/>
          <c:order val="0"/>
          <c:tx>
            <c:strRef>
              <c:f>Empirica!AF16</c:f>
              <c:strCache>
                <c:ptCount val="1"/>
                <c:pt idx="0">
                  <c:v>Frecuencia</c:v>
                </c:pt>
              </c:strCache>
            </c:strRef>
          </c:tx>
          <c:spPr>
            <a:solidFill>
              <a:srgbClr val="4f81bd"/>
            </a:solidFill>
            <a:ln w="0">
              <a:solidFill>
                <a:srgbClr val="000000"/>
              </a:solid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Empirica!$AE$17:$AE$26</c:f>
              <c:strCache>
                <c:ptCount val="10"/>
                <c:pt idx="0">
                  <c:v>97.24</c:v>
                </c:pt>
                <c:pt idx="1">
                  <c:v>98.71</c:v>
                </c:pt>
                <c:pt idx="2">
                  <c:v>100.17</c:v>
                </c:pt>
                <c:pt idx="3">
                  <c:v>101.64</c:v>
                </c:pt>
                <c:pt idx="4">
                  <c:v>103.10</c:v>
                </c:pt>
                <c:pt idx="5">
                  <c:v>104.57</c:v>
                </c:pt>
                <c:pt idx="6">
                  <c:v>106.03</c:v>
                </c:pt>
                <c:pt idx="7">
                  <c:v>107.50</c:v>
                </c:pt>
                <c:pt idx="8">
                  <c:v>108.96</c:v>
                </c:pt>
                <c:pt idx="9">
                  <c:v>110.42</c:v>
                </c:pt>
              </c:strCache>
            </c:strRef>
          </c:cat>
          <c:val>
            <c:numRef>
              <c:f>Empirica!$AF$17:$AF$26</c:f>
              <c:numCache>
                <c:formatCode>General</c:formatCode>
                <c:ptCount val="10"/>
                <c:pt idx="0">
                  <c:v>5</c:v>
                </c:pt>
                <c:pt idx="1">
                  <c:v>5</c:v>
                </c:pt>
                <c:pt idx="2">
                  <c:v>14</c:v>
                </c:pt>
                <c:pt idx="3">
                  <c:v>18</c:v>
                </c:pt>
                <c:pt idx="4">
                  <c:v>22</c:v>
                </c:pt>
                <c:pt idx="5">
                  <c:v>12</c:v>
                </c:pt>
                <c:pt idx="6">
                  <c:v>11</c:v>
                </c:pt>
                <c:pt idx="7">
                  <c:v>7</c:v>
                </c:pt>
                <c:pt idx="8">
                  <c:v>3</c:v>
                </c:pt>
                <c:pt idx="9">
                  <c:v>3</c:v>
                </c:pt>
              </c:numCache>
            </c:numRef>
          </c:val>
        </c:ser>
        <c:gapWidth val="0"/>
        <c:overlap val="0"/>
        <c:axId val="73897548"/>
        <c:axId val="9440696"/>
      </c:barChart>
      <c:catAx>
        <c:axId val="7389754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Ganancia anual (millones de COP)</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9440696"/>
        <c:crosses val="autoZero"/>
        <c:auto val="1"/>
        <c:lblAlgn val="ctr"/>
        <c:lblOffset val="100"/>
        <c:noMultiLvlLbl val="0"/>
      </c:catAx>
      <c:valAx>
        <c:axId val="9440696"/>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Frecuencia</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trike="noStrike" u="none">
                <a:solidFill>
                  <a:srgbClr val="000000"/>
                </a:solidFill>
                <a:uFillTx/>
                <a:latin typeface="Calibri"/>
              </a:defRPr>
            </a:pPr>
          </a:p>
        </c:txPr>
        <c:crossAx val="73897548"/>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28</xdr:row>
      <xdr:rowOff>0</xdr:rowOff>
    </xdr:from>
    <xdr:to>
      <xdr:col>30</xdr:col>
      <xdr:colOff>317160</xdr:colOff>
      <xdr:row>43</xdr:row>
      <xdr:rowOff>21960</xdr:rowOff>
    </xdr:to>
    <xdr:graphicFrame>
      <xdr:nvGraphicFramePr>
        <xdr:cNvPr id="0" name="Chart 1"/>
        <xdr:cNvGraphicFramePr/>
      </xdr:nvGraphicFramePr>
      <xdr:xfrm>
        <a:off x="27772920" y="578160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27</xdr:col>
      <xdr:colOff>0</xdr:colOff>
      <xdr:row>28</xdr:row>
      <xdr:rowOff>0</xdr:rowOff>
    </xdr:from>
    <xdr:to>
      <xdr:col>30</xdr:col>
      <xdr:colOff>317160</xdr:colOff>
      <xdr:row>43</xdr:row>
      <xdr:rowOff>21960</xdr:rowOff>
    </xdr:to>
    <xdr:graphicFrame>
      <xdr:nvGraphicFramePr>
        <xdr:cNvPr id="1" name="Chart 1"/>
        <xdr:cNvGraphicFramePr/>
      </xdr:nvGraphicFramePr>
      <xdr:xfrm>
        <a:off x="27772920" y="578160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6"/>
    <col collapsed="false" customWidth="true" hidden="false" outlineLevel="0" max="2" min="2" style="1" width="17"/>
    <col collapsed="false" customWidth="true" hidden="false" outlineLevel="0" max="3" min="3" style="1" width="20"/>
    <col collapsed="false" customWidth="true" hidden="false" outlineLevel="0" max="4" min="4" style="1" width="18"/>
    <col collapsed="false" customWidth="true" hidden="false" outlineLevel="0" max="5" min="5" style="1" width="24"/>
    <col collapsed="false" customWidth="true" hidden="false" outlineLevel="0" max="6" min="6" style="1" width="15"/>
    <col collapsed="false" customWidth="true" hidden="false" outlineLevel="0" max="8" min="7" style="1" width="17"/>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E3" s="4" t="s">
        <v>5</v>
      </c>
      <c r="F3" s="4" t="s">
        <v>6</v>
      </c>
      <c r="G3" s="4" t="s">
        <v>7</v>
      </c>
      <c r="H3" s="4" t="s">
        <v>8</v>
      </c>
    </row>
    <row r="4" customFormat="false" ht="15" hidden="false" customHeight="true" outlineLevel="0" collapsed="false">
      <c r="A4" s="5" t="s">
        <v>9</v>
      </c>
      <c r="B4" s="6" t="n">
        <v>7</v>
      </c>
      <c r="C4" s="5" t="s">
        <v>10</v>
      </c>
      <c r="E4" s="7" t="n">
        <v>0</v>
      </c>
      <c r="F4" s="8" t="n">
        <v>3</v>
      </c>
      <c r="G4" s="9" t="n">
        <v>0.2</v>
      </c>
      <c r="H4" s="7" t="n">
        <f aca="false">G4</f>
        <v>0.2</v>
      </c>
    </row>
    <row r="5" customFormat="false" ht="15" hidden="false" customHeight="true" outlineLevel="0" collapsed="false">
      <c r="A5" s="5" t="s">
        <v>11</v>
      </c>
      <c r="B5" s="6" t="n">
        <v>15</v>
      </c>
      <c r="C5" s="5" t="s">
        <v>12</v>
      </c>
      <c r="E5" s="7" t="n">
        <f aca="false">H4</f>
        <v>0.2</v>
      </c>
      <c r="F5" s="8" t="n">
        <v>4</v>
      </c>
      <c r="G5" s="9" t="n">
        <v>0.05</v>
      </c>
      <c r="H5" s="7" t="n">
        <f aca="false">H4+G5</f>
        <v>0.25</v>
      </c>
    </row>
    <row r="6" customFormat="false" ht="15" hidden="false" customHeight="true" outlineLevel="0" collapsed="false">
      <c r="A6" s="5" t="s">
        <v>13</v>
      </c>
      <c r="B6" s="10" t="n">
        <v>680000</v>
      </c>
      <c r="C6" s="5" t="s">
        <v>14</v>
      </c>
      <c r="E6" s="7" t="n">
        <f aca="false">H5</f>
        <v>0.25</v>
      </c>
      <c r="F6" s="8" t="n">
        <v>5</v>
      </c>
      <c r="G6" s="9" t="n">
        <v>0.4</v>
      </c>
      <c r="H6" s="7" t="n">
        <f aca="false">H5+G6</f>
        <v>0.65</v>
      </c>
    </row>
    <row r="7" customFormat="false" ht="15" hidden="false" customHeight="true" outlineLevel="0" collapsed="false">
      <c r="A7" s="5" t="s">
        <v>15</v>
      </c>
      <c r="B7" s="10" t="n">
        <v>600000</v>
      </c>
      <c r="C7" s="5" t="s">
        <v>16</v>
      </c>
      <c r="E7" s="7" t="n">
        <f aca="false">H6</f>
        <v>0.65</v>
      </c>
      <c r="F7" s="8" t="n">
        <v>6</v>
      </c>
      <c r="G7" s="9" t="n">
        <v>0.25</v>
      </c>
      <c r="H7" s="7" t="n">
        <f aca="false">H6+G7</f>
        <v>0.9</v>
      </c>
    </row>
    <row r="8" customFormat="false" ht="15" hidden="false" customHeight="true" outlineLevel="0" collapsed="false">
      <c r="A8" s="5" t="s">
        <v>17</v>
      </c>
      <c r="B8" s="10" t="n">
        <v>40000</v>
      </c>
      <c r="C8" s="5" t="s">
        <v>18</v>
      </c>
      <c r="E8" s="7" t="n">
        <f aca="false">H7</f>
        <v>0.9</v>
      </c>
      <c r="F8" s="8" t="n">
        <v>7</v>
      </c>
      <c r="G8" s="9" t="n">
        <v>0.1</v>
      </c>
      <c r="H8" s="7" t="n">
        <f aca="false">H7+G8</f>
        <v>1</v>
      </c>
    </row>
    <row r="9" customFormat="false" ht="15" hidden="false" customHeight="true" outlineLevel="0" collapsed="false">
      <c r="A9" s="5" t="s">
        <v>19</v>
      </c>
      <c r="B9" s="10" t="n">
        <v>80</v>
      </c>
      <c r="C9" s="5" t="s">
        <v>20</v>
      </c>
      <c r="F9" s="11" t="s">
        <v>21</v>
      </c>
      <c r="G9" s="12" t="n">
        <f aca="false">SUM(G4:G8)</f>
        <v>1</v>
      </c>
    </row>
    <row r="10" customFormat="false" ht="15" hidden="false" customHeight="true" outlineLevel="0" collapsed="false">
      <c r="A10" s="5" t="s">
        <v>22</v>
      </c>
      <c r="B10" s="10" t="n">
        <v>1000000</v>
      </c>
      <c r="C10" s="5" t="s">
        <v>23</v>
      </c>
      <c r="E10" s="3" t="s">
        <v>24</v>
      </c>
    </row>
    <row r="11" customFormat="false" ht="15" hidden="false" customHeight="true" outlineLevel="0" collapsed="false">
      <c r="A11" s="5" t="s">
        <v>25</v>
      </c>
      <c r="B11" s="8" t="n">
        <v>2026</v>
      </c>
      <c r="C11" s="5" t="s">
        <v>26</v>
      </c>
    </row>
    <row r="13" customFormat="false" ht="15" hidden="false" customHeight="true" outlineLevel="0" collapsed="false">
      <c r="A13" s="3" t="s">
        <v>27</v>
      </c>
    </row>
    <row r="14" customFormat="false" ht="15" hidden="false" customHeight="false" outlineLevel="0" collapsed="false">
      <c r="A14" s="13" t="s">
        <v>28</v>
      </c>
    </row>
    <row r="15" customFormat="false" ht="15" hidden="false" customHeight="false" outlineLevel="0" collapsed="false">
      <c r="A15" s="14" t="s">
        <v>29</v>
      </c>
      <c r="B15" s="14" t="s">
        <v>30</v>
      </c>
      <c r="C15" s="14" t="s">
        <v>31</v>
      </c>
      <c r="D15" s="14" t="s">
        <v>32</v>
      </c>
    </row>
    <row r="16" customFormat="false" ht="15" hidden="false" customHeight="false" outlineLevel="0" collapsed="false">
      <c r="A16" s="1" t="s">
        <v>33</v>
      </c>
      <c r="B16" s="1" t="n">
        <v>5</v>
      </c>
      <c r="C16" s="1" t="n">
        <v>2</v>
      </c>
      <c r="D16" s="1" t="n">
        <f aca="false">SQRT(C16)</f>
        <v>1.4142135623731</v>
      </c>
    </row>
    <row r="17" customFormat="false" ht="15" hidden="false" customHeight="false" outlineLevel="0" collapsed="false">
      <c r="A17" s="1" t="s">
        <v>34</v>
      </c>
      <c r="B17" s="1" t="n">
        <v>5</v>
      </c>
      <c r="C17" s="1" t="n">
        <v>1.5</v>
      </c>
      <c r="D17" s="1" t="n">
        <f aca="false">SQRT(C17)</f>
        <v>1.22474487139159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6796875" defaultRowHeight="15" customHeight="true"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8"/>
    <col collapsed="false" customWidth="true" hidden="false" outlineLevel="0" max="4" min="4" style="1" width="14"/>
    <col collapsed="false" customWidth="true" hidden="false" outlineLevel="0" max="6" min="5" style="1" width="16"/>
    <col collapsed="false" customWidth="true" hidden="false" outlineLevel="0" max="8" min="7" style="1" width="10"/>
    <col collapsed="false" customWidth="true" hidden="false" outlineLevel="0" max="12" min="9" style="1" width="14"/>
    <col collapsed="false" customWidth="true" hidden="false" outlineLevel="0" max="15" min="13" style="1" width="16"/>
    <col collapsed="false" customWidth="true" hidden="false" outlineLevel="0" max="16" min="16" style="1" width="18"/>
    <col collapsed="false" customWidth="true" hidden="false" outlineLevel="0" max="17" min="17" style="1" width="15"/>
    <col collapsed="false" customWidth="true" hidden="false" outlineLevel="0" max="18" min="18" style="1" width="18"/>
    <col collapsed="false" customWidth="true" hidden="false" outlineLevel="0" max="20" min="20" style="1" width="30"/>
    <col collapsed="false" customWidth="true" hidden="false" outlineLevel="0" max="21" min="21" style="1" width="18"/>
    <col collapsed="false" customWidth="true" hidden="false" outlineLevel="0" max="23" min="23" style="1" width="12"/>
    <col collapsed="false" customWidth="true" hidden="false" outlineLevel="0" max="24" min="24" style="1" width="20"/>
    <col collapsed="false" customWidth="true" hidden="false" outlineLevel="0" max="26" min="25" style="1" width="18"/>
    <col collapsed="false" customWidth="true" hidden="false" outlineLevel="0" max="28" min="28" style="1" width="31"/>
    <col collapsed="false" customWidth="true" hidden="false" outlineLevel="0" max="31" min="29" style="1" width="18"/>
    <col collapsed="false" customWidth="true" hidden="false" outlineLevel="0" max="32" min="32" style="1" width="14"/>
  </cols>
  <sheetData>
    <row r="1" customFormat="false" ht="15" hidden="false" customHeight="true" outlineLevel="0" collapsed="false">
      <c r="A1" s="2" t="s">
        <v>35</v>
      </c>
      <c r="W1" s="3" t="s">
        <v>36</v>
      </c>
    </row>
    <row r="2" customFormat="false" ht="15" hidden="false" customHeight="true" outlineLevel="0" collapsed="false">
      <c r="A2" s="3" t="s">
        <v>37</v>
      </c>
    </row>
    <row r="4" customFormat="false" ht="15" hidden="false" customHeight="true" outlineLevel="0" collapsed="false">
      <c r="AB4" s="11" t="s">
        <v>38</v>
      </c>
    </row>
    <row r="5" customFormat="false" ht="42" hidden="false" customHeight="true" outlineLevel="0" collapsed="false">
      <c r="A5" s="4" t="s">
        <v>39</v>
      </c>
      <c r="B5" s="4" t="s">
        <v>40</v>
      </c>
      <c r="C5" s="4" t="s">
        <v>41</v>
      </c>
      <c r="D5" s="4" t="s">
        <v>42</v>
      </c>
      <c r="E5" s="4" t="s">
        <v>43</v>
      </c>
      <c r="F5" s="4" t="s">
        <v>44</v>
      </c>
      <c r="G5" s="4" t="s">
        <v>6</v>
      </c>
      <c r="H5" s="4" t="s">
        <v>45</v>
      </c>
      <c r="I5" s="4" t="s">
        <v>46</v>
      </c>
      <c r="J5" s="4" t="s">
        <v>47</v>
      </c>
      <c r="K5" s="4" t="s">
        <v>48</v>
      </c>
      <c r="L5" s="4" t="s">
        <v>49</v>
      </c>
      <c r="M5" s="4" t="s">
        <v>50</v>
      </c>
      <c r="N5" s="4" t="s">
        <v>51</v>
      </c>
      <c r="O5" s="4" t="s">
        <v>52</v>
      </c>
      <c r="P5" s="4" t="s">
        <v>53</v>
      </c>
      <c r="Q5" s="4" t="s">
        <v>54</v>
      </c>
      <c r="R5" s="4" t="s">
        <v>55</v>
      </c>
      <c r="T5" s="11" t="s">
        <v>56</v>
      </c>
      <c r="W5" s="4" t="s">
        <v>57</v>
      </c>
      <c r="X5" s="4" t="s">
        <v>58</v>
      </c>
      <c r="Y5" s="4" t="s">
        <v>59</v>
      </c>
      <c r="Z5" s="4" t="s">
        <v>60</v>
      </c>
      <c r="AB5" s="5" t="s">
        <v>61</v>
      </c>
      <c r="AC5" s="15" t="n">
        <f aca="false">AVERAGE(X7:X106)</f>
        <v>103111235.2</v>
      </c>
    </row>
    <row r="6" customFormat="false" ht="15" hidden="false" customHeight="true" outlineLevel="0" collapsed="false">
      <c r="A6" s="5" t="n">
        <v>1</v>
      </c>
      <c r="B6" s="16" t="n">
        <f aca="false">DATE(AnioSim,1,1)</f>
        <v>46023</v>
      </c>
      <c r="C6" s="5" t="n">
        <f aca="false">MONTH(B6)</f>
        <v>1</v>
      </c>
      <c r="D6" s="5" t="n">
        <v>1</v>
      </c>
      <c r="E6" s="17" t="n">
        <f aca="false">CantPedido</f>
        <v>15</v>
      </c>
      <c r="F6" s="17" t="n">
        <f aca="false">E6</f>
        <v>15</v>
      </c>
      <c r="G6" s="5" t="n">
        <f aca="false">RANDBETWEEN(3,7)</f>
        <v>3</v>
      </c>
      <c r="H6" s="5" t="n">
        <f aca="false">MIN(F6,G6)</f>
        <v>3</v>
      </c>
      <c r="I6" s="5" t="n">
        <f aca="false">G6-H6</f>
        <v>0</v>
      </c>
      <c r="J6" s="5" t="n">
        <f aca="false">F6-H6</f>
        <v>12</v>
      </c>
      <c r="K6" s="5" t="n">
        <f aca="false">IF(I6&gt;0,1,0)</f>
        <v>0</v>
      </c>
      <c r="L6" s="5" t="n">
        <f aca="false">IF(J6&lt;PuntoReorden,1,0)</f>
        <v>0</v>
      </c>
      <c r="M6" s="18" t="n">
        <f aca="false">PrecioVenta*H6</f>
        <v>2040000</v>
      </c>
      <c r="N6" s="18" t="n">
        <f aca="false">CostoUnitario*E6</f>
        <v>9000000</v>
      </c>
      <c r="O6" s="18" t="n">
        <f aca="false">IF(E6&gt;0,CostoPedido,0)</f>
        <v>40000</v>
      </c>
      <c r="P6" s="18" t="n">
        <f aca="false">CostoAlm*(F6+J6)/2</f>
        <v>1080</v>
      </c>
      <c r="Q6" s="18" t="n">
        <f aca="false">CostoFijo*D6</f>
        <v>1000000</v>
      </c>
      <c r="R6" s="18" t="n">
        <f aca="false">M6-N6-O6-P6-Q6</f>
        <v>-8001080</v>
      </c>
      <c r="T6" s="5" t="s">
        <v>58</v>
      </c>
      <c r="U6" s="15" t="n">
        <f aca="false">SUM(R6:R318)</f>
        <v>101351640</v>
      </c>
      <c r="X6" s="18" t="n">
        <f aca="false">U6</f>
        <v>101351640</v>
      </c>
      <c r="Y6" s="19" t="n">
        <f aca="false">U7</f>
        <v>0</v>
      </c>
      <c r="Z6" s="19" t="n">
        <f aca="false">U8</f>
        <v>0</v>
      </c>
      <c r="AB6" s="5" t="s">
        <v>62</v>
      </c>
      <c r="AC6" s="15" t="n">
        <f aca="false">STDEV(X7:X106)</f>
        <v>3235782.06227839</v>
      </c>
    </row>
    <row r="7" customFormat="false" ht="15" hidden="false" customHeight="true" outlineLevel="0" collapsed="false">
      <c r="A7" s="5" t="n">
        <f aca="false">A6+1</f>
        <v>2</v>
      </c>
      <c r="B7" s="16" t="n">
        <f aca="false">B6+IF(WEEKDAY(B6,2)=6,2,1)</f>
        <v>46024</v>
      </c>
      <c r="C7" s="5" t="n">
        <f aca="false">MONTH(B7)</f>
        <v>1</v>
      </c>
      <c r="D7" s="5" t="n">
        <f aca="false">IF(C7&lt;&gt;C6,1,0)</f>
        <v>0</v>
      </c>
      <c r="E7" s="5" t="n">
        <f aca="false">IF(L6=1,CantPedido,0)</f>
        <v>0</v>
      </c>
      <c r="F7" s="5" t="n">
        <f aca="false">J6+E7</f>
        <v>12</v>
      </c>
      <c r="G7" s="5" t="n">
        <f aca="false">RANDBETWEEN(3,7)</f>
        <v>5</v>
      </c>
      <c r="H7" s="5" t="n">
        <f aca="false">MIN(F7,G7)</f>
        <v>5</v>
      </c>
      <c r="I7" s="5" t="n">
        <f aca="false">G7-H7</f>
        <v>0</v>
      </c>
      <c r="J7" s="5" t="n">
        <f aca="false">F7-H7</f>
        <v>7</v>
      </c>
      <c r="K7" s="5" t="n">
        <f aca="false">IF(I7&gt;0,1,0)</f>
        <v>0</v>
      </c>
      <c r="L7" s="5" t="n">
        <f aca="false">IF(J7&lt;PuntoReorden,1,0)</f>
        <v>0</v>
      </c>
      <c r="M7" s="18" t="n">
        <f aca="false">PrecioVenta*H7</f>
        <v>3400000</v>
      </c>
      <c r="N7" s="18" t="n">
        <f aca="false">CostoUnitario*E7</f>
        <v>0</v>
      </c>
      <c r="O7" s="18" t="n">
        <f aca="false">IF(E7&gt;0,CostoPedido,0)</f>
        <v>0</v>
      </c>
      <c r="P7" s="18" t="n">
        <f aca="false">CostoAlm*(F7+J7)/2</f>
        <v>760</v>
      </c>
      <c r="Q7" s="18" t="n">
        <f aca="false">CostoFijo*D7</f>
        <v>0</v>
      </c>
      <c r="R7" s="18" t="n">
        <f aca="false">M7-N7-O7-P7-Q7</f>
        <v>3399240</v>
      </c>
      <c r="T7" s="5" t="s">
        <v>63</v>
      </c>
      <c r="U7" s="20" t="n">
        <f aca="false">SUM(K6:K318)/COUNT(A6:A318)</f>
        <v>0</v>
      </c>
      <c r="W7" s="5" t="n">
        <v>1</v>
      </c>
      <c r="X7" s="21" t="n">
        <v>104270240</v>
      </c>
      <c r="Y7" s="22" t="n">
        <v>0</v>
      </c>
      <c r="Z7" s="22" t="n">
        <v>0</v>
      </c>
      <c r="AB7" s="5" t="s">
        <v>64</v>
      </c>
      <c r="AC7" s="20" t="n">
        <f aca="false">AVERAGE(Y7:Y106)</f>
        <v>0</v>
      </c>
    </row>
    <row r="8" customFormat="false" ht="15" hidden="false" customHeight="true" outlineLevel="0" collapsed="false">
      <c r="A8" s="5" t="n">
        <f aca="false">A7+1</f>
        <v>3</v>
      </c>
      <c r="B8" s="16" t="n">
        <f aca="false">B7+IF(WEEKDAY(B7,2)=6,2,1)</f>
        <v>46025</v>
      </c>
      <c r="C8" s="5" t="n">
        <f aca="false">MONTH(B8)</f>
        <v>1</v>
      </c>
      <c r="D8" s="5" t="n">
        <f aca="false">IF(C8&lt;&gt;C7,1,0)</f>
        <v>0</v>
      </c>
      <c r="E8" s="5" t="n">
        <f aca="false">IF(L7=1,CantPedido,0)</f>
        <v>0</v>
      </c>
      <c r="F8" s="5" t="n">
        <f aca="false">J7+E8</f>
        <v>7</v>
      </c>
      <c r="G8" s="5" t="n">
        <f aca="false">RANDBETWEEN(3,7)</f>
        <v>3</v>
      </c>
      <c r="H8" s="5" t="n">
        <f aca="false">MIN(F8,G8)</f>
        <v>3</v>
      </c>
      <c r="I8" s="5" t="n">
        <f aca="false">G8-H8</f>
        <v>0</v>
      </c>
      <c r="J8" s="5" t="n">
        <f aca="false">F8-H8</f>
        <v>4</v>
      </c>
      <c r="K8" s="5" t="n">
        <f aca="false">IF(I8&gt;0,1,0)</f>
        <v>0</v>
      </c>
      <c r="L8" s="5" t="n">
        <f aca="false">IF(J8&lt;PuntoReorden,1,0)</f>
        <v>1</v>
      </c>
      <c r="M8" s="18" t="n">
        <f aca="false">PrecioVenta*H8</f>
        <v>2040000</v>
      </c>
      <c r="N8" s="18" t="n">
        <f aca="false">CostoUnitario*E8</f>
        <v>0</v>
      </c>
      <c r="O8" s="18" t="n">
        <f aca="false">IF(E8&gt;0,CostoPedido,0)</f>
        <v>0</v>
      </c>
      <c r="P8" s="18" t="n">
        <f aca="false">CostoAlm*(F8+J8)/2</f>
        <v>440</v>
      </c>
      <c r="Q8" s="18" t="n">
        <f aca="false">CostoFijo*D8</f>
        <v>0</v>
      </c>
      <c r="R8" s="18" t="n">
        <f aca="false">M8-N8-O8-P8-Q8</f>
        <v>2039560</v>
      </c>
      <c r="T8" s="5" t="s">
        <v>65</v>
      </c>
      <c r="U8" s="20" t="n">
        <f aca="false">AVERAGE(I6:I318)</f>
        <v>0</v>
      </c>
      <c r="W8" s="5" t="n">
        <v>2</v>
      </c>
      <c r="X8" s="21" t="n">
        <v>104752960</v>
      </c>
      <c r="Y8" s="22" t="n">
        <v>0</v>
      </c>
      <c r="Z8" s="22" t="n">
        <v>0</v>
      </c>
      <c r="AB8" s="5" t="s">
        <v>66</v>
      </c>
      <c r="AC8" s="20" t="n">
        <f aca="false">AVERAGE(Z7:Z106)</f>
        <v>0</v>
      </c>
    </row>
    <row r="9" customFormat="false" ht="15" hidden="false" customHeight="true" outlineLevel="0" collapsed="false">
      <c r="A9" s="5" t="n">
        <f aca="false">A8+1</f>
        <v>4</v>
      </c>
      <c r="B9" s="16" t="n">
        <f aca="false">B8+IF(WEEKDAY(B8,2)=6,2,1)</f>
        <v>46027</v>
      </c>
      <c r="C9" s="5" t="n">
        <f aca="false">MONTH(B9)</f>
        <v>1</v>
      </c>
      <c r="D9" s="5" t="n">
        <f aca="false">IF(C9&lt;&gt;C8,1,0)</f>
        <v>0</v>
      </c>
      <c r="E9" s="17" t="n">
        <f aca="false">IF(L8=1,CantPedido,0)</f>
        <v>15</v>
      </c>
      <c r="F9" s="5" t="n">
        <f aca="false">J8+E9</f>
        <v>19</v>
      </c>
      <c r="G9" s="5" t="n">
        <f aca="false">RANDBETWEEN(3,7)</f>
        <v>6</v>
      </c>
      <c r="H9" s="5" t="n">
        <f aca="false">MIN(F9,G9)</f>
        <v>6</v>
      </c>
      <c r="I9" s="5" t="n">
        <f aca="false">G9-H9</f>
        <v>0</v>
      </c>
      <c r="J9" s="5" t="n">
        <f aca="false">F9-H9</f>
        <v>13</v>
      </c>
      <c r="K9" s="5" t="n">
        <f aca="false">IF(I9&gt;0,1,0)</f>
        <v>0</v>
      </c>
      <c r="L9" s="5" t="n">
        <f aca="false">IF(J9&lt;PuntoReorden,1,0)</f>
        <v>0</v>
      </c>
      <c r="M9" s="18" t="n">
        <f aca="false">PrecioVenta*H9</f>
        <v>4080000</v>
      </c>
      <c r="N9" s="18" t="n">
        <f aca="false">CostoUnitario*E9</f>
        <v>9000000</v>
      </c>
      <c r="O9" s="18" t="n">
        <f aca="false">IF(E9&gt;0,CostoPedido,0)</f>
        <v>40000</v>
      </c>
      <c r="P9" s="18" t="n">
        <f aca="false">CostoAlm*(F9+J9)/2</f>
        <v>1280</v>
      </c>
      <c r="Q9" s="18" t="n">
        <f aca="false">CostoFijo*D9</f>
        <v>0</v>
      </c>
      <c r="R9" s="18" t="n">
        <f aca="false">M9-N9-O9-P9-Q9</f>
        <v>-4961280</v>
      </c>
      <c r="W9" s="5" t="n">
        <v>3</v>
      </c>
      <c r="X9" s="21" t="n">
        <v>99708640</v>
      </c>
      <c r="Y9" s="22" t="n">
        <v>0</v>
      </c>
      <c r="Z9" s="22" t="n">
        <v>0</v>
      </c>
    </row>
    <row r="10" customFormat="false" ht="15" hidden="false" customHeight="true" outlineLevel="0" collapsed="false">
      <c r="A10" s="5" t="n">
        <f aca="false">A9+1</f>
        <v>5</v>
      </c>
      <c r="B10" s="16" t="n">
        <f aca="false">B9+IF(WEEKDAY(B9,2)=6,2,1)</f>
        <v>46028</v>
      </c>
      <c r="C10" s="5" t="n">
        <f aca="false">MONTH(B10)</f>
        <v>1</v>
      </c>
      <c r="D10" s="5" t="n">
        <f aca="false">IF(C10&lt;&gt;C9,1,0)</f>
        <v>0</v>
      </c>
      <c r="E10" s="5" t="n">
        <f aca="false">IF(L9=1,CantPedido,0)</f>
        <v>0</v>
      </c>
      <c r="F10" s="5" t="n">
        <f aca="false">J9+E10</f>
        <v>13</v>
      </c>
      <c r="G10" s="5" t="n">
        <f aca="false">RANDBETWEEN(3,7)</f>
        <v>6</v>
      </c>
      <c r="H10" s="5" t="n">
        <f aca="false">MIN(F10,G10)</f>
        <v>6</v>
      </c>
      <c r="I10" s="5" t="n">
        <f aca="false">G10-H10</f>
        <v>0</v>
      </c>
      <c r="J10" s="5" t="n">
        <f aca="false">F10-H10</f>
        <v>7</v>
      </c>
      <c r="K10" s="5" t="n">
        <f aca="false">IF(I10&gt;0,1,0)</f>
        <v>0</v>
      </c>
      <c r="L10" s="5" t="n">
        <f aca="false">IF(J10&lt;PuntoReorden,1,0)</f>
        <v>0</v>
      </c>
      <c r="M10" s="18" t="n">
        <f aca="false">PrecioVenta*H10</f>
        <v>4080000</v>
      </c>
      <c r="N10" s="18" t="n">
        <f aca="false">CostoUnitario*E10</f>
        <v>0</v>
      </c>
      <c r="O10" s="18" t="n">
        <f aca="false">IF(E10&gt;0,CostoPedido,0)</f>
        <v>0</v>
      </c>
      <c r="P10" s="18" t="n">
        <f aca="false">CostoAlm*(F10+J10)/2</f>
        <v>800</v>
      </c>
      <c r="Q10" s="18" t="n">
        <f aca="false">CostoFijo*D10</f>
        <v>0</v>
      </c>
      <c r="R10" s="18" t="n">
        <f aca="false">M10-N10-O10-P10-Q10</f>
        <v>4079200</v>
      </c>
      <c r="W10" s="5" t="n">
        <v>4</v>
      </c>
      <c r="X10" s="21" t="n">
        <v>106596160</v>
      </c>
      <c r="Y10" s="22" t="n">
        <v>0</v>
      </c>
      <c r="Z10" s="22" t="n">
        <v>0</v>
      </c>
    </row>
    <row r="11" customFormat="false" ht="15" hidden="false" customHeight="true" outlineLevel="0" collapsed="false">
      <c r="A11" s="5" t="n">
        <f aca="false">A10+1</f>
        <v>6</v>
      </c>
      <c r="B11" s="16" t="n">
        <f aca="false">B10+IF(WEEKDAY(B10,2)=6,2,1)</f>
        <v>46029</v>
      </c>
      <c r="C11" s="5" t="n">
        <f aca="false">MONTH(B11)</f>
        <v>1</v>
      </c>
      <c r="D11" s="5" t="n">
        <f aca="false">IF(C11&lt;&gt;C10,1,0)</f>
        <v>0</v>
      </c>
      <c r="E11" s="5" t="n">
        <f aca="false">IF(L10=1,CantPedido,0)</f>
        <v>0</v>
      </c>
      <c r="F11" s="5" t="n">
        <f aca="false">J10+E11</f>
        <v>7</v>
      </c>
      <c r="G11" s="5" t="n">
        <f aca="false">RANDBETWEEN(3,7)</f>
        <v>3</v>
      </c>
      <c r="H11" s="5" t="n">
        <f aca="false">MIN(F11,G11)</f>
        <v>3</v>
      </c>
      <c r="I11" s="5" t="n">
        <f aca="false">G11-H11</f>
        <v>0</v>
      </c>
      <c r="J11" s="5" t="n">
        <f aca="false">F11-H11</f>
        <v>4</v>
      </c>
      <c r="K11" s="5" t="n">
        <f aca="false">IF(I11&gt;0,1,0)</f>
        <v>0</v>
      </c>
      <c r="L11" s="5" t="n">
        <f aca="false">IF(J11&lt;PuntoReorden,1,0)</f>
        <v>1</v>
      </c>
      <c r="M11" s="18" t="n">
        <f aca="false">PrecioVenta*H11</f>
        <v>2040000</v>
      </c>
      <c r="N11" s="18" t="n">
        <f aca="false">CostoUnitario*E11</f>
        <v>0</v>
      </c>
      <c r="O11" s="18" t="n">
        <f aca="false">IF(E11&gt;0,CostoPedido,0)</f>
        <v>0</v>
      </c>
      <c r="P11" s="18" t="n">
        <f aca="false">CostoAlm*(F11+J11)/2</f>
        <v>440</v>
      </c>
      <c r="Q11" s="18" t="n">
        <f aca="false">CostoFijo*D11</f>
        <v>0</v>
      </c>
      <c r="R11" s="18" t="n">
        <f aca="false">M11-N11-O11-P11-Q11</f>
        <v>2039560</v>
      </c>
      <c r="W11" s="5" t="n">
        <v>5</v>
      </c>
      <c r="X11" s="21" t="n">
        <v>97467120</v>
      </c>
      <c r="Y11" s="22" t="n">
        <v>0</v>
      </c>
      <c r="Z11" s="22" t="n">
        <v>0</v>
      </c>
      <c r="AB11" s="11" t="s">
        <v>67</v>
      </c>
    </row>
    <row r="12" customFormat="false" ht="15" hidden="false" customHeight="true" outlineLevel="0" collapsed="false">
      <c r="A12" s="5" t="n">
        <f aca="false">A11+1</f>
        <v>7</v>
      </c>
      <c r="B12" s="16" t="n">
        <f aca="false">B11+IF(WEEKDAY(B11,2)=6,2,1)</f>
        <v>46030</v>
      </c>
      <c r="C12" s="5" t="n">
        <f aca="false">MONTH(B12)</f>
        <v>1</v>
      </c>
      <c r="D12" s="5" t="n">
        <f aca="false">IF(C12&lt;&gt;C11,1,0)</f>
        <v>0</v>
      </c>
      <c r="E12" s="17" t="n">
        <f aca="false">IF(L11=1,CantPedido,0)</f>
        <v>15</v>
      </c>
      <c r="F12" s="5" t="n">
        <f aca="false">J11+E12</f>
        <v>19</v>
      </c>
      <c r="G12" s="5" t="n">
        <f aca="false">RANDBETWEEN(3,7)</f>
        <v>4</v>
      </c>
      <c r="H12" s="5" t="n">
        <f aca="false">MIN(F12,G12)</f>
        <v>4</v>
      </c>
      <c r="I12" s="5" t="n">
        <f aca="false">G12-H12</f>
        <v>0</v>
      </c>
      <c r="J12" s="5" t="n">
        <f aca="false">F12-H12</f>
        <v>15</v>
      </c>
      <c r="K12" s="5" t="n">
        <f aca="false">IF(I12&gt;0,1,0)</f>
        <v>0</v>
      </c>
      <c r="L12" s="5" t="n">
        <f aca="false">IF(J12&lt;PuntoReorden,1,0)</f>
        <v>0</v>
      </c>
      <c r="M12" s="18" t="n">
        <f aca="false">PrecioVenta*H12</f>
        <v>2720000</v>
      </c>
      <c r="N12" s="18" t="n">
        <f aca="false">CostoUnitario*E12</f>
        <v>9000000</v>
      </c>
      <c r="O12" s="18" t="n">
        <f aca="false">IF(E12&gt;0,CostoPedido,0)</f>
        <v>40000</v>
      </c>
      <c r="P12" s="18" t="n">
        <f aca="false">CostoAlm*(F12+J12)/2</f>
        <v>1360</v>
      </c>
      <c r="Q12" s="18" t="n">
        <f aca="false">CostoFijo*D12</f>
        <v>0</v>
      </c>
      <c r="R12" s="18" t="n">
        <f aca="false">M12-N12-O12-P12-Q12</f>
        <v>-6321360</v>
      </c>
      <c r="W12" s="5" t="n">
        <v>6</v>
      </c>
      <c r="X12" s="21" t="n">
        <v>101551200</v>
      </c>
      <c r="Y12" s="22" t="n">
        <v>0</v>
      </c>
      <c r="Z12" s="22" t="n">
        <v>0</v>
      </c>
      <c r="AB12" s="5" t="s">
        <v>68</v>
      </c>
      <c r="AC12" s="15" t="n">
        <f aca="false">MIN(X7:X106)</f>
        <v>94950440</v>
      </c>
    </row>
    <row r="13" customFormat="false" ht="15" hidden="false" customHeight="true" outlineLevel="0" collapsed="false">
      <c r="A13" s="5" t="n">
        <f aca="false">A12+1</f>
        <v>8</v>
      </c>
      <c r="B13" s="16" t="n">
        <f aca="false">B12+IF(WEEKDAY(B12,2)=6,2,1)</f>
        <v>46031</v>
      </c>
      <c r="C13" s="5" t="n">
        <f aca="false">MONTH(B13)</f>
        <v>1</v>
      </c>
      <c r="D13" s="5" t="n">
        <f aca="false">IF(C13&lt;&gt;C12,1,0)</f>
        <v>0</v>
      </c>
      <c r="E13" s="5" t="n">
        <f aca="false">IF(L12=1,CantPedido,0)</f>
        <v>0</v>
      </c>
      <c r="F13" s="5" t="n">
        <f aca="false">J12+E13</f>
        <v>15</v>
      </c>
      <c r="G13" s="5" t="n">
        <f aca="false">RANDBETWEEN(3,7)</f>
        <v>3</v>
      </c>
      <c r="H13" s="5" t="n">
        <f aca="false">MIN(F13,G13)</f>
        <v>3</v>
      </c>
      <c r="I13" s="5" t="n">
        <f aca="false">G13-H13</f>
        <v>0</v>
      </c>
      <c r="J13" s="5" t="n">
        <f aca="false">F13-H13</f>
        <v>12</v>
      </c>
      <c r="K13" s="5" t="n">
        <f aca="false">IF(I13&gt;0,1,0)</f>
        <v>0</v>
      </c>
      <c r="L13" s="5" t="n">
        <f aca="false">IF(J13&lt;PuntoReorden,1,0)</f>
        <v>0</v>
      </c>
      <c r="M13" s="18" t="n">
        <f aca="false">PrecioVenta*H13</f>
        <v>2040000</v>
      </c>
      <c r="N13" s="18" t="n">
        <f aca="false">CostoUnitario*E13</f>
        <v>0</v>
      </c>
      <c r="O13" s="18" t="n">
        <f aca="false">IF(E13&gt;0,CostoPedido,0)</f>
        <v>0</v>
      </c>
      <c r="P13" s="18" t="n">
        <f aca="false">CostoAlm*(F13+J13)/2</f>
        <v>1080</v>
      </c>
      <c r="Q13" s="18" t="n">
        <f aca="false">CostoFijo*D13</f>
        <v>0</v>
      </c>
      <c r="R13" s="18" t="n">
        <f aca="false">M13-N13-O13-P13-Q13</f>
        <v>2038920</v>
      </c>
      <c r="W13" s="5" t="n">
        <v>7</v>
      </c>
      <c r="X13" s="21" t="n">
        <v>102309640</v>
      </c>
      <c r="Y13" s="22" t="n">
        <v>0</v>
      </c>
      <c r="Z13" s="22" t="n">
        <v>0</v>
      </c>
      <c r="AB13" s="5" t="s">
        <v>69</v>
      </c>
      <c r="AC13" s="15" t="n">
        <f aca="false">MAX(X7:X106)</f>
        <v>109309040</v>
      </c>
    </row>
    <row r="14" customFormat="false" ht="15" hidden="false" customHeight="true" outlineLevel="0" collapsed="false">
      <c r="A14" s="5" t="n">
        <f aca="false">A13+1</f>
        <v>9</v>
      </c>
      <c r="B14" s="16" t="n">
        <f aca="false">B13+IF(WEEKDAY(B13,2)=6,2,1)</f>
        <v>46032</v>
      </c>
      <c r="C14" s="5" t="n">
        <f aca="false">MONTH(B14)</f>
        <v>1</v>
      </c>
      <c r="D14" s="5" t="n">
        <f aca="false">IF(C14&lt;&gt;C13,1,0)</f>
        <v>0</v>
      </c>
      <c r="E14" s="5" t="n">
        <f aca="false">IF(L13=1,CantPedido,0)</f>
        <v>0</v>
      </c>
      <c r="F14" s="5" t="n">
        <f aca="false">J13+E14</f>
        <v>12</v>
      </c>
      <c r="G14" s="5" t="n">
        <f aca="false">RANDBETWEEN(3,7)</f>
        <v>4</v>
      </c>
      <c r="H14" s="5" t="n">
        <f aca="false">MIN(F14,G14)</f>
        <v>4</v>
      </c>
      <c r="I14" s="5" t="n">
        <f aca="false">G14-H14</f>
        <v>0</v>
      </c>
      <c r="J14" s="5" t="n">
        <f aca="false">F14-H14</f>
        <v>8</v>
      </c>
      <c r="K14" s="5" t="n">
        <f aca="false">IF(I14&gt;0,1,0)</f>
        <v>0</v>
      </c>
      <c r="L14" s="5" t="n">
        <f aca="false">IF(J14&lt;PuntoReorden,1,0)</f>
        <v>0</v>
      </c>
      <c r="M14" s="18" t="n">
        <f aca="false">PrecioVenta*H14</f>
        <v>2720000</v>
      </c>
      <c r="N14" s="18" t="n">
        <f aca="false">CostoUnitario*E14</f>
        <v>0</v>
      </c>
      <c r="O14" s="18" t="n">
        <f aca="false">IF(E14&gt;0,CostoPedido,0)</f>
        <v>0</v>
      </c>
      <c r="P14" s="18" t="n">
        <f aca="false">CostoAlm*(F14+J14)/2</f>
        <v>800</v>
      </c>
      <c r="Q14" s="18" t="n">
        <f aca="false">CostoFijo*D14</f>
        <v>0</v>
      </c>
      <c r="R14" s="18" t="n">
        <f aca="false">M14-N14-O14-P14-Q14</f>
        <v>2719200</v>
      </c>
      <c r="W14" s="5" t="n">
        <v>8</v>
      </c>
      <c r="X14" s="21" t="n">
        <v>100589120</v>
      </c>
      <c r="Y14" s="22" t="n">
        <v>0</v>
      </c>
      <c r="Z14" s="22" t="n">
        <v>0</v>
      </c>
      <c r="AB14" s="5" t="s">
        <v>70</v>
      </c>
      <c r="AC14" s="15" t="n">
        <f aca="false">IF(AC13=AC12,1,(AC13-AC12)/10)</f>
        <v>1435860</v>
      </c>
    </row>
    <row r="15" customFormat="false" ht="15" hidden="false" customHeight="true" outlineLevel="0" collapsed="false">
      <c r="A15" s="5" t="n">
        <f aca="false">A14+1</f>
        <v>10</v>
      </c>
      <c r="B15" s="16" t="n">
        <f aca="false">B14+IF(WEEKDAY(B14,2)=6,2,1)</f>
        <v>46034</v>
      </c>
      <c r="C15" s="5" t="n">
        <f aca="false">MONTH(B15)</f>
        <v>1</v>
      </c>
      <c r="D15" s="5" t="n">
        <f aca="false">IF(C15&lt;&gt;C14,1,0)</f>
        <v>0</v>
      </c>
      <c r="E15" s="17" t="n">
        <f aca="false">IF(L14=1,CantPedido,0)</f>
        <v>0</v>
      </c>
      <c r="F15" s="5" t="n">
        <f aca="false">J14+E15</f>
        <v>8</v>
      </c>
      <c r="G15" s="5" t="n">
        <f aca="false">RANDBETWEEN(3,7)</f>
        <v>3</v>
      </c>
      <c r="H15" s="5" t="n">
        <f aca="false">MIN(F15,G15)</f>
        <v>3</v>
      </c>
      <c r="I15" s="5" t="n">
        <f aca="false">G15-H15</f>
        <v>0</v>
      </c>
      <c r="J15" s="5" t="n">
        <f aca="false">F15-H15</f>
        <v>5</v>
      </c>
      <c r="K15" s="5" t="n">
        <f aca="false">IF(I15&gt;0,1,0)</f>
        <v>0</v>
      </c>
      <c r="L15" s="5" t="n">
        <f aca="false">IF(J15&lt;PuntoReorden,1,0)</f>
        <v>1</v>
      </c>
      <c r="M15" s="18" t="n">
        <f aca="false">PrecioVenta*H15</f>
        <v>2040000</v>
      </c>
      <c r="N15" s="18" t="n">
        <f aca="false">CostoUnitario*E15</f>
        <v>0</v>
      </c>
      <c r="O15" s="18" t="n">
        <f aca="false">IF(E15&gt;0,CostoPedido,0)</f>
        <v>0</v>
      </c>
      <c r="P15" s="18" t="n">
        <f aca="false">CostoAlm*(F15+J15)/2</f>
        <v>520</v>
      </c>
      <c r="Q15" s="18" t="n">
        <f aca="false">CostoFijo*D15</f>
        <v>0</v>
      </c>
      <c r="R15" s="18" t="n">
        <f aca="false">M15-N15-O15-P15-Q15</f>
        <v>2039480</v>
      </c>
      <c r="W15" s="5" t="n">
        <v>9</v>
      </c>
      <c r="X15" s="21" t="n">
        <v>100389000</v>
      </c>
      <c r="Y15" s="22" t="n">
        <v>0</v>
      </c>
      <c r="Z15" s="22" t="n">
        <v>0</v>
      </c>
    </row>
    <row r="16" customFormat="false" ht="23.25" hidden="false" customHeight="true" outlineLevel="0" collapsed="false">
      <c r="A16" s="5" t="n">
        <f aca="false">A15+1</f>
        <v>11</v>
      </c>
      <c r="B16" s="16" t="n">
        <f aca="false">B15+IF(WEEKDAY(B15,2)=6,2,1)</f>
        <v>46035</v>
      </c>
      <c r="C16" s="5" t="n">
        <f aca="false">MONTH(B16)</f>
        <v>1</v>
      </c>
      <c r="D16" s="5" t="n">
        <f aca="false">IF(C16&lt;&gt;C15,1,0)</f>
        <v>0</v>
      </c>
      <c r="E16" s="17" t="n">
        <f aca="false">IF(L15=1,CantPedido,0)</f>
        <v>15</v>
      </c>
      <c r="F16" s="5" t="n">
        <f aca="false">J15+E16</f>
        <v>20</v>
      </c>
      <c r="G16" s="5" t="n">
        <f aca="false">RANDBETWEEN(3,7)</f>
        <v>3</v>
      </c>
      <c r="H16" s="5" t="n">
        <f aca="false">MIN(F16,G16)</f>
        <v>3</v>
      </c>
      <c r="I16" s="5" t="n">
        <f aca="false">G16-H16</f>
        <v>0</v>
      </c>
      <c r="J16" s="5" t="n">
        <f aca="false">F16-H16</f>
        <v>17</v>
      </c>
      <c r="K16" s="5" t="n">
        <f aca="false">IF(I16&gt;0,1,0)</f>
        <v>0</v>
      </c>
      <c r="L16" s="5" t="n">
        <f aca="false">IF(J16&lt;PuntoReorden,1,0)</f>
        <v>0</v>
      </c>
      <c r="M16" s="18" t="n">
        <f aca="false">PrecioVenta*H16</f>
        <v>2040000</v>
      </c>
      <c r="N16" s="18" t="n">
        <f aca="false">CostoUnitario*E16</f>
        <v>9000000</v>
      </c>
      <c r="O16" s="18" t="n">
        <f aca="false">IF(E16&gt;0,CostoPedido,0)</f>
        <v>40000</v>
      </c>
      <c r="P16" s="18" t="n">
        <f aca="false">CostoAlm*(F16+J16)/2</f>
        <v>1480</v>
      </c>
      <c r="Q16" s="18" t="n">
        <f aca="false">CostoFijo*D16</f>
        <v>0</v>
      </c>
      <c r="R16" s="18" t="n">
        <f aca="false">M16-N16-O16-P16-Q16</f>
        <v>-7001480</v>
      </c>
      <c r="W16" s="5" t="n">
        <v>10</v>
      </c>
      <c r="X16" s="21" t="n">
        <v>107272280</v>
      </c>
      <c r="Y16" s="22" t="n">
        <v>0</v>
      </c>
      <c r="Z16" s="22" t="n">
        <v>0</v>
      </c>
      <c r="AB16" s="4" t="s">
        <v>71</v>
      </c>
      <c r="AC16" s="4" t="s">
        <v>72</v>
      </c>
      <c r="AD16" s="4" t="s">
        <v>73</v>
      </c>
      <c r="AE16" s="4" t="s">
        <v>74</v>
      </c>
      <c r="AF16" s="4" t="s">
        <v>75</v>
      </c>
    </row>
    <row r="17" customFormat="false" ht="15" hidden="false" customHeight="true" outlineLevel="0" collapsed="false">
      <c r="A17" s="5" t="n">
        <f aca="false">A16+1</f>
        <v>12</v>
      </c>
      <c r="B17" s="16" t="n">
        <f aca="false">B16+IF(WEEKDAY(B16,2)=6,2,1)</f>
        <v>46036</v>
      </c>
      <c r="C17" s="5" t="n">
        <f aca="false">MONTH(B17)</f>
        <v>1</v>
      </c>
      <c r="D17" s="5" t="n">
        <f aca="false">IF(C17&lt;&gt;C16,1,0)</f>
        <v>0</v>
      </c>
      <c r="E17" s="5" t="n">
        <f aca="false">IF(L16=1,CantPedido,0)</f>
        <v>0</v>
      </c>
      <c r="F17" s="5" t="n">
        <f aca="false">J16+E17</f>
        <v>17</v>
      </c>
      <c r="G17" s="5" t="n">
        <f aca="false">RANDBETWEEN(3,7)</f>
        <v>5</v>
      </c>
      <c r="H17" s="5" t="n">
        <f aca="false">MIN(F17,G17)</f>
        <v>5</v>
      </c>
      <c r="I17" s="5" t="n">
        <f aca="false">G17-H17</f>
        <v>0</v>
      </c>
      <c r="J17" s="5" t="n">
        <f aca="false">F17-H17</f>
        <v>12</v>
      </c>
      <c r="K17" s="5" t="n">
        <f aca="false">IF(I17&gt;0,1,0)</f>
        <v>0</v>
      </c>
      <c r="L17" s="5" t="n">
        <f aca="false">IF(J17&lt;PuntoReorden,1,0)</f>
        <v>0</v>
      </c>
      <c r="M17" s="18" t="n">
        <f aca="false">PrecioVenta*H17</f>
        <v>3400000</v>
      </c>
      <c r="N17" s="18" t="n">
        <f aca="false">CostoUnitario*E17</f>
        <v>0</v>
      </c>
      <c r="O17" s="18" t="n">
        <f aca="false">IF(E17&gt;0,CostoPedido,0)</f>
        <v>0</v>
      </c>
      <c r="P17" s="18" t="n">
        <f aca="false">CostoAlm*(F17+J17)/2</f>
        <v>1160</v>
      </c>
      <c r="Q17" s="18" t="n">
        <f aca="false">CostoFijo*D17</f>
        <v>0</v>
      </c>
      <c r="R17" s="18" t="n">
        <f aca="false">M17-N17-O17-P17-Q17</f>
        <v>3398840</v>
      </c>
      <c r="W17" s="5" t="n">
        <v>11</v>
      </c>
      <c r="X17" s="21" t="n">
        <v>103396800</v>
      </c>
      <c r="Y17" s="22" t="n">
        <v>0</v>
      </c>
      <c r="Z17" s="22" t="n">
        <v>0</v>
      </c>
      <c r="AB17" s="5" t="n">
        <v>1</v>
      </c>
      <c r="AC17" s="18" t="n">
        <f aca="false">$AC$12+(AB17-1)*$AC$14</f>
        <v>94950440</v>
      </c>
      <c r="AD17" s="18" t="n">
        <f aca="false">AC17+$AC$14</f>
        <v>96386300</v>
      </c>
      <c r="AE17" s="23" t="n">
        <f aca="false">(AC17+AD17)/2/1000000</f>
        <v>95.66837</v>
      </c>
      <c r="AF17" s="5" t="n">
        <f aca="false">COUNTIFS($X$7:$X$106,"&gt;="&amp;AC17,$X$7:$X$106,"&lt;"&amp;AD17)</f>
        <v>2</v>
      </c>
    </row>
    <row r="18" customFormat="false" ht="15" hidden="false" customHeight="true" outlineLevel="0" collapsed="false">
      <c r="A18" s="5" t="n">
        <f aca="false">A17+1</f>
        <v>13</v>
      </c>
      <c r="B18" s="16" t="n">
        <f aca="false">B17+IF(WEEKDAY(B17,2)=6,2,1)</f>
        <v>46037</v>
      </c>
      <c r="C18" s="5" t="n">
        <f aca="false">MONTH(B18)</f>
        <v>1</v>
      </c>
      <c r="D18" s="5" t="n">
        <f aca="false">IF(C18&lt;&gt;C17,1,0)</f>
        <v>0</v>
      </c>
      <c r="E18" s="17" t="n">
        <f aca="false">IF(L17=1,CantPedido,0)</f>
        <v>0</v>
      </c>
      <c r="F18" s="5" t="n">
        <f aca="false">J17+E18</f>
        <v>12</v>
      </c>
      <c r="G18" s="5" t="n">
        <f aca="false">RANDBETWEEN(3,7)</f>
        <v>3</v>
      </c>
      <c r="H18" s="5" t="n">
        <f aca="false">MIN(F18,G18)</f>
        <v>3</v>
      </c>
      <c r="I18" s="5" t="n">
        <f aca="false">G18-H18</f>
        <v>0</v>
      </c>
      <c r="J18" s="5" t="n">
        <f aca="false">F18-H18</f>
        <v>9</v>
      </c>
      <c r="K18" s="5" t="n">
        <f aca="false">IF(I18&gt;0,1,0)</f>
        <v>0</v>
      </c>
      <c r="L18" s="5" t="n">
        <f aca="false">IF(J18&lt;PuntoReorden,1,0)</f>
        <v>0</v>
      </c>
      <c r="M18" s="18" t="n">
        <f aca="false">PrecioVenta*H18</f>
        <v>2040000</v>
      </c>
      <c r="N18" s="18" t="n">
        <f aca="false">CostoUnitario*E18</f>
        <v>0</v>
      </c>
      <c r="O18" s="18" t="n">
        <f aca="false">IF(E18&gt;0,CostoPedido,0)</f>
        <v>0</v>
      </c>
      <c r="P18" s="18" t="n">
        <f aca="false">CostoAlm*(F18+J18)/2</f>
        <v>840</v>
      </c>
      <c r="Q18" s="18" t="n">
        <f aca="false">CostoFijo*D18</f>
        <v>0</v>
      </c>
      <c r="R18" s="18" t="n">
        <f aca="false">M18-N18-O18-P18-Q18</f>
        <v>2039160</v>
      </c>
      <c r="W18" s="5" t="n">
        <v>12</v>
      </c>
      <c r="X18" s="21" t="n">
        <v>105026120</v>
      </c>
      <c r="Y18" s="22" t="n">
        <v>0</v>
      </c>
      <c r="Z18" s="22" t="n">
        <v>0</v>
      </c>
      <c r="AB18" s="5" t="n">
        <v>2</v>
      </c>
      <c r="AC18" s="18" t="n">
        <f aca="false">$AC$12+(AB18-1)*$AC$14</f>
        <v>96386300</v>
      </c>
      <c r="AD18" s="18" t="n">
        <f aca="false">AC18+$AC$14</f>
        <v>97822160</v>
      </c>
      <c r="AE18" s="23" t="n">
        <f aca="false">(AC18+AD18)/2/1000000</f>
        <v>97.10423</v>
      </c>
      <c r="AF18" s="5" t="n">
        <f aca="false">COUNTIFS($X$7:$X$106,"&gt;="&amp;AC18,$X$7:$X$106,"&lt;"&amp;AD18)</f>
        <v>3</v>
      </c>
    </row>
    <row r="19" customFormat="false" ht="15" hidden="false" customHeight="true" outlineLevel="0" collapsed="false">
      <c r="A19" s="5" t="n">
        <f aca="false">A18+1</f>
        <v>14</v>
      </c>
      <c r="B19" s="16" t="n">
        <f aca="false">B18+IF(WEEKDAY(B18,2)=6,2,1)</f>
        <v>46038</v>
      </c>
      <c r="C19" s="5" t="n">
        <f aca="false">MONTH(B19)</f>
        <v>1</v>
      </c>
      <c r="D19" s="5" t="n">
        <f aca="false">IF(C19&lt;&gt;C18,1,0)</f>
        <v>0</v>
      </c>
      <c r="E19" s="5" t="n">
        <f aca="false">IF(L18=1,CantPedido,0)</f>
        <v>0</v>
      </c>
      <c r="F19" s="5" t="n">
        <f aca="false">J18+E19</f>
        <v>9</v>
      </c>
      <c r="G19" s="5" t="n">
        <f aca="false">RANDBETWEEN(3,7)</f>
        <v>6</v>
      </c>
      <c r="H19" s="5" t="n">
        <f aca="false">MIN(F19,G19)</f>
        <v>6</v>
      </c>
      <c r="I19" s="5" t="n">
        <f aca="false">G19-H19</f>
        <v>0</v>
      </c>
      <c r="J19" s="5" t="n">
        <f aca="false">F19-H19</f>
        <v>3</v>
      </c>
      <c r="K19" s="5" t="n">
        <f aca="false">IF(I19&gt;0,1,0)</f>
        <v>0</v>
      </c>
      <c r="L19" s="5" t="n">
        <f aca="false">IF(J19&lt;PuntoReorden,1,0)</f>
        <v>1</v>
      </c>
      <c r="M19" s="18" t="n">
        <f aca="false">PrecioVenta*H19</f>
        <v>4080000</v>
      </c>
      <c r="N19" s="18" t="n">
        <f aca="false">CostoUnitario*E19</f>
        <v>0</v>
      </c>
      <c r="O19" s="18" t="n">
        <f aca="false">IF(E19&gt;0,CostoPedido,0)</f>
        <v>0</v>
      </c>
      <c r="P19" s="18" t="n">
        <f aca="false">CostoAlm*(F19+J19)/2</f>
        <v>480</v>
      </c>
      <c r="Q19" s="18" t="n">
        <f aca="false">CostoFijo*D19</f>
        <v>0</v>
      </c>
      <c r="R19" s="18" t="n">
        <f aca="false">M19-N19-O19-P19-Q19</f>
        <v>4079520</v>
      </c>
      <c r="W19" s="5" t="n">
        <v>13</v>
      </c>
      <c r="X19" s="21" t="n">
        <v>104553000</v>
      </c>
      <c r="Y19" s="22" t="n">
        <v>0</v>
      </c>
      <c r="Z19" s="22" t="n">
        <v>0</v>
      </c>
      <c r="AB19" s="5" t="n">
        <v>3</v>
      </c>
      <c r="AC19" s="18" t="n">
        <f aca="false">$AC$12+(AB19-1)*$AC$14</f>
        <v>97822160</v>
      </c>
      <c r="AD19" s="18" t="n">
        <f aca="false">AC19+$AC$14</f>
        <v>99258020</v>
      </c>
      <c r="AE19" s="23" t="n">
        <f aca="false">(AC19+AD19)/2/1000000</f>
        <v>98.54009</v>
      </c>
      <c r="AF19" s="5" t="n">
        <f aca="false">COUNTIFS($X$7:$X$106,"&gt;="&amp;AC19,$X$7:$X$106,"&lt;"&amp;AD19)</f>
        <v>8</v>
      </c>
    </row>
    <row r="20" customFormat="false" ht="15" hidden="false" customHeight="true" outlineLevel="0" collapsed="false">
      <c r="A20" s="5" t="n">
        <f aca="false">A19+1</f>
        <v>15</v>
      </c>
      <c r="B20" s="16" t="n">
        <f aca="false">B19+IF(WEEKDAY(B19,2)=6,2,1)</f>
        <v>46039</v>
      </c>
      <c r="C20" s="5" t="n">
        <f aca="false">MONTH(B20)</f>
        <v>1</v>
      </c>
      <c r="D20" s="5" t="n">
        <f aca="false">IF(C20&lt;&gt;C19,1,0)</f>
        <v>0</v>
      </c>
      <c r="E20" s="17" t="n">
        <f aca="false">IF(L19=1,CantPedido,0)</f>
        <v>15</v>
      </c>
      <c r="F20" s="5" t="n">
        <f aca="false">J19+E20</f>
        <v>18</v>
      </c>
      <c r="G20" s="5" t="n">
        <f aca="false">RANDBETWEEN(3,7)</f>
        <v>3</v>
      </c>
      <c r="H20" s="5" t="n">
        <f aca="false">MIN(F20,G20)</f>
        <v>3</v>
      </c>
      <c r="I20" s="5" t="n">
        <f aca="false">G20-H20</f>
        <v>0</v>
      </c>
      <c r="J20" s="5" t="n">
        <f aca="false">F20-H20</f>
        <v>15</v>
      </c>
      <c r="K20" s="5" t="n">
        <f aca="false">IF(I20&gt;0,1,0)</f>
        <v>0</v>
      </c>
      <c r="L20" s="5" t="n">
        <f aca="false">IF(J20&lt;PuntoReorden,1,0)</f>
        <v>0</v>
      </c>
      <c r="M20" s="18" t="n">
        <f aca="false">PrecioVenta*H20</f>
        <v>2040000</v>
      </c>
      <c r="N20" s="18" t="n">
        <f aca="false">CostoUnitario*E20</f>
        <v>9000000</v>
      </c>
      <c r="O20" s="18" t="n">
        <f aca="false">IF(E20&gt;0,CostoPedido,0)</f>
        <v>40000</v>
      </c>
      <c r="P20" s="18" t="n">
        <f aca="false">CostoAlm*(F20+J20)/2</f>
        <v>1320</v>
      </c>
      <c r="Q20" s="18" t="n">
        <f aca="false">CostoFijo*D20</f>
        <v>0</v>
      </c>
      <c r="R20" s="18" t="n">
        <f aca="false">M20-N20-O20-P20-Q20</f>
        <v>-7001320</v>
      </c>
      <c r="W20" s="5" t="n">
        <v>14</v>
      </c>
      <c r="X20" s="21" t="n">
        <v>107952560</v>
      </c>
      <c r="Y20" s="22" t="n">
        <v>0</v>
      </c>
      <c r="Z20" s="22" t="n">
        <v>0</v>
      </c>
      <c r="AB20" s="5" t="n">
        <v>4</v>
      </c>
      <c r="AC20" s="18" t="n">
        <f aca="false">$AC$12+(AB20-1)*$AC$14</f>
        <v>99258020</v>
      </c>
      <c r="AD20" s="18" t="n">
        <f aca="false">AC20+$AC$14</f>
        <v>100693880</v>
      </c>
      <c r="AE20" s="23" t="n">
        <f aca="false">(AC20+AD20)/2/1000000</f>
        <v>99.97595</v>
      </c>
      <c r="AF20" s="5" t="n">
        <f aca="false">COUNTIFS($X$7:$X$106,"&gt;="&amp;AC20,$X$7:$X$106,"&lt;"&amp;AD20)</f>
        <v>12</v>
      </c>
    </row>
    <row r="21" customFormat="false" ht="15" hidden="false" customHeight="true" outlineLevel="0" collapsed="false">
      <c r="A21" s="5" t="n">
        <f aca="false">A20+1</f>
        <v>16</v>
      </c>
      <c r="B21" s="16" t="n">
        <f aca="false">B20+IF(WEEKDAY(B20,2)=6,2,1)</f>
        <v>46041</v>
      </c>
      <c r="C21" s="5" t="n">
        <f aca="false">MONTH(B21)</f>
        <v>1</v>
      </c>
      <c r="D21" s="5" t="n">
        <f aca="false">IF(C21&lt;&gt;C20,1,0)</f>
        <v>0</v>
      </c>
      <c r="E21" s="17" t="n">
        <f aca="false">IF(L20=1,CantPedido,0)</f>
        <v>0</v>
      </c>
      <c r="F21" s="5" t="n">
        <f aca="false">J20+E21</f>
        <v>15</v>
      </c>
      <c r="G21" s="5" t="n">
        <f aca="false">RANDBETWEEN(3,7)</f>
        <v>7</v>
      </c>
      <c r="H21" s="5" t="n">
        <f aca="false">MIN(F21,G21)</f>
        <v>7</v>
      </c>
      <c r="I21" s="5" t="n">
        <f aca="false">G21-H21</f>
        <v>0</v>
      </c>
      <c r="J21" s="5" t="n">
        <f aca="false">F21-H21</f>
        <v>8</v>
      </c>
      <c r="K21" s="5" t="n">
        <f aca="false">IF(I21&gt;0,1,0)</f>
        <v>0</v>
      </c>
      <c r="L21" s="5" t="n">
        <f aca="false">IF(J21&lt;PuntoReorden,1,0)</f>
        <v>0</v>
      </c>
      <c r="M21" s="18" t="n">
        <f aca="false">PrecioVenta*H21</f>
        <v>4760000</v>
      </c>
      <c r="N21" s="18" t="n">
        <f aca="false">CostoUnitario*E21</f>
        <v>0</v>
      </c>
      <c r="O21" s="18" t="n">
        <f aca="false">IF(E21&gt;0,CostoPedido,0)</f>
        <v>0</v>
      </c>
      <c r="P21" s="18" t="n">
        <f aca="false">CostoAlm*(F21+J21)/2</f>
        <v>920</v>
      </c>
      <c r="Q21" s="18" t="n">
        <f aca="false">CostoFijo*D21</f>
        <v>0</v>
      </c>
      <c r="R21" s="18" t="n">
        <f aca="false">M21-N21-O21-P21-Q21</f>
        <v>4759080</v>
      </c>
      <c r="W21" s="5" t="n">
        <v>15</v>
      </c>
      <c r="X21" s="21" t="n">
        <v>99907320</v>
      </c>
      <c r="Y21" s="22" t="n">
        <v>0</v>
      </c>
      <c r="Z21" s="22" t="n">
        <v>0</v>
      </c>
      <c r="AB21" s="5" t="n">
        <v>5</v>
      </c>
      <c r="AC21" s="18" t="n">
        <f aca="false">$AC$12+(AB21-1)*$AC$14</f>
        <v>100693880</v>
      </c>
      <c r="AD21" s="18" t="n">
        <f aca="false">AC21+$AC$14</f>
        <v>102129740</v>
      </c>
      <c r="AE21" s="23" t="n">
        <f aca="false">(AC21+AD21)/2/1000000</f>
        <v>101.41181</v>
      </c>
      <c r="AF21" s="5" t="n">
        <f aca="false">COUNTIFS($X$7:$X$106,"&gt;="&amp;AC21,$X$7:$X$106,"&lt;"&amp;AD21)</f>
        <v>15</v>
      </c>
    </row>
    <row r="22" customFormat="false" ht="15" hidden="false" customHeight="true" outlineLevel="0" collapsed="false">
      <c r="A22" s="5" t="n">
        <f aca="false">A21+1</f>
        <v>17</v>
      </c>
      <c r="B22" s="16" t="n">
        <f aca="false">B21+IF(WEEKDAY(B21,2)=6,2,1)</f>
        <v>46042</v>
      </c>
      <c r="C22" s="5" t="n">
        <f aca="false">MONTH(B22)</f>
        <v>1</v>
      </c>
      <c r="D22" s="5" t="n">
        <f aca="false">IF(C22&lt;&gt;C21,1,0)</f>
        <v>0</v>
      </c>
      <c r="E22" s="5" t="n">
        <f aca="false">IF(L21=1,CantPedido,0)</f>
        <v>0</v>
      </c>
      <c r="F22" s="5" t="n">
        <f aca="false">J21+E22</f>
        <v>8</v>
      </c>
      <c r="G22" s="5" t="n">
        <f aca="false">RANDBETWEEN(3,7)</f>
        <v>3</v>
      </c>
      <c r="H22" s="5" t="n">
        <f aca="false">MIN(F22,G22)</f>
        <v>3</v>
      </c>
      <c r="I22" s="5" t="n">
        <f aca="false">G22-H22</f>
        <v>0</v>
      </c>
      <c r="J22" s="5" t="n">
        <f aca="false">F22-H22</f>
        <v>5</v>
      </c>
      <c r="K22" s="5" t="n">
        <f aca="false">IF(I22&gt;0,1,0)</f>
        <v>0</v>
      </c>
      <c r="L22" s="5" t="n">
        <f aca="false">IF(J22&lt;PuntoReorden,1,0)</f>
        <v>1</v>
      </c>
      <c r="M22" s="18" t="n">
        <f aca="false">PrecioVenta*H22</f>
        <v>2040000</v>
      </c>
      <c r="N22" s="18" t="n">
        <f aca="false">CostoUnitario*E22</f>
        <v>0</v>
      </c>
      <c r="O22" s="18" t="n">
        <f aca="false">IF(E22&gt;0,CostoPedido,0)</f>
        <v>0</v>
      </c>
      <c r="P22" s="18" t="n">
        <f aca="false">CostoAlm*(F22+J22)/2</f>
        <v>520</v>
      </c>
      <c r="Q22" s="18" t="n">
        <f aca="false">CostoFijo*D22</f>
        <v>0</v>
      </c>
      <c r="R22" s="18" t="n">
        <f aca="false">M22-N22-O22-P22-Q22</f>
        <v>2039480</v>
      </c>
      <c r="W22" s="5" t="n">
        <v>16</v>
      </c>
      <c r="X22" s="21" t="n">
        <v>97953600</v>
      </c>
      <c r="Y22" s="22" t="n">
        <v>0</v>
      </c>
      <c r="Z22" s="22" t="n">
        <v>0</v>
      </c>
      <c r="AB22" s="5" t="n">
        <v>6</v>
      </c>
      <c r="AC22" s="18" t="n">
        <f aca="false">$AC$12+(AB22-1)*$AC$14</f>
        <v>102129740</v>
      </c>
      <c r="AD22" s="18" t="n">
        <f aca="false">AC22+$AC$14</f>
        <v>103565600</v>
      </c>
      <c r="AE22" s="23" t="n">
        <f aca="false">(AC22+AD22)/2/1000000</f>
        <v>102.84767</v>
      </c>
      <c r="AF22" s="5" t="n">
        <f aca="false">COUNTIFS($X$7:$X$106,"&gt;="&amp;AC22,$X$7:$X$106,"&lt;"&amp;AD22)</f>
        <v>16</v>
      </c>
    </row>
    <row r="23" customFormat="false" ht="15" hidden="false" customHeight="true" outlineLevel="0" collapsed="false">
      <c r="A23" s="5" t="n">
        <f aca="false">A22+1</f>
        <v>18</v>
      </c>
      <c r="B23" s="16" t="n">
        <f aca="false">B22+IF(WEEKDAY(B22,2)=6,2,1)</f>
        <v>46043</v>
      </c>
      <c r="C23" s="5" t="n">
        <f aca="false">MONTH(B23)</f>
        <v>1</v>
      </c>
      <c r="D23" s="5" t="n">
        <f aca="false">IF(C23&lt;&gt;C22,1,0)</f>
        <v>0</v>
      </c>
      <c r="E23" s="17" t="n">
        <f aca="false">IF(L22=1,CantPedido,0)</f>
        <v>15</v>
      </c>
      <c r="F23" s="5" t="n">
        <f aca="false">J22+E23</f>
        <v>20</v>
      </c>
      <c r="G23" s="5" t="n">
        <f aca="false">RANDBETWEEN(3,7)</f>
        <v>4</v>
      </c>
      <c r="H23" s="5" t="n">
        <f aca="false">MIN(F23,G23)</f>
        <v>4</v>
      </c>
      <c r="I23" s="5" t="n">
        <f aca="false">G23-H23</f>
        <v>0</v>
      </c>
      <c r="J23" s="5" t="n">
        <f aca="false">F23-H23</f>
        <v>16</v>
      </c>
      <c r="K23" s="5" t="n">
        <f aca="false">IF(I23&gt;0,1,0)</f>
        <v>0</v>
      </c>
      <c r="L23" s="5" t="n">
        <f aca="false">IF(J23&lt;PuntoReorden,1,0)</f>
        <v>0</v>
      </c>
      <c r="M23" s="18" t="n">
        <f aca="false">PrecioVenta*H23</f>
        <v>2720000</v>
      </c>
      <c r="N23" s="18" t="n">
        <f aca="false">CostoUnitario*E23</f>
        <v>9000000</v>
      </c>
      <c r="O23" s="18" t="n">
        <f aca="false">IF(E23&gt;0,CostoPedido,0)</f>
        <v>40000</v>
      </c>
      <c r="P23" s="18" t="n">
        <f aca="false">CostoAlm*(F23+J23)/2</f>
        <v>1440</v>
      </c>
      <c r="Q23" s="18" t="n">
        <f aca="false">CostoFijo*D23</f>
        <v>0</v>
      </c>
      <c r="R23" s="18" t="n">
        <f aca="false">M23-N23-O23-P23-Q23</f>
        <v>-6321440</v>
      </c>
      <c r="W23" s="5" t="n">
        <v>17</v>
      </c>
      <c r="X23" s="21" t="n">
        <v>109309040</v>
      </c>
      <c r="Y23" s="22" t="n">
        <v>0</v>
      </c>
      <c r="Z23" s="22" t="n">
        <v>0</v>
      </c>
      <c r="AB23" s="5" t="n">
        <v>7</v>
      </c>
      <c r="AC23" s="18" t="n">
        <f aca="false">$AC$12+(AB23-1)*$AC$14</f>
        <v>103565600</v>
      </c>
      <c r="AD23" s="18" t="n">
        <f aca="false">AC23+$AC$14</f>
        <v>105001460</v>
      </c>
      <c r="AE23" s="23" t="n">
        <f aca="false">(AC23+AD23)/2/1000000</f>
        <v>104.28353</v>
      </c>
      <c r="AF23" s="5" t="n">
        <f aca="false">COUNTIFS($X$7:$X$106,"&gt;="&amp;AC23,$X$7:$X$106,"&lt;"&amp;AD23)</f>
        <v>13</v>
      </c>
    </row>
    <row r="24" customFormat="false" ht="15" hidden="false" customHeight="true" outlineLevel="0" collapsed="false">
      <c r="A24" s="5" t="n">
        <f aca="false">A23+1</f>
        <v>19</v>
      </c>
      <c r="B24" s="16" t="n">
        <f aca="false">B23+IF(WEEKDAY(B23,2)=6,2,1)</f>
        <v>46044</v>
      </c>
      <c r="C24" s="5" t="n">
        <f aca="false">MONTH(B24)</f>
        <v>1</v>
      </c>
      <c r="D24" s="5" t="n">
        <f aca="false">IF(C24&lt;&gt;C23,1,0)</f>
        <v>0</v>
      </c>
      <c r="E24" s="17" t="n">
        <f aca="false">IF(L23=1,CantPedido,0)</f>
        <v>0</v>
      </c>
      <c r="F24" s="5" t="n">
        <f aca="false">J23+E24</f>
        <v>16</v>
      </c>
      <c r="G24" s="5" t="n">
        <f aca="false">RANDBETWEEN(3,7)</f>
        <v>3</v>
      </c>
      <c r="H24" s="5" t="n">
        <f aca="false">MIN(F24,G24)</f>
        <v>3</v>
      </c>
      <c r="I24" s="5" t="n">
        <f aca="false">G24-H24</f>
        <v>0</v>
      </c>
      <c r="J24" s="5" t="n">
        <f aca="false">F24-H24</f>
        <v>13</v>
      </c>
      <c r="K24" s="5" t="n">
        <f aca="false">IF(I24&gt;0,1,0)</f>
        <v>0</v>
      </c>
      <c r="L24" s="5" t="n">
        <f aca="false">IF(J24&lt;PuntoReorden,1,0)</f>
        <v>0</v>
      </c>
      <c r="M24" s="18" t="n">
        <f aca="false">PrecioVenta*H24</f>
        <v>2040000</v>
      </c>
      <c r="N24" s="18" t="n">
        <f aca="false">CostoUnitario*E24</f>
        <v>0</v>
      </c>
      <c r="O24" s="18" t="n">
        <f aca="false">IF(E24&gt;0,CostoPedido,0)</f>
        <v>0</v>
      </c>
      <c r="P24" s="18" t="n">
        <f aca="false">CostoAlm*(F24+J24)/2</f>
        <v>1160</v>
      </c>
      <c r="Q24" s="18" t="n">
        <f aca="false">CostoFijo*D24</f>
        <v>0</v>
      </c>
      <c r="R24" s="18" t="n">
        <f aca="false">M24-N24-O24-P24-Q24</f>
        <v>2038840</v>
      </c>
      <c r="W24" s="5" t="n">
        <v>18</v>
      </c>
      <c r="X24" s="21" t="n">
        <v>101469440</v>
      </c>
      <c r="Y24" s="22" t="n">
        <v>0</v>
      </c>
      <c r="Z24" s="22" t="n">
        <v>0</v>
      </c>
      <c r="AB24" s="5" t="n">
        <v>8</v>
      </c>
      <c r="AC24" s="18" t="n">
        <f aca="false">$AC$12+(AB24-1)*$AC$14</f>
        <v>105001460</v>
      </c>
      <c r="AD24" s="18" t="n">
        <f aca="false">AC24+$AC$14</f>
        <v>106437320</v>
      </c>
      <c r="AE24" s="23" t="n">
        <f aca="false">(AC24+AD24)/2/1000000</f>
        <v>105.71939</v>
      </c>
      <c r="AF24" s="5" t="n">
        <f aca="false">COUNTIFS($X$7:$X$106,"&gt;="&amp;AC24,$X$7:$X$106,"&lt;"&amp;AD24)</f>
        <v>12</v>
      </c>
    </row>
    <row r="25" customFormat="false" ht="15" hidden="false" customHeight="true" outlineLevel="0" collapsed="false">
      <c r="A25" s="5" t="n">
        <f aca="false">A24+1</f>
        <v>20</v>
      </c>
      <c r="B25" s="16" t="n">
        <f aca="false">B24+IF(WEEKDAY(B24,2)=6,2,1)</f>
        <v>46045</v>
      </c>
      <c r="C25" s="5" t="n">
        <f aca="false">MONTH(B25)</f>
        <v>1</v>
      </c>
      <c r="D25" s="5" t="n">
        <f aca="false">IF(C25&lt;&gt;C24,1,0)</f>
        <v>0</v>
      </c>
      <c r="E25" s="5" t="n">
        <f aca="false">IF(L24=1,CantPedido,0)</f>
        <v>0</v>
      </c>
      <c r="F25" s="5" t="n">
        <f aca="false">J24+E25</f>
        <v>13</v>
      </c>
      <c r="G25" s="5" t="n">
        <f aca="false">RANDBETWEEN(3,7)</f>
        <v>5</v>
      </c>
      <c r="H25" s="5" t="n">
        <f aca="false">MIN(F25,G25)</f>
        <v>5</v>
      </c>
      <c r="I25" s="5" t="n">
        <f aca="false">G25-H25</f>
        <v>0</v>
      </c>
      <c r="J25" s="5" t="n">
        <f aca="false">F25-H25</f>
        <v>8</v>
      </c>
      <c r="K25" s="5" t="n">
        <f aca="false">IF(I25&gt;0,1,0)</f>
        <v>0</v>
      </c>
      <c r="L25" s="5" t="n">
        <f aca="false">IF(J25&lt;PuntoReorden,1,0)</f>
        <v>0</v>
      </c>
      <c r="M25" s="18" t="n">
        <f aca="false">PrecioVenta*H25</f>
        <v>3400000</v>
      </c>
      <c r="N25" s="18" t="n">
        <f aca="false">CostoUnitario*E25</f>
        <v>0</v>
      </c>
      <c r="O25" s="18" t="n">
        <f aca="false">IF(E25&gt;0,CostoPedido,0)</f>
        <v>0</v>
      </c>
      <c r="P25" s="18" t="n">
        <f aca="false">CostoAlm*(F25+J25)/2</f>
        <v>840</v>
      </c>
      <c r="Q25" s="18" t="n">
        <f aca="false">CostoFijo*D25</f>
        <v>0</v>
      </c>
      <c r="R25" s="18" t="n">
        <f aca="false">M25-N25-O25-P25-Q25</f>
        <v>3399160</v>
      </c>
      <c r="W25" s="5" t="n">
        <v>19</v>
      </c>
      <c r="X25" s="21" t="n">
        <v>101554160</v>
      </c>
      <c r="Y25" s="22" t="n">
        <v>0</v>
      </c>
      <c r="Z25" s="22" t="n">
        <v>0</v>
      </c>
      <c r="AB25" s="5" t="n">
        <v>9</v>
      </c>
      <c r="AC25" s="18" t="n">
        <f aca="false">$AC$12+(AB25-1)*$AC$14</f>
        <v>106437320</v>
      </c>
      <c r="AD25" s="18" t="n">
        <f aca="false">AC25+$AC$14</f>
        <v>107873180</v>
      </c>
      <c r="AE25" s="23" t="n">
        <f aca="false">(AC25+AD25)/2/1000000</f>
        <v>107.15525</v>
      </c>
      <c r="AF25" s="5" t="n">
        <f aca="false">COUNTIFS($X$7:$X$106,"&gt;="&amp;AC25,$X$7:$X$106,"&lt;"&amp;AD25)</f>
        <v>13</v>
      </c>
    </row>
    <row r="26" customFormat="false" ht="15" hidden="false" customHeight="true" outlineLevel="0" collapsed="false">
      <c r="A26" s="5" t="n">
        <f aca="false">A25+1</f>
        <v>21</v>
      </c>
      <c r="B26" s="16" t="n">
        <f aca="false">B25+IF(WEEKDAY(B25,2)=6,2,1)</f>
        <v>46046</v>
      </c>
      <c r="C26" s="5" t="n">
        <f aca="false">MONTH(B26)</f>
        <v>1</v>
      </c>
      <c r="D26" s="5" t="n">
        <f aca="false">IF(C26&lt;&gt;C25,1,0)</f>
        <v>0</v>
      </c>
      <c r="E26" s="17" t="n">
        <f aca="false">IF(L25=1,CantPedido,0)</f>
        <v>0</v>
      </c>
      <c r="F26" s="5" t="n">
        <f aca="false">J25+E26</f>
        <v>8</v>
      </c>
      <c r="G26" s="5" t="n">
        <f aca="false">RANDBETWEEN(3,7)</f>
        <v>3</v>
      </c>
      <c r="H26" s="5" t="n">
        <f aca="false">MIN(F26,G26)</f>
        <v>3</v>
      </c>
      <c r="I26" s="5" t="n">
        <f aca="false">G26-H26</f>
        <v>0</v>
      </c>
      <c r="J26" s="5" t="n">
        <f aca="false">F26-H26</f>
        <v>5</v>
      </c>
      <c r="K26" s="5" t="n">
        <f aca="false">IF(I26&gt;0,1,0)</f>
        <v>0</v>
      </c>
      <c r="L26" s="5" t="n">
        <f aca="false">IF(J26&lt;PuntoReorden,1,0)</f>
        <v>1</v>
      </c>
      <c r="M26" s="18" t="n">
        <f aca="false">PrecioVenta*H26</f>
        <v>2040000</v>
      </c>
      <c r="N26" s="18" t="n">
        <f aca="false">CostoUnitario*E26</f>
        <v>0</v>
      </c>
      <c r="O26" s="18" t="n">
        <f aca="false">IF(E26&gt;0,CostoPedido,0)</f>
        <v>0</v>
      </c>
      <c r="P26" s="18" t="n">
        <f aca="false">CostoAlm*(F26+J26)/2</f>
        <v>520</v>
      </c>
      <c r="Q26" s="18" t="n">
        <f aca="false">CostoFijo*D26</f>
        <v>0</v>
      </c>
      <c r="R26" s="18" t="n">
        <f aca="false">M26-N26-O26-P26-Q26</f>
        <v>2039480</v>
      </c>
      <c r="W26" s="5" t="n">
        <v>20</v>
      </c>
      <c r="X26" s="21" t="n">
        <v>105632560</v>
      </c>
      <c r="Y26" s="22" t="n">
        <v>0</v>
      </c>
      <c r="Z26" s="22" t="n">
        <v>0</v>
      </c>
      <c r="AB26" s="5" t="n">
        <v>10</v>
      </c>
      <c r="AC26" s="18" t="n">
        <f aca="false">$AC$12+(AB26-1)*$AC$14</f>
        <v>107873180</v>
      </c>
      <c r="AD26" s="18" t="n">
        <f aca="false">AC26+$AC$14</f>
        <v>109309040</v>
      </c>
      <c r="AE26" s="23" t="n">
        <f aca="false">(AC26+AD26)/2/1000000</f>
        <v>108.59111</v>
      </c>
      <c r="AF26" s="5" t="n">
        <f aca="false">COUNTIFS($X$7:$X$106,"&gt;="&amp;AC26,$X$7:$X$106,"&lt;="&amp;AD26)</f>
        <v>6</v>
      </c>
    </row>
    <row r="27" customFormat="false" ht="15" hidden="false" customHeight="true" outlineLevel="0" collapsed="false">
      <c r="A27" s="5" t="n">
        <f aca="false">A26+1</f>
        <v>22</v>
      </c>
      <c r="B27" s="16" t="n">
        <f aca="false">B26+IF(WEEKDAY(B26,2)=6,2,1)</f>
        <v>46048</v>
      </c>
      <c r="C27" s="5" t="n">
        <f aca="false">MONTH(B27)</f>
        <v>1</v>
      </c>
      <c r="D27" s="5" t="n">
        <f aca="false">IF(C27&lt;&gt;C26,1,0)</f>
        <v>0</v>
      </c>
      <c r="E27" s="17" t="n">
        <f aca="false">IF(L26=1,CantPedido,0)</f>
        <v>15</v>
      </c>
      <c r="F27" s="5" t="n">
        <f aca="false">J26+E27</f>
        <v>20</v>
      </c>
      <c r="G27" s="5" t="n">
        <f aca="false">RANDBETWEEN(3,7)</f>
        <v>3</v>
      </c>
      <c r="H27" s="5" t="n">
        <f aca="false">MIN(F27,G27)</f>
        <v>3</v>
      </c>
      <c r="I27" s="5" t="n">
        <f aca="false">G27-H27</f>
        <v>0</v>
      </c>
      <c r="J27" s="5" t="n">
        <f aca="false">F27-H27</f>
        <v>17</v>
      </c>
      <c r="K27" s="5" t="n">
        <f aca="false">IF(I27&gt;0,1,0)</f>
        <v>0</v>
      </c>
      <c r="L27" s="5" t="n">
        <f aca="false">IF(J27&lt;PuntoReorden,1,0)</f>
        <v>0</v>
      </c>
      <c r="M27" s="18" t="n">
        <f aca="false">PrecioVenta*H27</f>
        <v>2040000</v>
      </c>
      <c r="N27" s="18" t="n">
        <f aca="false">CostoUnitario*E27</f>
        <v>9000000</v>
      </c>
      <c r="O27" s="18" t="n">
        <f aca="false">IF(E27&gt;0,CostoPedido,0)</f>
        <v>40000</v>
      </c>
      <c r="P27" s="18" t="n">
        <f aca="false">CostoAlm*(F27+J27)/2</f>
        <v>1480</v>
      </c>
      <c r="Q27" s="18" t="n">
        <f aca="false">CostoFijo*D27</f>
        <v>0</v>
      </c>
      <c r="R27" s="18" t="n">
        <f aca="false">M27-N27-O27-P27-Q27</f>
        <v>-7001480</v>
      </c>
      <c r="W27" s="5" t="n">
        <v>21</v>
      </c>
      <c r="X27" s="21" t="n">
        <v>105431080</v>
      </c>
      <c r="Y27" s="22" t="n">
        <v>0</v>
      </c>
      <c r="Z27" s="22" t="n">
        <v>0</v>
      </c>
      <c r="AE27" s="11" t="s">
        <v>76</v>
      </c>
      <c r="AF27" s="11" t="n">
        <f aca="false">SUM(AF17:AF26)</f>
        <v>100</v>
      </c>
    </row>
    <row r="28" customFormat="false" ht="15" hidden="false" customHeight="true" outlineLevel="0" collapsed="false">
      <c r="A28" s="5" t="n">
        <f aca="false">A27+1</f>
        <v>23</v>
      </c>
      <c r="B28" s="16" t="n">
        <f aca="false">B27+IF(WEEKDAY(B27,2)=6,2,1)</f>
        <v>46049</v>
      </c>
      <c r="C28" s="5" t="n">
        <f aca="false">MONTH(B28)</f>
        <v>1</v>
      </c>
      <c r="D28" s="5" t="n">
        <f aca="false">IF(C28&lt;&gt;C27,1,0)</f>
        <v>0</v>
      </c>
      <c r="E28" s="17" t="n">
        <f aca="false">IF(L27=1,CantPedido,0)</f>
        <v>0</v>
      </c>
      <c r="F28" s="5" t="n">
        <f aca="false">J27+E28</f>
        <v>17</v>
      </c>
      <c r="G28" s="5" t="n">
        <f aca="false">RANDBETWEEN(3,7)</f>
        <v>6</v>
      </c>
      <c r="H28" s="5" t="n">
        <f aca="false">MIN(F28,G28)</f>
        <v>6</v>
      </c>
      <c r="I28" s="5" t="n">
        <f aca="false">G28-H28</f>
        <v>0</v>
      </c>
      <c r="J28" s="5" t="n">
        <f aca="false">F28-H28</f>
        <v>11</v>
      </c>
      <c r="K28" s="5" t="n">
        <f aca="false">IF(I28&gt;0,1,0)</f>
        <v>0</v>
      </c>
      <c r="L28" s="5" t="n">
        <f aca="false">IF(J28&lt;PuntoReorden,1,0)</f>
        <v>0</v>
      </c>
      <c r="M28" s="18" t="n">
        <f aca="false">PrecioVenta*H28</f>
        <v>4080000</v>
      </c>
      <c r="N28" s="18" t="n">
        <f aca="false">CostoUnitario*E28</f>
        <v>0</v>
      </c>
      <c r="O28" s="18" t="n">
        <f aca="false">IF(E28&gt;0,CostoPedido,0)</f>
        <v>0</v>
      </c>
      <c r="P28" s="18" t="n">
        <f aca="false">CostoAlm*(F28+J28)/2</f>
        <v>1120</v>
      </c>
      <c r="Q28" s="18" t="n">
        <f aca="false">CostoFijo*D28</f>
        <v>0</v>
      </c>
      <c r="R28" s="18" t="n">
        <f aca="false">M28-N28-O28-P28-Q28</f>
        <v>4078880</v>
      </c>
      <c r="W28" s="5" t="n">
        <v>22</v>
      </c>
      <c r="X28" s="21" t="n">
        <v>106515040</v>
      </c>
      <c r="Y28" s="22" t="n">
        <v>0</v>
      </c>
      <c r="Z28" s="22" t="n">
        <v>0</v>
      </c>
    </row>
    <row r="29" customFormat="false" ht="15" hidden="false" customHeight="true" outlineLevel="0" collapsed="false">
      <c r="A29" s="5" t="n">
        <f aca="false">A28+1</f>
        <v>24</v>
      </c>
      <c r="B29" s="16" t="n">
        <f aca="false">B28+IF(WEEKDAY(B28,2)=6,2,1)</f>
        <v>46050</v>
      </c>
      <c r="C29" s="5" t="n">
        <f aca="false">MONTH(B29)</f>
        <v>1</v>
      </c>
      <c r="D29" s="5" t="n">
        <f aca="false">IF(C29&lt;&gt;C28,1,0)</f>
        <v>0</v>
      </c>
      <c r="E29" s="5" t="n">
        <f aca="false">IF(L28=1,CantPedido,0)</f>
        <v>0</v>
      </c>
      <c r="F29" s="5" t="n">
        <f aca="false">J28+E29</f>
        <v>11</v>
      </c>
      <c r="G29" s="5" t="n">
        <f aca="false">RANDBETWEEN(3,7)</f>
        <v>4</v>
      </c>
      <c r="H29" s="5" t="n">
        <f aca="false">MIN(F29,G29)</f>
        <v>4</v>
      </c>
      <c r="I29" s="5" t="n">
        <f aca="false">G29-H29</f>
        <v>0</v>
      </c>
      <c r="J29" s="5" t="n">
        <f aca="false">F29-H29</f>
        <v>7</v>
      </c>
      <c r="K29" s="5" t="n">
        <f aca="false">IF(I29&gt;0,1,0)</f>
        <v>0</v>
      </c>
      <c r="L29" s="5" t="n">
        <f aca="false">IF(J29&lt;PuntoReorden,1,0)</f>
        <v>0</v>
      </c>
      <c r="M29" s="18" t="n">
        <f aca="false">PrecioVenta*H29</f>
        <v>2720000</v>
      </c>
      <c r="N29" s="18" t="n">
        <f aca="false">CostoUnitario*E29</f>
        <v>0</v>
      </c>
      <c r="O29" s="18" t="n">
        <f aca="false">IF(E29&gt;0,CostoPedido,0)</f>
        <v>0</v>
      </c>
      <c r="P29" s="18" t="n">
        <f aca="false">CostoAlm*(F29+J29)/2</f>
        <v>720</v>
      </c>
      <c r="Q29" s="18" t="n">
        <f aca="false">CostoFijo*D29</f>
        <v>0</v>
      </c>
      <c r="R29" s="18" t="n">
        <f aca="false">M29-N29-O29-P29-Q29</f>
        <v>2719280</v>
      </c>
      <c r="W29" s="5" t="n">
        <v>23</v>
      </c>
      <c r="X29" s="21" t="n">
        <v>106799400</v>
      </c>
      <c r="Y29" s="22" t="n">
        <v>0</v>
      </c>
      <c r="Z29" s="22" t="n">
        <v>0</v>
      </c>
    </row>
    <row r="30" customFormat="false" ht="15" hidden="false" customHeight="true" outlineLevel="0" collapsed="false">
      <c r="A30" s="5" t="n">
        <f aca="false">A29+1</f>
        <v>25</v>
      </c>
      <c r="B30" s="16" t="n">
        <f aca="false">B29+IF(WEEKDAY(B29,2)=6,2,1)</f>
        <v>46051</v>
      </c>
      <c r="C30" s="5" t="n">
        <f aca="false">MONTH(B30)</f>
        <v>1</v>
      </c>
      <c r="D30" s="5" t="n">
        <f aca="false">IF(C30&lt;&gt;C29,1,0)</f>
        <v>0</v>
      </c>
      <c r="E30" s="5" t="n">
        <f aca="false">IF(L29=1,CantPedido,0)</f>
        <v>0</v>
      </c>
      <c r="F30" s="5" t="n">
        <f aca="false">J29+E30</f>
        <v>7</v>
      </c>
      <c r="G30" s="5" t="n">
        <f aca="false">RANDBETWEEN(3,7)</f>
        <v>7</v>
      </c>
      <c r="H30" s="5" t="n">
        <f aca="false">MIN(F30,G30)</f>
        <v>7</v>
      </c>
      <c r="I30" s="5" t="n">
        <f aca="false">G30-H30</f>
        <v>0</v>
      </c>
      <c r="J30" s="5" t="n">
        <f aca="false">F30-H30</f>
        <v>0</v>
      </c>
      <c r="K30" s="5" t="n">
        <f aca="false">IF(I30&gt;0,1,0)</f>
        <v>0</v>
      </c>
      <c r="L30" s="5" t="n">
        <f aca="false">IF(J30&lt;PuntoReorden,1,0)</f>
        <v>1</v>
      </c>
      <c r="M30" s="18" t="n">
        <f aca="false">PrecioVenta*H30</f>
        <v>4760000</v>
      </c>
      <c r="N30" s="18" t="n">
        <f aca="false">CostoUnitario*E30</f>
        <v>0</v>
      </c>
      <c r="O30" s="18" t="n">
        <f aca="false">IF(E30&gt;0,CostoPedido,0)</f>
        <v>0</v>
      </c>
      <c r="P30" s="18" t="n">
        <f aca="false">CostoAlm*(F30+J30)/2</f>
        <v>280</v>
      </c>
      <c r="Q30" s="18" t="n">
        <f aca="false">CostoFijo*D30</f>
        <v>0</v>
      </c>
      <c r="R30" s="18" t="n">
        <f aca="false">M30-N30-O30-P30-Q30</f>
        <v>4759720</v>
      </c>
      <c r="W30" s="5" t="n">
        <v>24</v>
      </c>
      <c r="X30" s="21" t="n">
        <v>96116400</v>
      </c>
      <c r="Y30" s="22" t="n">
        <v>0</v>
      </c>
      <c r="Z30" s="22" t="n">
        <v>0</v>
      </c>
    </row>
    <row r="31" customFormat="false" ht="15" hidden="false" customHeight="true" outlineLevel="0" collapsed="false">
      <c r="A31" s="5" t="n">
        <f aca="false">A30+1</f>
        <v>26</v>
      </c>
      <c r="B31" s="16" t="n">
        <f aca="false">B30+IF(WEEKDAY(B30,2)=6,2,1)</f>
        <v>46052</v>
      </c>
      <c r="C31" s="5" t="n">
        <f aca="false">MONTH(B31)</f>
        <v>1</v>
      </c>
      <c r="D31" s="5" t="n">
        <f aca="false">IF(C31&lt;&gt;C30,1,0)</f>
        <v>0</v>
      </c>
      <c r="E31" s="17" t="n">
        <f aca="false">IF(L30=1,CantPedido,0)</f>
        <v>15</v>
      </c>
      <c r="F31" s="5" t="n">
        <f aca="false">J30+E31</f>
        <v>15</v>
      </c>
      <c r="G31" s="5" t="n">
        <f aca="false">RANDBETWEEN(3,7)</f>
        <v>5</v>
      </c>
      <c r="H31" s="5" t="n">
        <f aca="false">MIN(F31,G31)</f>
        <v>5</v>
      </c>
      <c r="I31" s="5" t="n">
        <f aca="false">G31-H31</f>
        <v>0</v>
      </c>
      <c r="J31" s="5" t="n">
        <f aca="false">F31-H31</f>
        <v>10</v>
      </c>
      <c r="K31" s="5" t="n">
        <f aca="false">IF(I31&gt;0,1,0)</f>
        <v>0</v>
      </c>
      <c r="L31" s="5" t="n">
        <f aca="false">IF(J31&lt;PuntoReorden,1,0)</f>
        <v>0</v>
      </c>
      <c r="M31" s="18" t="n">
        <f aca="false">PrecioVenta*H31</f>
        <v>3400000</v>
      </c>
      <c r="N31" s="18" t="n">
        <f aca="false">CostoUnitario*E31</f>
        <v>9000000</v>
      </c>
      <c r="O31" s="18" t="n">
        <f aca="false">IF(E31&gt;0,CostoPedido,0)</f>
        <v>40000</v>
      </c>
      <c r="P31" s="18" t="n">
        <f aca="false">CostoAlm*(F31+J31)/2</f>
        <v>1000</v>
      </c>
      <c r="Q31" s="18" t="n">
        <f aca="false">CostoFijo*D31</f>
        <v>0</v>
      </c>
      <c r="R31" s="18" t="n">
        <f aca="false">M31-N31-O31-P31-Q31</f>
        <v>-5641000</v>
      </c>
      <c r="W31" s="5" t="n">
        <v>25</v>
      </c>
      <c r="X31" s="21" t="n">
        <v>102512320</v>
      </c>
      <c r="Y31" s="22" t="n">
        <v>0</v>
      </c>
      <c r="Z31" s="22" t="n">
        <v>0</v>
      </c>
    </row>
    <row r="32" customFormat="false" ht="15" hidden="false" customHeight="true" outlineLevel="0" collapsed="false">
      <c r="A32" s="5" t="n">
        <f aca="false">A31+1</f>
        <v>27</v>
      </c>
      <c r="B32" s="16" t="n">
        <f aca="false">B31+IF(WEEKDAY(B31,2)=6,2,1)</f>
        <v>46053</v>
      </c>
      <c r="C32" s="5" t="n">
        <f aca="false">MONTH(B32)</f>
        <v>1</v>
      </c>
      <c r="D32" s="5" t="n">
        <f aca="false">IF(C32&lt;&gt;C31,1,0)</f>
        <v>0</v>
      </c>
      <c r="E32" s="5" t="n">
        <f aca="false">IF(L31=1,CantPedido,0)</f>
        <v>0</v>
      </c>
      <c r="F32" s="5" t="n">
        <f aca="false">J31+E32</f>
        <v>10</v>
      </c>
      <c r="G32" s="5" t="n">
        <f aca="false">RANDBETWEEN(3,7)</f>
        <v>7</v>
      </c>
      <c r="H32" s="5" t="n">
        <f aca="false">MIN(F32,G32)</f>
        <v>7</v>
      </c>
      <c r="I32" s="5" t="n">
        <f aca="false">G32-H32</f>
        <v>0</v>
      </c>
      <c r="J32" s="5" t="n">
        <f aca="false">F32-H32</f>
        <v>3</v>
      </c>
      <c r="K32" s="5" t="n">
        <f aca="false">IF(I32&gt;0,1,0)</f>
        <v>0</v>
      </c>
      <c r="L32" s="5" t="n">
        <f aca="false">IF(J32&lt;PuntoReorden,1,0)</f>
        <v>1</v>
      </c>
      <c r="M32" s="18" t="n">
        <f aca="false">PrecioVenta*H32</f>
        <v>4760000</v>
      </c>
      <c r="N32" s="18" t="n">
        <f aca="false">CostoUnitario*E32</f>
        <v>0</v>
      </c>
      <c r="O32" s="18" t="n">
        <f aca="false">IF(E32&gt;0,CostoPedido,0)</f>
        <v>0</v>
      </c>
      <c r="P32" s="18" t="n">
        <f aca="false">CostoAlm*(F32+J32)/2</f>
        <v>520</v>
      </c>
      <c r="Q32" s="18" t="n">
        <f aca="false">CostoFijo*D32</f>
        <v>0</v>
      </c>
      <c r="R32" s="18" t="n">
        <f aca="false">M32-N32-O32-P32-Q32</f>
        <v>4759480</v>
      </c>
      <c r="W32" s="5" t="n">
        <v>26</v>
      </c>
      <c r="X32" s="21" t="n">
        <v>102519040</v>
      </c>
      <c r="Y32" s="22" t="n">
        <v>0</v>
      </c>
      <c r="Z32" s="22" t="n">
        <v>0</v>
      </c>
    </row>
    <row r="33" customFormat="false" ht="15" hidden="false" customHeight="true" outlineLevel="0" collapsed="false">
      <c r="A33" s="5" t="n">
        <f aca="false">A32+1</f>
        <v>28</v>
      </c>
      <c r="B33" s="16" t="n">
        <f aca="false">B32+IF(WEEKDAY(B32,2)=6,2,1)</f>
        <v>46055</v>
      </c>
      <c r="C33" s="5" t="n">
        <f aca="false">MONTH(B33)</f>
        <v>2</v>
      </c>
      <c r="D33" s="5" t="n">
        <f aca="false">IF(C33&lt;&gt;C32,1,0)</f>
        <v>1</v>
      </c>
      <c r="E33" s="17" t="n">
        <f aca="false">IF(L32=1,CantPedido,0)</f>
        <v>15</v>
      </c>
      <c r="F33" s="5" t="n">
        <f aca="false">J32+E33</f>
        <v>18</v>
      </c>
      <c r="G33" s="5" t="n">
        <f aca="false">RANDBETWEEN(3,7)</f>
        <v>7</v>
      </c>
      <c r="H33" s="5" t="n">
        <f aca="false">MIN(F33,G33)</f>
        <v>7</v>
      </c>
      <c r="I33" s="5" t="n">
        <f aca="false">G33-H33</f>
        <v>0</v>
      </c>
      <c r="J33" s="5" t="n">
        <f aca="false">F33-H33</f>
        <v>11</v>
      </c>
      <c r="K33" s="5" t="n">
        <f aca="false">IF(I33&gt;0,1,0)</f>
        <v>0</v>
      </c>
      <c r="L33" s="5" t="n">
        <f aca="false">IF(J33&lt;PuntoReorden,1,0)</f>
        <v>0</v>
      </c>
      <c r="M33" s="18" t="n">
        <f aca="false">PrecioVenta*H33</f>
        <v>4760000</v>
      </c>
      <c r="N33" s="18" t="n">
        <f aca="false">CostoUnitario*E33</f>
        <v>9000000</v>
      </c>
      <c r="O33" s="18" t="n">
        <f aca="false">IF(E33&gt;0,CostoPedido,0)</f>
        <v>40000</v>
      </c>
      <c r="P33" s="18" t="n">
        <f aca="false">CostoAlm*(F33+J33)/2</f>
        <v>1160</v>
      </c>
      <c r="Q33" s="18" t="n">
        <f aca="false">CostoFijo*D33</f>
        <v>1000000</v>
      </c>
      <c r="R33" s="18" t="n">
        <f aca="false">M33-N33-O33-P33-Q33</f>
        <v>-5281160</v>
      </c>
      <c r="W33" s="5" t="n">
        <v>27</v>
      </c>
      <c r="X33" s="21" t="n">
        <v>105832200</v>
      </c>
      <c r="Y33" s="22" t="n">
        <v>0</v>
      </c>
      <c r="Z33" s="22" t="n">
        <v>0</v>
      </c>
    </row>
    <row r="34" customFormat="false" ht="15" hidden="false" customHeight="true" outlineLevel="0" collapsed="false">
      <c r="A34" s="5" t="n">
        <f aca="false">A33+1</f>
        <v>29</v>
      </c>
      <c r="B34" s="16" t="n">
        <f aca="false">B33+IF(WEEKDAY(B33,2)=6,2,1)</f>
        <v>46056</v>
      </c>
      <c r="C34" s="5" t="n">
        <f aca="false">MONTH(B34)</f>
        <v>2</v>
      </c>
      <c r="D34" s="5" t="n">
        <f aca="false">IF(C34&lt;&gt;C33,1,0)</f>
        <v>0</v>
      </c>
      <c r="E34" s="5" t="n">
        <f aca="false">IF(L33=1,CantPedido,0)</f>
        <v>0</v>
      </c>
      <c r="F34" s="5" t="n">
        <f aca="false">J33+E34</f>
        <v>11</v>
      </c>
      <c r="G34" s="5" t="n">
        <f aca="false">RANDBETWEEN(3,7)</f>
        <v>7</v>
      </c>
      <c r="H34" s="5" t="n">
        <f aca="false">MIN(F34,G34)</f>
        <v>7</v>
      </c>
      <c r="I34" s="5" t="n">
        <f aca="false">G34-H34</f>
        <v>0</v>
      </c>
      <c r="J34" s="5" t="n">
        <f aca="false">F34-H34</f>
        <v>4</v>
      </c>
      <c r="K34" s="5" t="n">
        <f aca="false">IF(I34&gt;0,1,0)</f>
        <v>0</v>
      </c>
      <c r="L34" s="5" t="n">
        <f aca="false">IF(J34&lt;PuntoReorden,1,0)</f>
        <v>1</v>
      </c>
      <c r="M34" s="18" t="n">
        <f aca="false">PrecioVenta*H34</f>
        <v>4760000</v>
      </c>
      <c r="N34" s="18" t="n">
        <f aca="false">CostoUnitario*E34</f>
        <v>0</v>
      </c>
      <c r="O34" s="18" t="n">
        <f aca="false">IF(E34&gt;0,CostoPedido,0)</f>
        <v>0</v>
      </c>
      <c r="P34" s="18" t="n">
        <f aca="false">CostoAlm*(F34+J34)/2</f>
        <v>600</v>
      </c>
      <c r="Q34" s="18" t="n">
        <f aca="false">CostoFijo*D34</f>
        <v>0</v>
      </c>
      <c r="R34" s="18" t="n">
        <f aca="false">M34-N34-O34-P34-Q34</f>
        <v>4759400</v>
      </c>
      <c r="W34" s="5" t="n">
        <v>28</v>
      </c>
      <c r="X34" s="21" t="n">
        <v>98636040</v>
      </c>
      <c r="Y34" s="22" t="n">
        <v>0</v>
      </c>
      <c r="Z34" s="22" t="n">
        <v>0</v>
      </c>
    </row>
    <row r="35" customFormat="false" ht="15" hidden="false" customHeight="true" outlineLevel="0" collapsed="false">
      <c r="A35" s="5" t="n">
        <f aca="false">A34+1</f>
        <v>30</v>
      </c>
      <c r="B35" s="16" t="n">
        <f aca="false">B34+IF(WEEKDAY(B34,2)=6,2,1)</f>
        <v>46057</v>
      </c>
      <c r="C35" s="5" t="n">
        <f aca="false">MONTH(B35)</f>
        <v>2</v>
      </c>
      <c r="D35" s="5" t="n">
        <f aca="false">IF(C35&lt;&gt;C34,1,0)</f>
        <v>0</v>
      </c>
      <c r="E35" s="17" t="n">
        <f aca="false">IF(L34=1,CantPedido,0)</f>
        <v>15</v>
      </c>
      <c r="F35" s="5" t="n">
        <f aca="false">J34+E35</f>
        <v>19</v>
      </c>
      <c r="G35" s="5" t="n">
        <f aca="false">RANDBETWEEN(3,7)</f>
        <v>5</v>
      </c>
      <c r="H35" s="5" t="n">
        <f aca="false">MIN(F35,G35)</f>
        <v>5</v>
      </c>
      <c r="I35" s="5" t="n">
        <f aca="false">G35-H35</f>
        <v>0</v>
      </c>
      <c r="J35" s="5" t="n">
        <f aca="false">F35-H35</f>
        <v>14</v>
      </c>
      <c r="K35" s="5" t="n">
        <f aca="false">IF(I35&gt;0,1,0)</f>
        <v>0</v>
      </c>
      <c r="L35" s="5" t="n">
        <f aca="false">IF(J35&lt;PuntoReorden,1,0)</f>
        <v>0</v>
      </c>
      <c r="M35" s="18" t="n">
        <f aca="false">PrecioVenta*H35</f>
        <v>3400000</v>
      </c>
      <c r="N35" s="18" t="n">
        <f aca="false">CostoUnitario*E35</f>
        <v>9000000</v>
      </c>
      <c r="O35" s="18" t="n">
        <f aca="false">IF(E35&gt;0,CostoPedido,0)</f>
        <v>40000</v>
      </c>
      <c r="P35" s="18" t="n">
        <f aca="false">CostoAlm*(F35+J35)/2</f>
        <v>1320</v>
      </c>
      <c r="Q35" s="18" t="n">
        <f aca="false">CostoFijo*D35</f>
        <v>0</v>
      </c>
      <c r="R35" s="18" t="n">
        <f aca="false">M35-N35-O35-P35-Q35</f>
        <v>-5641320</v>
      </c>
      <c r="W35" s="5" t="n">
        <v>29</v>
      </c>
      <c r="X35" s="21" t="n">
        <v>97671160</v>
      </c>
      <c r="Y35" s="22" t="n">
        <v>0</v>
      </c>
      <c r="Z35" s="22" t="n">
        <v>0</v>
      </c>
    </row>
    <row r="36" customFormat="false" ht="15" hidden="false" customHeight="true" outlineLevel="0" collapsed="false">
      <c r="A36" s="5" t="n">
        <f aca="false">A35+1</f>
        <v>31</v>
      </c>
      <c r="B36" s="16" t="n">
        <f aca="false">B35+IF(WEEKDAY(B35,2)=6,2,1)</f>
        <v>46058</v>
      </c>
      <c r="C36" s="5" t="n">
        <f aca="false">MONTH(B36)</f>
        <v>2</v>
      </c>
      <c r="D36" s="5" t="n">
        <f aca="false">IF(C36&lt;&gt;C35,1,0)</f>
        <v>0</v>
      </c>
      <c r="E36" s="5" t="n">
        <f aca="false">IF(L35=1,CantPedido,0)</f>
        <v>0</v>
      </c>
      <c r="F36" s="5" t="n">
        <f aca="false">J35+E36</f>
        <v>14</v>
      </c>
      <c r="G36" s="5" t="n">
        <f aca="false">RANDBETWEEN(3,7)</f>
        <v>4</v>
      </c>
      <c r="H36" s="5" t="n">
        <f aca="false">MIN(F36,G36)</f>
        <v>4</v>
      </c>
      <c r="I36" s="5" t="n">
        <f aca="false">G36-H36</f>
        <v>0</v>
      </c>
      <c r="J36" s="5" t="n">
        <f aca="false">F36-H36</f>
        <v>10</v>
      </c>
      <c r="K36" s="5" t="n">
        <f aca="false">IF(I36&gt;0,1,0)</f>
        <v>0</v>
      </c>
      <c r="L36" s="5" t="n">
        <f aca="false">IF(J36&lt;PuntoReorden,1,0)</f>
        <v>0</v>
      </c>
      <c r="M36" s="18" t="n">
        <f aca="false">PrecioVenta*H36</f>
        <v>2720000</v>
      </c>
      <c r="N36" s="18" t="n">
        <f aca="false">CostoUnitario*E36</f>
        <v>0</v>
      </c>
      <c r="O36" s="18" t="n">
        <f aca="false">IF(E36&gt;0,CostoPedido,0)</f>
        <v>0</v>
      </c>
      <c r="P36" s="18" t="n">
        <f aca="false">CostoAlm*(F36+J36)/2</f>
        <v>960</v>
      </c>
      <c r="Q36" s="18" t="n">
        <f aca="false">CostoFijo*D36</f>
        <v>0</v>
      </c>
      <c r="R36" s="18" t="n">
        <f aca="false">M36-N36-O36-P36-Q36</f>
        <v>2719040</v>
      </c>
      <c r="W36" s="5" t="n">
        <v>30</v>
      </c>
      <c r="X36" s="21" t="n">
        <v>106192880</v>
      </c>
      <c r="Y36" s="22" t="n">
        <v>0</v>
      </c>
      <c r="Z36" s="22" t="n">
        <v>0</v>
      </c>
    </row>
    <row r="37" customFormat="false" ht="15" hidden="false" customHeight="true" outlineLevel="0" collapsed="false">
      <c r="A37" s="5" t="n">
        <f aca="false">A36+1</f>
        <v>32</v>
      </c>
      <c r="B37" s="16" t="n">
        <f aca="false">B36+IF(WEEKDAY(B36,2)=6,2,1)</f>
        <v>46059</v>
      </c>
      <c r="C37" s="5" t="n">
        <f aca="false">MONTH(B37)</f>
        <v>2</v>
      </c>
      <c r="D37" s="5" t="n">
        <f aca="false">IF(C37&lt;&gt;C36,1,0)</f>
        <v>0</v>
      </c>
      <c r="E37" s="17" t="n">
        <f aca="false">IF(L36=1,CantPedido,0)</f>
        <v>0</v>
      </c>
      <c r="F37" s="5" t="n">
        <f aca="false">J36+E37</f>
        <v>10</v>
      </c>
      <c r="G37" s="5" t="n">
        <f aca="false">RANDBETWEEN(3,7)</f>
        <v>7</v>
      </c>
      <c r="H37" s="5" t="n">
        <f aca="false">MIN(F37,G37)</f>
        <v>7</v>
      </c>
      <c r="I37" s="5" t="n">
        <f aca="false">G37-H37</f>
        <v>0</v>
      </c>
      <c r="J37" s="5" t="n">
        <f aca="false">F37-H37</f>
        <v>3</v>
      </c>
      <c r="K37" s="5" t="n">
        <f aca="false">IF(I37&gt;0,1,0)</f>
        <v>0</v>
      </c>
      <c r="L37" s="5" t="n">
        <f aca="false">IF(J37&lt;PuntoReorden,1,0)</f>
        <v>1</v>
      </c>
      <c r="M37" s="18" t="n">
        <f aca="false">PrecioVenta*H37</f>
        <v>4760000</v>
      </c>
      <c r="N37" s="18" t="n">
        <f aca="false">CostoUnitario*E37</f>
        <v>0</v>
      </c>
      <c r="O37" s="18" t="n">
        <f aca="false">IF(E37&gt;0,CostoPedido,0)</f>
        <v>0</v>
      </c>
      <c r="P37" s="18" t="n">
        <f aca="false">CostoAlm*(F37+J37)/2</f>
        <v>520</v>
      </c>
      <c r="Q37" s="18" t="n">
        <f aca="false">CostoFijo*D37</f>
        <v>0</v>
      </c>
      <c r="R37" s="18" t="n">
        <f aca="false">M37-N37-O37-P37-Q37</f>
        <v>4759480</v>
      </c>
      <c r="W37" s="5" t="n">
        <v>31</v>
      </c>
      <c r="X37" s="21" t="n">
        <v>102435520</v>
      </c>
      <c r="Y37" s="22" t="n">
        <v>0</v>
      </c>
      <c r="Z37" s="22" t="n">
        <v>0</v>
      </c>
    </row>
    <row r="38" customFormat="false" ht="15" hidden="false" customHeight="true" outlineLevel="0" collapsed="false">
      <c r="A38" s="5" t="n">
        <f aca="false">A37+1</f>
        <v>33</v>
      </c>
      <c r="B38" s="16" t="n">
        <f aca="false">B37+IF(WEEKDAY(B37,2)=6,2,1)</f>
        <v>46060</v>
      </c>
      <c r="C38" s="5" t="n">
        <f aca="false">MONTH(B38)</f>
        <v>2</v>
      </c>
      <c r="D38" s="5" t="n">
        <f aca="false">IF(C38&lt;&gt;C37,1,0)</f>
        <v>0</v>
      </c>
      <c r="E38" s="17" t="n">
        <f aca="false">IF(L37=1,CantPedido,0)</f>
        <v>15</v>
      </c>
      <c r="F38" s="5" t="n">
        <f aca="false">J37+E38</f>
        <v>18</v>
      </c>
      <c r="G38" s="5" t="n">
        <f aca="false">RANDBETWEEN(3,7)</f>
        <v>6</v>
      </c>
      <c r="H38" s="5" t="n">
        <f aca="false">MIN(F38,G38)</f>
        <v>6</v>
      </c>
      <c r="I38" s="5" t="n">
        <f aca="false">G38-H38</f>
        <v>0</v>
      </c>
      <c r="J38" s="5" t="n">
        <f aca="false">F38-H38</f>
        <v>12</v>
      </c>
      <c r="K38" s="5" t="n">
        <f aca="false">IF(I38&gt;0,1,0)</f>
        <v>0</v>
      </c>
      <c r="L38" s="5" t="n">
        <f aca="false">IF(J38&lt;PuntoReorden,1,0)</f>
        <v>0</v>
      </c>
      <c r="M38" s="18" t="n">
        <f aca="false">PrecioVenta*H38</f>
        <v>4080000</v>
      </c>
      <c r="N38" s="18" t="n">
        <f aca="false">CostoUnitario*E38</f>
        <v>9000000</v>
      </c>
      <c r="O38" s="18" t="n">
        <f aca="false">IF(E38&gt;0,CostoPedido,0)</f>
        <v>40000</v>
      </c>
      <c r="P38" s="18" t="n">
        <f aca="false">CostoAlm*(F38+J38)/2</f>
        <v>1200</v>
      </c>
      <c r="Q38" s="18" t="n">
        <f aca="false">CostoFijo*D38</f>
        <v>0</v>
      </c>
      <c r="R38" s="18" t="n">
        <f aca="false">M38-N38-O38-P38-Q38</f>
        <v>-4961200</v>
      </c>
      <c r="W38" s="5" t="n">
        <v>32</v>
      </c>
      <c r="X38" s="21" t="n">
        <v>98151560</v>
      </c>
      <c r="Y38" s="22" t="n">
        <v>0</v>
      </c>
      <c r="Z38" s="22" t="n">
        <v>0</v>
      </c>
    </row>
    <row r="39" customFormat="false" ht="15" hidden="false" customHeight="true" outlineLevel="0" collapsed="false">
      <c r="A39" s="5" t="n">
        <f aca="false">A38+1</f>
        <v>34</v>
      </c>
      <c r="B39" s="16" t="n">
        <f aca="false">B38+IF(WEEKDAY(B38,2)=6,2,1)</f>
        <v>46062</v>
      </c>
      <c r="C39" s="5" t="n">
        <f aca="false">MONTH(B39)</f>
        <v>2</v>
      </c>
      <c r="D39" s="5" t="n">
        <f aca="false">IF(C39&lt;&gt;C38,1,0)</f>
        <v>0</v>
      </c>
      <c r="E39" s="5" t="n">
        <f aca="false">IF(L38=1,CantPedido,0)</f>
        <v>0</v>
      </c>
      <c r="F39" s="5" t="n">
        <f aca="false">J38+E39</f>
        <v>12</v>
      </c>
      <c r="G39" s="5" t="n">
        <f aca="false">RANDBETWEEN(3,7)</f>
        <v>5</v>
      </c>
      <c r="H39" s="5" t="n">
        <f aca="false">MIN(F39,G39)</f>
        <v>5</v>
      </c>
      <c r="I39" s="5" t="n">
        <f aca="false">G39-H39</f>
        <v>0</v>
      </c>
      <c r="J39" s="5" t="n">
        <f aca="false">F39-H39</f>
        <v>7</v>
      </c>
      <c r="K39" s="5" t="n">
        <f aca="false">IF(I39&gt;0,1,0)</f>
        <v>0</v>
      </c>
      <c r="L39" s="5" t="n">
        <f aca="false">IF(J39&lt;PuntoReorden,1,0)</f>
        <v>0</v>
      </c>
      <c r="M39" s="18" t="n">
        <f aca="false">PrecioVenta*H39</f>
        <v>3400000</v>
      </c>
      <c r="N39" s="18" t="n">
        <f aca="false">CostoUnitario*E39</f>
        <v>0</v>
      </c>
      <c r="O39" s="18" t="n">
        <f aca="false">IF(E39&gt;0,CostoPedido,0)</f>
        <v>0</v>
      </c>
      <c r="P39" s="18" t="n">
        <f aca="false">CostoAlm*(F39+J39)/2</f>
        <v>760</v>
      </c>
      <c r="Q39" s="18" t="n">
        <f aca="false">CostoFijo*D39</f>
        <v>0</v>
      </c>
      <c r="R39" s="18" t="n">
        <f aca="false">M39-N39-O39-P39-Q39</f>
        <v>3399240</v>
      </c>
      <c r="W39" s="5" t="n">
        <v>33</v>
      </c>
      <c r="X39" s="21" t="n">
        <v>99634480</v>
      </c>
      <c r="Y39" s="22" t="n">
        <v>0</v>
      </c>
      <c r="Z39" s="22" t="n">
        <v>0</v>
      </c>
    </row>
    <row r="40" customFormat="false" ht="15" hidden="false" customHeight="true" outlineLevel="0" collapsed="false">
      <c r="A40" s="5" t="n">
        <f aca="false">A39+1</f>
        <v>35</v>
      </c>
      <c r="B40" s="16" t="n">
        <f aca="false">B39+IF(WEEKDAY(B39,2)=6,2,1)</f>
        <v>46063</v>
      </c>
      <c r="C40" s="5" t="n">
        <f aca="false">MONTH(B40)</f>
        <v>2</v>
      </c>
      <c r="D40" s="5" t="n">
        <f aca="false">IF(C40&lt;&gt;C39,1,0)</f>
        <v>0</v>
      </c>
      <c r="E40" s="17" t="n">
        <f aca="false">IF(L39=1,CantPedido,0)</f>
        <v>0</v>
      </c>
      <c r="F40" s="5" t="n">
        <f aca="false">J39+E40</f>
        <v>7</v>
      </c>
      <c r="G40" s="5" t="n">
        <f aca="false">RANDBETWEEN(3,7)</f>
        <v>7</v>
      </c>
      <c r="H40" s="5" t="n">
        <f aca="false">MIN(F40,G40)</f>
        <v>7</v>
      </c>
      <c r="I40" s="5" t="n">
        <f aca="false">G40-H40</f>
        <v>0</v>
      </c>
      <c r="J40" s="5" t="n">
        <f aca="false">F40-H40</f>
        <v>0</v>
      </c>
      <c r="K40" s="5" t="n">
        <f aca="false">IF(I40&gt;0,1,0)</f>
        <v>0</v>
      </c>
      <c r="L40" s="5" t="n">
        <f aca="false">IF(J40&lt;PuntoReorden,1,0)</f>
        <v>1</v>
      </c>
      <c r="M40" s="18" t="n">
        <f aca="false">PrecioVenta*H40</f>
        <v>4760000</v>
      </c>
      <c r="N40" s="18" t="n">
        <f aca="false">CostoUnitario*E40</f>
        <v>0</v>
      </c>
      <c r="O40" s="18" t="n">
        <f aca="false">IF(E40&gt;0,CostoPedido,0)</f>
        <v>0</v>
      </c>
      <c r="P40" s="18" t="n">
        <f aca="false">CostoAlm*(F40+J40)/2</f>
        <v>280</v>
      </c>
      <c r="Q40" s="18" t="n">
        <f aca="false">CostoFijo*D40</f>
        <v>0</v>
      </c>
      <c r="R40" s="18" t="n">
        <f aca="false">M40-N40-O40-P40-Q40</f>
        <v>4759720</v>
      </c>
      <c r="W40" s="5" t="n">
        <v>34</v>
      </c>
      <c r="X40" s="21" t="n">
        <v>96983840</v>
      </c>
      <c r="Y40" s="22" t="n">
        <v>0</v>
      </c>
      <c r="Z40" s="22" t="n">
        <v>0</v>
      </c>
    </row>
    <row r="41" customFormat="false" ht="15" hidden="false" customHeight="true" outlineLevel="0" collapsed="false">
      <c r="A41" s="5" t="n">
        <f aca="false">A40+1</f>
        <v>36</v>
      </c>
      <c r="B41" s="16" t="n">
        <f aca="false">B40+IF(WEEKDAY(B40,2)=6,2,1)</f>
        <v>46064</v>
      </c>
      <c r="C41" s="5" t="n">
        <f aca="false">MONTH(B41)</f>
        <v>2</v>
      </c>
      <c r="D41" s="5" t="n">
        <f aca="false">IF(C41&lt;&gt;C40,1,0)</f>
        <v>0</v>
      </c>
      <c r="E41" s="17" t="n">
        <f aca="false">IF(L40=1,CantPedido,0)</f>
        <v>15</v>
      </c>
      <c r="F41" s="5" t="n">
        <f aca="false">J40+E41</f>
        <v>15</v>
      </c>
      <c r="G41" s="5" t="n">
        <f aca="false">RANDBETWEEN(3,7)</f>
        <v>4</v>
      </c>
      <c r="H41" s="5" t="n">
        <f aca="false">MIN(F41,G41)</f>
        <v>4</v>
      </c>
      <c r="I41" s="5" t="n">
        <f aca="false">G41-H41</f>
        <v>0</v>
      </c>
      <c r="J41" s="5" t="n">
        <f aca="false">F41-H41</f>
        <v>11</v>
      </c>
      <c r="K41" s="5" t="n">
        <f aca="false">IF(I41&gt;0,1,0)</f>
        <v>0</v>
      </c>
      <c r="L41" s="5" t="n">
        <f aca="false">IF(J41&lt;PuntoReorden,1,0)</f>
        <v>0</v>
      </c>
      <c r="M41" s="18" t="n">
        <f aca="false">PrecioVenta*H41</f>
        <v>2720000</v>
      </c>
      <c r="N41" s="18" t="n">
        <f aca="false">CostoUnitario*E41</f>
        <v>9000000</v>
      </c>
      <c r="O41" s="18" t="n">
        <f aca="false">IF(E41&gt;0,CostoPedido,0)</f>
        <v>40000</v>
      </c>
      <c r="P41" s="18" t="n">
        <f aca="false">CostoAlm*(F41+J41)/2</f>
        <v>1040</v>
      </c>
      <c r="Q41" s="18" t="n">
        <f aca="false">CostoFijo*D41</f>
        <v>0</v>
      </c>
      <c r="R41" s="18" t="n">
        <f aca="false">M41-N41-O41-P41-Q41</f>
        <v>-6321040</v>
      </c>
      <c r="W41" s="5" t="n">
        <v>35</v>
      </c>
      <c r="X41" s="21" t="n">
        <v>98834240</v>
      </c>
      <c r="Y41" s="22" t="n">
        <v>0</v>
      </c>
      <c r="Z41" s="22" t="n">
        <v>0</v>
      </c>
    </row>
    <row r="42" customFormat="false" ht="15" hidden="false" customHeight="true" outlineLevel="0" collapsed="false">
      <c r="A42" s="5" t="n">
        <f aca="false">A41+1</f>
        <v>37</v>
      </c>
      <c r="B42" s="16" t="n">
        <f aca="false">B41+IF(WEEKDAY(B41,2)=6,2,1)</f>
        <v>46065</v>
      </c>
      <c r="C42" s="5" t="n">
        <f aca="false">MONTH(B42)</f>
        <v>2</v>
      </c>
      <c r="D42" s="5" t="n">
        <f aca="false">IF(C42&lt;&gt;C41,1,0)</f>
        <v>0</v>
      </c>
      <c r="E42" s="5" t="n">
        <f aca="false">IF(L41=1,CantPedido,0)</f>
        <v>0</v>
      </c>
      <c r="F42" s="5" t="n">
        <f aca="false">J41+E42</f>
        <v>11</v>
      </c>
      <c r="G42" s="5" t="n">
        <f aca="false">RANDBETWEEN(3,7)</f>
        <v>7</v>
      </c>
      <c r="H42" s="5" t="n">
        <f aca="false">MIN(F42,G42)</f>
        <v>7</v>
      </c>
      <c r="I42" s="5" t="n">
        <f aca="false">G42-H42</f>
        <v>0</v>
      </c>
      <c r="J42" s="5" t="n">
        <f aca="false">F42-H42</f>
        <v>4</v>
      </c>
      <c r="K42" s="5" t="n">
        <f aca="false">IF(I42&gt;0,1,0)</f>
        <v>0</v>
      </c>
      <c r="L42" s="5" t="n">
        <f aca="false">IF(J42&lt;PuntoReorden,1,0)</f>
        <v>1</v>
      </c>
      <c r="M42" s="18" t="n">
        <f aca="false">PrecioVenta*H42</f>
        <v>4760000</v>
      </c>
      <c r="N42" s="18" t="n">
        <f aca="false">CostoUnitario*E42</f>
        <v>0</v>
      </c>
      <c r="O42" s="18" t="n">
        <f aca="false">IF(E42&gt;0,CostoPedido,0)</f>
        <v>0</v>
      </c>
      <c r="P42" s="18" t="n">
        <f aca="false">CostoAlm*(F42+J42)/2</f>
        <v>600</v>
      </c>
      <c r="Q42" s="18" t="n">
        <f aca="false">CostoFijo*D42</f>
        <v>0</v>
      </c>
      <c r="R42" s="18" t="n">
        <f aca="false">M42-N42-O42-P42-Q42</f>
        <v>4759400</v>
      </c>
      <c r="W42" s="5" t="n">
        <v>36</v>
      </c>
      <c r="X42" s="21" t="n">
        <v>102028800</v>
      </c>
      <c r="Y42" s="22" t="n">
        <v>0</v>
      </c>
      <c r="Z42" s="22" t="n">
        <v>0</v>
      </c>
    </row>
    <row r="43" customFormat="false" ht="15" hidden="false" customHeight="true" outlineLevel="0" collapsed="false">
      <c r="A43" s="5" t="n">
        <f aca="false">A42+1</f>
        <v>38</v>
      </c>
      <c r="B43" s="16" t="n">
        <f aca="false">B42+IF(WEEKDAY(B42,2)=6,2,1)</f>
        <v>46066</v>
      </c>
      <c r="C43" s="5" t="n">
        <f aca="false">MONTH(B43)</f>
        <v>2</v>
      </c>
      <c r="D43" s="5" t="n">
        <f aca="false">IF(C43&lt;&gt;C42,1,0)</f>
        <v>0</v>
      </c>
      <c r="E43" s="17" t="n">
        <f aca="false">IF(L42=1,CantPedido,0)</f>
        <v>15</v>
      </c>
      <c r="F43" s="5" t="n">
        <f aca="false">J42+E43</f>
        <v>19</v>
      </c>
      <c r="G43" s="5" t="n">
        <f aca="false">RANDBETWEEN(3,7)</f>
        <v>3</v>
      </c>
      <c r="H43" s="5" t="n">
        <f aca="false">MIN(F43,G43)</f>
        <v>3</v>
      </c>
      <c r="I43" s="5" t="n">
        <f aca="false">G43-H43</f>
        <v>0</v>
      </c>
      <c r="J43" s="5" t="n">
        <f aca="false">F43-H43</f>
        <v>16</v>
      </c>
      <c r="K43" s="5" t="n">
        <f aca="false">IF(I43&gt;0,1,0)</f>
        <v>0</v>
      </c>
      <c r="L43" s="5" t="n">
        <f aca="false">IF(J43&lt;PuntoReorden,1,0)</f>
        <v>0</v>
      </c>
      <c r="M43" s="18" t="n">
        <f aca="false">PrecioVenta*H43</f>
        <v>2040000</v>
      </c>
      <c r="N43" s="18" t="n">
        <f aca="false">CostoUnitario*E43</f>
        <v>9000000</v>
      </c>
      <c r="O43" s="18" t="n">
        <f aca="false">IF(E43&gt;0,CostoPedido,0)</f>
        <v>40000</v>
      </c>
      <c r="P43" s="18" t="n">
        <f aca="false">CostoAlm*(F43+J43)/2</f>
        <v>1400</v>
      </c>
      <c r="Q43" s="18" t="n">
        <f aca="false">CostoFijo*D43</f>
        <v>0</v>
      </c>
      <c r="R43" s="18" t="n">
        <f aca="false">M43-N43-O43-P43-Q43</f>
        <v>-7001400</v>
      </c>
      <c r="W43" s="5" t="n">
        <v>37</v>
      </c>
      <c r="X43" s="21" t="n">
        <v>106594640</v>
      </c>
      <c r="Y43" s="22" t="n">
        <v>0</v>
      </c>
      <c r="Z43" s="22" t="n">
        <v>0</v>
      </c>
    </row>
    <row r="44" customFormat="false" ht="15" hidden="false" customHeight="true" outlineLevel="0" collapsed="false">
      <c r="A44" s="5" t="n">
        <f aca="false">A43+1</f>
        <v>39</v>
      </c>
      <c r="B44" s="16" t="n">
        <f aca="false">B43+IF(WEEKDAY(B43,2)=6,2,1)</f>
        <v>46067</v>
      </c>
      <c r="C44" s="5" t="n">
        <f aca="false">MONTH(B44)</f>
        <v>2</v>
      </c>
      <c r="D44" s="5" t="n">
        <f aca="false">IF(C44&lt;&gt;C43,1,0)</f>
        <v>0</v>
      </c>
      <c r="E44" s="5" t="n">
        <f aca="false">IF(L43=1,CantPedido,0)</f>
        <v>0</v>
      </c>
      <c r="F44" s="5" t="n">
        <f aca="false">J43+E44</f>
        <v>16</v>
      </c>
      <c r="G44" s="5" t="n">
        <f aca="false">RANDBETWEEN(3,7)</f>
        <v>5</v>
      </c>
      <c r="H44" s="5" t="n">
        <f aca="false">MIN(F44,G44)</f>
        <v>5</v>
      </c>
      <c r="I44" s="5" t="n">
        <f aca="false">G44-H44</f>
        <v>0</v>
      </c>
      <c r="J44" s="5" t="n">
        <f aca="false">F44-H44</f>
        <v>11</v>
      </c>
      <c r="K44" s="5" t="n">
        <f aca="false">IF(I44&gt;0,1,0)</f>
        <v>0</v>
      </c>
      <c r="L44" s="5" t="n">
        <f aca="false">IF(J44&lt;PuntoReorden,1,0)</f>
        <v>0</v>
      </c>
      <c r="M44" s="18" t="n">
        <f aca="false">PrecioVenta*H44</f>
        <v>3400000</v>
      </c>
      <c r="N44" s="18" t="n">
        <f aca="false">CostoUnitario*E44</f>
        <v>0</v>
      </c>
      <c r="O44" s="18" t="n">
        <f aca="false">IF(E44&gt;0,CostoPedido,0)</f>
        <v>0</v>
      </c>
      <c r="P44" s="18" t="n">
        <f aca="false">CostoAlm*(F44+J44)/2</f>
        <v>1080</v>
      </c>
      <c r="Q44" s="18" t="n">
        <f aca="false">CostoFijo*D44</f>
        <v>0</v>
      </c>
      <c r="R44" s="18" t="n">
        <f aca="false">M44-N44-O44-P44-Q44</f>
        <v>3398920</v>
      </c>
      <c r="W44" s="5" t="n">
        <v>38</v>
      </c>
      <c r="X44" s="21" t="n">
        <v>101150800</v>
      </c>
      <c r="Y44" s="22" t="n">
        <v>0</v>
      </c>
      <c r="Z44" s="22" t="n">
        <v>0</v>
      </c>
    </row>
    <row r="45" customFormat="false" ht="15" hidden="false" customHeight="true" outlineLevel="0" collapsed="false">
      <c r="A45" s="5" t="n">
        <f aca="false">A44+1</f>
        <v>40</v>
      </c>
      <c r="B45" s="16" t="n">
        <f aca="false">B44+IF(WEEKDAY(B44,2)=6,2,1)</f>
        <v>46069</v>
      </c>
      <c r="C45" s="5" t="n">
        <f aca="false">MONTH(B45)</f>
        <v>2</v>
      </c>
      <c r="D45" s="5" t="n">
        <f aca="false">IF(C45&lt;&gt;C44,1,0)</f>
        <v>0</v>
      </c>
      <c r="E45" s="5" t="n">
        <f aca="false">IF(L44=1,CantPedido,0)</f>
        <v>0</v>
      </c>
      <c r="F45" s="5" t="n">
        <f aca="false">J44+E45</f>
        <v>11</v>
      </c>
      <c r="G45" s="5" t="n">
        <f aca="false">RANDBETWEEN(3,7)</f>
        <v>4</v>
      </c>
      <c r="H45" s="5" t="n">
        <f aca="false">MIN(F45,G45)</f>
        <v>4</v>
      </c>
      <c r="I45" s="5" t="n">
        <f aca="false">G45-H45</f>
        <v>0</v>
      </c>
      <c r="J45" s="5" t="n">
        <f aca="false">F45-H45</f>
        <v>7</v>
      </c>
      <c r="K45" s="5" t="n">
        <f aca="false">IF(I45&gt;0,1,0)</f>
        <v>0</v>
      </c>
      <c r="L45" s="5" t="n">
        <f aca="false">IF(J45&lt;PuntoReorden,1,0)</f>
        <v>0</v>
      </c>
      <c r="M45" s="18" t="n">
        <f aca="false">PrecioVenta*H45</f>
        <v>2720000</v>
      </c>
      <c r="N45" s="18" t="n">
        <f aca="false">CostoUnitario*E45</f>
        <v>0</v>
      </c>
      <c r="O45" s="18" t="n">
        <f aca="false">IF(E45&gt;0,CostoPedido,0)</f>
        <v>0</v>
      </c>
      <c r="P45" s="18" t="n">
        <f aca="false">CostoAlm*(F45+J45)/2</f>
        <v>720</v>
      </c>
      <c r="Q45" s="18" t="n">
        <f aca="false">CostoFijo*D45</f>
        <v>0</v>
      </c>
      <c r="R45" s="18" t="n">
        <f aca="false">M45-N45-O45-P45-Q45</f>
        <v>2719280</v>
      </c>
      <c r="W45" s="5" t="n">
        <v>39</v>
      </c>
      <c r="X45" s="21" t="n">
        <v>106594560</v>
      </c>
      <c r="Y45" s="22" t="n">
        <v>0</v>
      </c>
      <c r="Z45" s="22" t="n">
        <v>0</v>
      </c>
    </row>
    <row r="46" customFormat="false" ht="15" hidden="false" customHeight="true" outlineLevel="0" collapsed="false">
      <c r="A46" s="5" t="n">
        <f aca="false">A45+1</f>
        <v>41</v>
      </c>
      <c r="B46" s="16" t="n">
        <f aca="false">B45+IF(WEEKDAY(B45,2)=6,2,1)</f>
        <v>46070</v>
      </c>
      <c r="C46" s="5" t="n">
        <f aca="false">MONTH(B46)</f>
        <v>2</v>
      </c>
      <c r="D46" s="5" t="n">
        <f aca="false">IF(C46&lt;&gt;C45,1,0)</f>
        <v>0</v>
      </c>
      <c r="E46" s="17" t="n">
        <f aca="false">IF(L45=1,CantPedido,0)</f>
        <v>0</v>
      </c>
      <c r="F46" s="5" t="n">
        <f aca="false">J45+E46</f>
        <v>7</v>
      </c>
      <c r="G46" s="5" t="n">
        <f aca="false">RANDBETWEEN(3,7)</f>
        <v>3</v>
      </c>
      <c r="H46" s="5" t="n">
        <f aca="false">MIN(F46,G46)</f>
        <v>3</v>
      </c>
      <c r="I46" s="5" t="n">
        <f aca="false">G46-H46</f>
        <v>0</v>
      </c>
      <c r="J46" s="5" t="n">
        <f aca="false">F46-H46</f>
        <v>4</v>
      </c>
      <c r="K46" s="5" t="n">
        <f aca="false">IF(I46&gt;0,1,0)</f>
        <v>0</v>
      </c>
      <c r="L46" s="5" t="n">
        <f aca="false">IF(J46&lt;PuntoReorden,1,0)</f>
        <v>1</v>
      </c>
      <c r="M46" s="18" t="n">
        <f aca="false">PrecioVenta*H46</f>
        <v>2040000</v>
      </c>
      <c r="N46" s="18" t="n">
        <f aca="false">CostoUnitario*E46</f>
        <v>0</v>
      </c>
      <c r="O46" s="18" t="n">
        <f aca="false">IF(E46&gt;0,CostoPedido,0)</f>
        <v>0</v>
      </c>
      <c r="P46" s="18" t="n">
        <f aca="false">CostoAlm*(F46+J46)/2</f>
        <v>440</v>
      </c>
      <c r="Q46" s="18" t="n">
        <f aca="false">CostoFijo*D46</f>
        <v>0</v>
      </c>
      <c r="R46" s="18" t="n">
        <f aca="false">M46-N46-O46-P46-Q46</f>
        <v>2039560</v>
      </c>
      <c r="W46" s="5" t="n">
        <v>40</v>
      </c>
      <c r="X46" s="21" t="n">
        <v>108351280</v>
      </c>
      <c r="Y46" s="22" t="n">
        <v>0</v>
      </c>
      <c r="Z46" s="22" t="n">
        <v>0</v>
      </c>
    </row>
    <row r="47" customFormat="false" ht="15" hidden="false" customHeight="true" outlineLevel="0" collapsed="false">
      <c r="A47" s="5" t="n">
        <f aca="false">A46+1</f>
        <v>42</v>
      </c>
      <c r="B47" s="16" t="n">
        <f aca="false">B46+IF(WEEKDAY(B46,2)=6,2,1)</f>
        <v>46071</v>
      </c>
      <c r="C47" s="5" t="n">
        <f aca="false">MONTH(B47)</f>
        <v>2</v>
      </c>
      <c r="D47" s="5" t="n">
        <f aca="false">IF(C47&lt;&gt;C46,1,0)</f>
        <v>0</v>
      </c>
      <c r="E47" s="17" t="n">
        <f aca="false">IF(L46=1,CantPedido,0)</f>
        <v>15</v>
      </c>
      <c r="F47" s="5" t="n">
        <f aca="false">J46+E47</f>
        <v>19</v>
      </c>
      <c r="G47" s="5" t="n">
        <f aca="false">RANDBETWEEN(3,7)</f>
        <v>6</v>
      </c>
      <c r="H47" s="5" t="n">
        <f aca="false">MIN(F47,G47)</f>
        <v>6</v>
      </c>
      <c r="I47" s="5" t="n">
        <f aca="false">G47-H47</f>
        <v>0</v>
      </c>
      <c r="J47" s="5" t="n">
        <f aca="false">F47-H47</f>
        <v>13</v>
      </c>
      <c r="K47" s="5" t="n">
        <f aca="false">IF(I47&gt;0,1,0)</f>
        <v>0</v>
      </c>
      <c r="L47" s="5" t="n">
        <f aca="false">IF(J47&lt;PuntoReorden,1,0)</f>
        <v>0</v>
      </c>
      <c r="M47" s="18" t="n">
        <f aca="false">PrecioVenta*H47</f>
        <v>4080000</v>
      </c>
      <c r="N47" s="18" t="n">
        <f aca="false">CostoUnitario*E47</f>
        <v>9000000</v>
      </c>
      <c r="O47" s="18" t="n">
        <f aca="false">IF(E47&gt;0,CostoPedido,0)</f>
        <v>40000</v>
      </c>
      <c r="P47" s="18" t="n">
        <f aca="false">CostoAlm*(F47+J47)/2</f>
        <v>1280</v>
      </c>
      <c r="Q47" s="18" t="n">
        <f aca="false">CostoFijo*D47</f>
        <v>0</v>
      </c>
      <c r="R47" s="18" t="n">
        <f aca="false">M47-N47-O47-P47-Q47</f>
        <v>-4961280</v>
      </c>
      <c r="W47" s="5" t="n">
        <v>41</v>
      </c>
      <c r="X47" s="21" t="n">
        <v>108825040</v>
      </c>
      <c r="Y47" s="22" t="n">
        <v>0</v>
      </c>
      <c r="Z47" s="22" t="n">
        <v>0</v>
      </c>
    </row>
    <row r="48" customFormat="false" ht="15" hidden="false" customHeight="true" outlineLevel="0" collapsed="false">
      <c r="A48" s="5" t="n">
        <f aca="false">A47+1</f>
        <v>43</v>
      </c>
      <c r="B48" s="16" t="n">
        <f aca="false">B47+IF(WEEKDAY(B47,2)=6,2,1)</f>
        <v>46072</v>
      </c>
      <c r="C48" s="5" t="n">
        <f aca="false">MONTH(B48)</f>
        <v>2</v>
      </c>
      <c r="D48" s="5" t="n">
        <f aca="false">IF(C48&lt;&gt;C47,1,0)</f>
        <v>0</v>
      </c>
      <c r="E48" s="5" t="n">
        <f aca="false">IF(L47=1,CantPedido,0)</f>
        <v>0</v>
      </c>
      <c r="F48" s="5" t="n">
        <f aca="false">J47+E48</f>
        <v>13</v>
      </c>
      <c r="G48" s="5" t="n">
        <f aca="false">RANDBETWEEN(3,7)</f>
        <v>6</v>
      </c>
      <c r="H48" s="5" t="n">
        <f aca="false">MIN(F48,G48)</f>
        <v>6</v>
      </c>
      <c r="I48" s="5" t="n">
        <f aca="false">G48-H48</f>
        <v>0</v>
      </c>
      <c r="J48" s="5" t="n">
        <f aca="false">F48-H48</f>
        <v>7</v>
      </c>
      <c r="K48" s="5" t="n">
        <f aca="false">IF(I48&gt;0,1,0)</f>
        <v>0</v>
      </c>
      <c r="L48" s="5" t="n">
        <f aca="false">IF(J48&lt;PuntoReorden,1,0)</f>
        <v>0</v>
      </c>
      <c r="M48" s="18" t="n">
        <f aca="false">PrecioVenta*H48</f>
        <v>4080000</v>
      </c>
      <c r="N48" s="18" t="n">
        <f aca="false">CostoUnitario*E48</f>
        <v>0</v>
      </c>
      <c r="O48" s="18" t="n">
        <f aca="false">IF(E48&gt;0,CostoPedido,0)</f>
        <v>0</v>
      </c>
      <c r="P48" s="18" t="n">
        <f aca="false">CostoAlm*(F48+J48)/2</f>
        <v>800</v>
      </c>
      <c r="Q48" s="18" t="n">
        <f aca="false">CostoFijo*D48</f>
        <v>0</v>
      </c>
      <c r="R48" s="18" t="n">
        <f aca="false">M48-N48-O48-P48-Q48</f>
        <v>4079200</v>
      </c>
      <c r="W48" s="5" t="n">
        <v>42</v>
      </c>
      <c r="X48" s="21" t="n">
        <v>106390840</v>
      </c>
      <c r="Y48" s="22" t="n">
        <v>0</v>
      </c>
      <c r="Z48" s="22" t="n">
        <v>0</v>
      </c>
    </row>
    <row r="49" customFormat="false" ht="15" hidden="false" customHeight="true" outlineLevel="0" collapsed="false">
      <c r="A49" s="5" t="n">
        <f aca="false">A48+1</f>
        <v>44</v>
      </c>
      <c r="B49" s="16" t="n">
        <f aca="false">B48+IF(WEEKDAY(B48,2)=6,2,1)</f>
        <v>46073</v>
      </c>
      <c r="C49" s="5" t="n">
        <f aca="false">MONTH(B49)</f>
        <v>2</v>
      </c>
      <c r="D49" s="5" t="n">
        <f aca="false">IF(C49&lt;&gt;C48,1,0)</f>
        <v>0</v>
      </c>
      <c r="E49" s="5" t="n">
        <f aca="false">IF(L48=1,CantPedido,0)</f>
        <v>0</v>
      </c>
      <c r="F49" s="5" t="n">
        <f aca="false">J48+E49</f>
        <v>7</v>
      </c>
      <c r="G49" s="5" t="n">
        <f aca="false">RANDBETWEEN(3,7)</f>
        <v>4</v>
      </c>
      <c r="H49" s="5" t="n">
        <f aca="false">MIN(F49,G49)</f>
        <v>4</v>
      </c>
      <c r="I49" s="5" t="n">
        <f aca="false">G49-H49</f>
        <v>0</v>
      </c>
      <c r="J49" s="5" t="n">
        <f aca="false">F49-H49</f>
        <v>3</v>
      </c>
      <c r="K49" s="5" t="n">
        <f aca="false">IF(I49&gt;0,1,0)</f>
        <v>0</v>
      </c>
      <c r="L49" s="5" t="n">
        <f aca="false">IF(J49&lt;PuntoReorden,1,0)</f>
        <v>1</v>
      </c>
      <c r="M49" s="18" t="n">
        <f aca="false">PrecioVenta*H49</f>
        <v>2720000</v>
      </c>
      <c r="N49" s="18" t="n">
        <f aca="false">CostoUnitario*E49</f>
        <v>0</v>
      </c>
      <c r="O49" s="18" t="n">
        <f aca="false">IF(E49&gt;0,CostoPedido,0)</f>
        <v>0</v>
      </c>
      <c r="P49" s="18" t="n">
        <f aca="false">CostoAlm*(F49+J49)/2</f>
        <v>400</v>
      </c>
      <c r="Q49" s="18" t="n">
        <f aca="false">CostoFijo*D49</f>
        <v>0</v>
      </c>
      <c r="R49" s="18" t="n">
        <f aca="false">M49-N49-O49-P49-Q49</f>
        <v>2719600</v>
      </c>
      <c r="W49" s="5" t="n">
        <v>43</v>
      </c>
      <c r="X49" s="21" t="n">
        <v>101551120</v>
      </c>
      <c r="Y49" s="22" t="n">
        <v>0</v>
      </c>
      <c r="Z49" s="22" t="n">
        <v>0</v>
      </c>
    </row>
    <row r="50" customFormat="false" ht="15" hidden="false" customHeight="true" outlineLevel="0" collapsed="false">
      <c r="A50" s="5" t="n">
        <f aca="false">A49+1</f>
        <v>45</v>
      </c>
      <c r="B50" s="16" t="n">
        <f aca="false">B49+IF(WEEKDAY(B49,2)=6,2,1)</f>
        <v>46074</v>
      </c>
      <c r="C50" s="5" t="n">
        <f aca="false">MONTH(B50)</f>
        <v>2</v>
      </c>
      <c r="D50" s="5" t="n">
        <f aca="false">IF(C50&lt;&gt;C49,1,0)</f>
        <v>0</v>
      </c>
      <c r="E50" s="17" t="n">
        <f aca="false">IF(L49=1,CantPedido,0)</f>
        <v>15</v>
      </c>
      <c r="F50" s="5" t="n">
        <f aca="false">J49+E50</f>
        <v>18</v>
      </c>
      <c r="G50" s="5" t="n">
        <f aca="false">RANDBETWEEN(3,7)</f>
        <v>3</v>
      </c>
      <c r="H50" s="5" t="n">
        <f aca="false">MIN(F50,G50)</f>
        <v>3</v>
      </c>
      <c r="I50" s="5" t="n">
        <f aca="false">G50-H50</f>
        <v>0</v>
      </c>
      <c r="J50" s="5" t="n">
        <f aca="false">F50-H50</f>
        <v>15</v>
      </c>
      <c r="K50" s="5" t="n">
        <f aca="false">IF(I50&gt;0,1,0)</f>
        <v>0</v>
      </c>
      <c r="L50" s="5" t="n">
        <f aca="false">IF(J50&lt;PuntoReorden,1,0)</f>
        <v>0</v>
      </c>
      <c r="M50" s="18" t="n">
        <f aca="false">PrecioVenta*H50</f>
        <v>2040000</v>
      </c>
      <c r="N50" s="18" t="n">
        <f aca="false">CostoUnitario*E50</f>
        <v>9000000</v>
      </c>
      <c r="O50" s="18" t="n">
        <f aca="false">IF(E50&gt;0,CostoPedido,0)</f>
        <v>40000</v>
      </c>
      <c r="P50" s="18" t="n">
        <f aca="false">CostoAlm*(F50+J50)/2</f>
        <v>1320</v>
      </c>
      <c r="Q50" s="18" t="n">
        <f aca="false">CostoFijo*D50</f>
        <v>0</v>
      </c>
      <c r="R50" s="18" t="n">
        <f aca="false">M50-N50-O50-P50-Q50</f>
        <v>-7001320</v>
      </c>
      <c r="W50" s="5" t="n">
        <v>44</v>
      </c>
      <c r="X50" s="21" t="n">
        <v>102233000</v>
      </c>
      <c r="Y50" s="22" t="n">
        <v>0</v>
      </c>
      <c r="Z50" s="22" t="n">
        <v>0</v>
      </c>
    </row>
    <row r="51" customFormat="false" ht="15" hidden="false" customHeight="true" outlineLevel="0" collapsed="false">
      <c r="A51" s="5" t="n">
        <f aca="false">A50+1</f>
        <v>46</v>
      </c>
      <c r="B51" s="16" t="n">
        <f aca="false">B50+IF(WEEKDAY(B50,2)=6,2,1)</f>
        <v>46076</v>
      </c>
      <c r="C51" s="5" t="n">
        <f aca="false">MONTH(B51)</f>
        <v>2</v>
      </c>
      <c r="D51" s="5" t="n">
        <f aca="false">IF(C51&lt;&gt;C50,1,0)</f>
        <v>0</v>
      </c>
      <c r="E51" s="5" t="n">
        <f aca="false">IF(L50=1,CantPedido,0)</f>
        <v>0</v>
      </c>
      <c r="F51" s="5" t="n">
        <f aca="false">J50+E51</f>
        <v>15</v>
      </c>
      <c r="G51" s="5" t="n">
        <f aca="false">RANDBETWEEN(3,7)</f>
        <v>6</v>
      </c>
      <c r="H51" s="5" t="n">
        <f aca="false">MIN(F51,G51)</f>
        <v>6</v>
      </c>
      <c r="I51" s="5" t="n">
        <f aca="false">G51-H51</f>
        <v>0</v>
      </c>
      <c r="J51" s="5" t="n">
        <f aca="false">F51-H51</f>
        <v>9</v>
      </c>
      <c r="K51" s="5" t="n">
        <f aca="false">IF(I51&gt;0,1,0)</f>
        <v>0</v>
      </c>
      <c r="L51" s="5" t="n">
        <f aca="false">IF(J51&lt;PuntoReorden,1,0)</f>
        <v>0</v>
      </c>
      <c r="M51" s="18" t="n">
        <f aca="false">PrecioVenta*H51</f>
        <v>4080000</v>
      </c>
      <c r="N51" s="18" t="n">
        <f aca="false">CostoUnitario*E51</f>
        <v>0</v>
      </c>
      <c r="O51" s="18" t="n">
        <f aca="false">IF(E51&gt;0,CostoPedido,0)</f>
        <v>0</v>
      </c>
      <c r="P51" s="18" t="n">
        <f aca="false">CostoAlm*(F51+J51)/2</f>
        <v>960</v>
      </c>
      <c r="Q51" s="18" t="n">
        <f aca="false">CostoFijo*D51</f>
        <v>0</v>
      </c>
      <c r="R51" s="18" t="n">
        <f aca="false">M51-N51-O51-P51-Q51</f>
        <v>4079040</v>
      </c>
      <c r="W51" s="5" t="n">
        <v>45</v>
      </c>
      <c r="X51" s="21" t="n">
        <v>103307680</v>
      </c>
      <c r="Y51" s="22" t="n">
        <v>0</v>
      </c>
      <c r="Z51" s="22" t="n">
        <v>0</v>
      </c>
    </row>
    <row r="52" customFormat="false" ht="15" hidden="false" customHeight="true" outlineLevel="0" collapsed="false">
      <c r="A52" s="5" t="n">
        <f aca="false">A51+1</f>
        <v>47</v>
      </c>
      <c r="B52" s="16" t="n">
        <f aca="false">B51+IF(WEEKDAY(B51,2)=6,2,1)</f>
        <v>46077</v>
      </c>
      <c r="C52" s="5" t="n">
        <f aca="false">MONTH(B52)</f>
        <v>2</v>
      </c>
      <c r="D52" s="5" t="n">
        <f aca="false">IF(C52&lt;&gt;C51,1,0)</f>
        <v>0</v>
      </c>
      <c r="E52" s="5" t="n">
        <f aca="false">IF(L51=1,CantPedido,0)</f>
        <v>0</v>
      </c>
      <c r="F52" s="5" t="n">
        <f aca="false">J51+E52</f>
        <v>9</v>
      </c>
      <c r="G52" s="5" t="n">
        <f aca="false">RANDBETWEEN(3,7)</f>
        <v>3</v>
      </c>
      <c r="H52" s="5" t="n">
        <f aca="false">MIN(F52,G52)</f>
        <v>3</v>
      </c>
      <c r="I52" s="5" t="n">
        <f aca="false">G52-H52</f>
        <v>0</v>
      </c>
      <c r="J52" s="5" t="n">
        <f aca="false">F52-H52</f>
        <v>6</v>
      </c>
      <c r="K52" s="5" t="n">
        <f aca="false">IF(I52&gt;0,1,0)</f>
        <v>0</v>
      </c>
      <c r="L52" s="5" t="n">
        <f aca="false">IF(J52&lt;PuntoReorden,1,0)</f>
        <v>1</v>
      </c>
      <c r="M52" s="18" t="n">
        <f aca="false">PrecioVenta*H52</f>
        <v>2040000</v>
      </c>
      <c r="N52" s="18" t="n">
        <f aca="false">CostoUnitario*E52</f>
        <v>0</v>
      </c>
      <c r="O52" s="18" t="n">
        <f aca="false">IF(E52&gt;0,CostoPedido,0)</f>
        <v>0</v>
      </c>
      <c r="P52" s="18" t="n">
        <f aca="false">CostoAlm*(F52+J52)/2</f>
        <v>600</v>
      </c>
      <c r="Q52" s="18" t="n">
        <f aca="false">CostoFijo*D52</f>
        <v>0</v>
      </c>
      <c r="R52" s="18" t="n">
        <f aca="false">M52-N52-O52-P52-Q52</f>
        <v>2039400</v>
      </c>
      <c r="W52" s="5" t="n">
        <v>46</v>
      </c>
      <c r="X52" s="21" t="n">
        <v>94950440</v>
      </c>
      <c r="Y52" s="22" t="n">
        <v>0</v>
      </c>
      <c r="Z52" s="22" t="n">
        <v>0</v>
      </c>
    </row>
    <row r="53" customFormat="false" ht="15" hidden="false" customHeight="true" outlineLevel="0" collapsed="false">
      <c r="A53" s="5" t="n">
        <f aca="false">A52+1</f>
        <v>48</v>
      </c>
      <c r="B53" s="16" t="n">
        <f aca="false">B52+IF(WEEKDAY(B52,2)=6,2,1)</f>
        <v>46078</v>
      </c>
      <c r="C53" s="5" t="n">
        <f aca="false">MONTH(B53)</f>
        <v>2</v>
      </c>
      <c r="D53" s="5" t="n">
        <f aca="false">IF(C53&lt;&gt;C52,1,0)</f>
        <v>0</v>
      </c>
      <c r="E53" s="17" t="n">
        <f aca="false">IF(L52=1,CantPedido,0)</f>
        <v>15</v>
      </c>
      <c r="F53" s="5" t="n">
        <f aca="false">J52+E53</f>
        <v>21</v>
      </c>
      <c r="G53" s="5" t="n">
        <f aca="false">RANDBETWEEN(3,7)</f>
        <v>5</v>
      </c>
      <c r="H53" s="5" t="n">
        <f aca="false">MIN(F53,G53)</f>
        <v>5</v>
      </c>
      <c r="I53" s="5" t="n">
        <f aca="false">G53-H53</f>
        <v>0</v>
      </c>
      <c r="J53" s="5" t="n">
        <f aca="false">F53-H53</f>
        <v>16</v>
      </c>
      <c r="K53" s="5" t="n">
        <f aca="false">IF(I53&gt;0,1,0)</f>
        <v>0</v>
      </c>
      <c r="L53" s="5" t="n">
        <f aca="false">IF(J53&lt;PuntoReorden,1,0)</f>
        <v>0</v>
      </c>
      <c r="M53" s="18" t="n">
        <f aca="false">PrecioVenta*H53</f>
        <v>3400000</v>
      </c>
      <c r="N53" s="18" t="n">
        <f aca="false">CostoUnitario*E53</f>
        <v>9000000</v>
      </c>
      <c r="O53" s="18" t="n">
        <f aca="false">IF(E53&gt;0,CostoPedido,0)</f>
        <v>40000</v>
      </c>
      <c r="P53" s="18" t="n">
        <f aca="false">CostoAlm*(F53+J53)/2</f>
        <v>1480</v>
      </c>
      <c r="Q53" s="18" t="n">
        <f aca="false">CostoFijo*D53</f>
        <v>0</v>
      </c>
      <c r="R53" s="18" t="n">
        <f aca="false">M53-N53-O53-P53-Q53</f>
        <v>-5641480</v>
      </c>
      <c r="W53" s="5" t="n">
        <v>47</v>
      </c>
      <c r="X53" s="21" t="n">
        <v>106395800</v>
      </c>
      <c r="Y53" s="22" t="n">
        <v>0</v>
      </c>
      <c r="Z53" s="22" t="n">
        <v>0</v>
      </c>
    </row>
    <row r="54" customFormat="false" ht="15" hidden="false" customHeight="true" outlineLevel="0" collapsed="false">
      <c r="A54" s="5" t="n">
        <f aca="false">A53+1</f>
        <v>49</v>
      </c>
      <c r="B54" s="16" t="n">
        <f aca="false">B53+IF(WEEKDAY(B53,2)=6,2,1)</f>
        <v>46079</v>
      </c>
      <c r="C54" s="5" t="n">
        <f aca="false">MONTH(B54)</f>
        <v>2</v>
      </c>
      <c r="D54" s="5" t="n">
        <f aca="false">IF(C54&lt;&gt;C53,1,0)</f>
        <v>0</v>
      </c>
      <c r="E54" s="5" t="n">
        <f aca="false">IF(L53=1,CantPedido,0)</f>
        <v>0</v>
      </c>
      <c r="F54" s="5" t="n">
        <f aca="false">J53+E54</f>
        <v>16</v>
      </c>
      <c r="G54" s="5" t="n">
        <f aca="false">RANDBETWEEN(3,7)</f>
        <v>3</v>
      </c>
      <c r="H54" s="5" t="n">
        <f aca="false">MIN(F54,G54)</f>
        <v>3</v>
      </c>
      <c r="I54" s="5" t="n">
        <f aca="false">G54-H54</f>
        <v>0</v>
      </c>
      <c r="J54" s="5" t="n">
        <f aca="false">F54-H54</f>
        <v>13</v>
      </c>
      <c r="K54" s="5" t="n">
        <f aca="false">IF(I54&gt;0,1,0)</f>
        <v>0</v>
      </c>
      <c r="L54" s="5" t="n">
        <f aca="false">IF(J54&lt;PuntoReorden,1,0)</f>
        <v>0</v>
      </c>
      <c r="M54" s="18" t="n">
        <f aca="false">PrecioVenta*H54</f>
        <v>2040000</v>
      </c>
      <c r="N54" s="18" t="n">
        <f aca="false">CostoUnitario*E54</f>
        <v>0</v>
      </c>
      <c r="O54" s="18" t="n">
        <f aca="false">IF(E54&gt;0,CostoPedido,0)</f>
        <v>0</v>
      </c>
      <c r="P54" s="18" t="n">
        <f aca="false">CostoAlm*(F54+J54)/2</f>
        <v>1160</v>
      </c>
      <c r="Q54" s="18" t="n">
        <f aca="false">CostoFijo*D54</f>
        <v>0</v>
      </c>
      <c r="R54" s="18" t="n">
        <f aca="false">M54-N54-O54-P54-Q54</f>
        <v>2038840</v>
      </c>
      <c r="W54" s="5" t="n">
        <v>48</v>
      </c>
      <c r="X54" s="21" t="n">
        <v>104947000</v>
      </c>
      <c r="Y54" s="22" t="n">
        <v>0</v>
      </c>
      <c r="Z54" s="22" t="n">
        <v>0</v>
      </c>
    </row>
    <row r="55" customFormat="false" ht="15" hidden="false" customHeight="true" outlineLevel="0" collapsed="false">
      <c r="A55" s="5" t="n">
        <f aca="false">A54+1</f>
        <v>50</v>
      </c>
      <c r="B55" s="16" t="n">
        <f aca="false">B54+IF(WEEKDAY(B54,2)=6,2,1)</f>
        <v>46080</v>
      </c>
      <c r="C55" s="5" t="n">
        <f aca="false">MONTH(B55)</f>
        <v>2</v>
      </c>
      <c r="D55" s="5" t="n">
        <f aca="false">IF(C55&lt;&gt;C54,1,0)</f>
        <v>0</v>
      </c>
      <c r="E55" s="5" t="n">
        <f aca="false">IF(L54=1,CantPedido,0)</f>
        <v>0</v>
      </c>
      <c r="F55" s="5" t="n">
        <f aca="false">J54+E55</f>
        <v>13</v>
      </c>
      <c r="G55" s="5" t="n">
        <f aca="false">RANDBETWEEN(3,7)</f>
        <v>4</v>
      </c>
      <c r="H55" s="5" t="n">
        <f aca="false">MIN(F55,G55)</f>
        <v>4</v>
      </c>
      <c r="I55" s="5" t="n">
        <f aca="false">G55-H55</f>
        <v>0</v>
      </c>
      <c r="J55" s="5" t="n">
        <f aca="false">F55-H55</f>
        <v>9</v>
      </c>
      <c r="K55" s="5" t="n">
        <f aca="false">IF(I55&gt;0,1,0)</f>
        <v>0</v>
      </c>
      <c r="L55" s="5" t="n">
        <f aca="false">IF(J55&lt;PuntoReorden,1,0)</f>
        <v>0</v>
      </c>
      <c r="M55" s="18" t="n">
        <f aca="false">PrecioVenta*H55</f>
        <v>2720000</v>
      </c>
      <c r="N55" s="18" t="n">
        <f aca="false">CostoUnitario*E55</f>
        <v>0</v>
      </c>
      <c r="O55" s="18" t="n">
        <f aca="false">IF(E55&gt;0,CostoPedido,0)</f>
        <v>0</v>
      </c>
      <c r="P55" s="18" t="n">
        <f aca="false">CostoAlm*(F55+J55)/2</f>
        <v>880</v>
      </c>
      <c r="Q55" s="18" t="n">
        <f aca="false">CostoFijo*D55</f>
        <v>0</v>
      </c>
      <c r="R55" s="18" t="n">
        <f aca="false">M55-N55-O55-P55-Q55</f>
        <v>2719120</v>
      </c>
      <c r="W55" s="5" t="n">
        <v>49</v>
      </c>
      <c r="X55" s="21" t="n">
        <v>104552760</v>
      </c>
      <c r="Y55" s="22" t="n">
        <v>0</v>
      </c>
      <c r="Z55" s="22" t="n">
        <v>0</v>
      </c>
    </row>
    <row r="56" customFormat="false" ht="15" hidden="false" customHeight="true" outlineLevel="0" collapsed="false">
      <c r="A56" s="5" t="n">
        <f aca="false">A55+1</f>
        <v>51</v>
      </c>
      <c r="B56" s="16" t="n">
        <f aca="false">B55+IF(WEEKDAY(B55,2)=6,2,1)</f>
        <v>46081</v>
      </c>
      <c r="C56" s="5" t="n">
        <f aca="false">MONTH(B56)</f>
        <v>2</v>
      </c>
      <c r="D56" s="5" t="n">
        <f aca="false">IF(C56&lt;&gt;C55,1,0)</f>
        <v>0</v>
      </c>
      <c r="E56" s="5" t="n">
        <f aca="false">IF(L55=1,CantPedido,0)</f>
        <v>0</v>
      </c>
      <c r="F56" s="5" t="n">
        <f aca="false">J55+E56</f>
        <v>9</v>
      </c>
      <c r="G56" s="5" t="n">
        <f aca="false">RANDBETWEEN(3,7)</f>
        <v>7</v>
      </c>
      <c r="H56" s="5" t="n">
        <f aca="false">MIN(F56,G56)</f>
        <v>7</v>
      </c>
      <c r="I56" s="5" t="n">
        <f aca="false">G56-H56</f>
        <v>0</v>
      </c>
      <c r="J56" s="5" t="n">
        <f aca="false">F56-H56</f>
        <v>2</v>
      </c>
      <c r="K56" s="5" t="n">
        <f aca="false">IF(I56&gt;0,1,0)</f>
        <v>0</v>
      </c>
      <c r="L56" s="5" t="n">
        <f aca="false">IF(J56&lt;PuntoReorden,1,0)</f>
        <v>1</v>
      </c>
      <c r="M56" s="18" t="n">
        <f aca="false">PrecioVenta*H56</f>
        <v>4760000</v>
      </c>
      <c r="N56" s="18" t="n">
        <f aca="false">CostoUnitario*E56</f>
        <v>0</v>
      </c>
      <c r="O56" s="18" t="n">
        <f aca="false">IF(E56&gt;0,CostoPedido,0)</f>
        <v>0</v>
      </c>
      <c r="P56" s="18" t="n">
        <f aca="false">CostoAlm*(F56+J56)/2</f>
        <v>440</v>
      </c>
      <c r="Q56" s="18" t="n">
        <f aca="false">CostoFijo*D56</f>
        <v>0</v>
      </c>
      <c r="R56" s="18" t="n">
        <f aca="false">M56-N56-O56-P56-Q56</f>
        <v>4759560</v>
      </c>
      <c r="W56" s="5" t="n">
        <v>50</v>
      </c>
      <c r="X56" s="21" t="n">
        <v>98834000</v>
      </c>
      <c r="Y56" s="22" t="n">
        <v>0</v>
      </c>
      <c r="Z56" s="22" t="n">
        <v>0</v>
      </c>
    </row>
    <row r="57" customFormat="false" ht="15" hidden="false" customHeight="true" outlineLevel="0" collapsed="false">
      <c r="A57" s="5" t="n">
        <f aca="false">A56+1</f>
        <v>52</v>
      </c>
      <c r="B57" s="16" t="n">
        <f aca="false">B56+IF(WEEKDAY(B56,2)=6,2,1)</f>
        <v>46083</v>
      </c>
      <c r="C57" s="5" t="n">
        <f aca="false">MONTH(B57)</f>
        <v>3</v>
      </c>
      <c r="D57" s="5" t="n">
        <f aca="false">IF(C57&lt;&gt;C56,1,0)</f>
        <v>1</v>
      </c>
      <c r="E57" s="17" t="n">
        <f aca="false">IF(L56=1,CantPedido,0)</f>
        <v>15</v>
      </c>
      <c r="F57" s="5" t="n">
        <f aca="false">J56+E57</f>
        <v>17</v>
      </c>
      <c r="G57" s="5" t="n">
        <f aca="false">RANDBETWEEN(3,7)</f>
        <v>6</v>
      </c>
      <c r="H57" s="5" t="n">
        <f aca="false">MIN(F57,G57)</f>
        <v>6</v>
      </c>
      <c r="I57" s="5" t="n">
        <f aca="false">G57-H57</f>
        <v>0</v>
      </c>
      <c r="J57" s="5" t="n">
        <f aca="false">F57-H57</f>
        <v>11</v>
      </c>
      <c r="K57" s="5" t="n">
        <f aca="false">IF(I57&gt;0,1,0)</f>
        <v>0</v>
      </c>
      <c r="L57" s="5" t="n">
        <f aca="false">IF(J57&lt;PuntoReorden,1,0)</f>
        <v>0</v>
      </c>
      <c r="M57" s="18" t="n">
        <f aca="false">PrecioVenta*H57</f>
        <v>4080000</v>
      </c>
      <c r="N57" s="18" t="n">
        <f aca="false">CostoUnitario*E57</f>
        <v>9000000</v>
      </c>
      <c r="O57" s="18" t="n">
        <f aca="false">IF(E57&gt;0,CostoPedido,0)</f>
        <v>40000</v>
      </c>
      <c r="P57" s="18" t="n">
        <f aca="false">CostoAlm*(F57+J57)/2</f>
        <v>1120</v>
      </c>
      <c r="Q57" s="18" t="n">
        <f aca="false">CostoFijo*D57</f>
        <v>1000000</v>
      </c>
      <c r="R57" s="18" t="n">
        <f aca="false">M57-N57-O57-P57-Q57</f>
        <v>-5961120</v>
      </c>
      <c r="W57" s="5" t="n">
        <v>51</v>
      </c>
      <c r="X57" s="21" t="n">
        <v>106312680</v>
      </c>
      <c r="Y57" s="22" t="n">
        <v>0</v>
      </c>
      <c r="Z57" s="22" t="n">
        <v>0</v>
      </c>
    </row>
    <row r="58" customFormat="false" ht="15" hidden="false" customHeight="true" outlineLevel="0" collapsed="false">
      <c r="A58" s="5" t="n">
        <f aca="false">A57+1</f>
        <v>53</v>
      </c>
      <c r="B58" s="16" t="n">
        <f aca="false">B57+IF(WEEKDAY(B57,2)=6,2,1)</f>
        <v>46084</v>
      </c>
      <c r="C58" s="5" t="n">
        <f aca="false">MONTH(B58)</f>
        <v>3</v>
      </c>
      <c r="D58" s="5" t="n">
        <f aca="false">IF(C58&lt;&gt;C57,1,0)</f>
        <v>0</v>
      </c>
      <c r="E58" s="5" t="n">
        <f aca="false">IF(L57=1,CantPedido,0)</f>
        <v>0</v>
      </c>
      <c r="F58" s="5" t="n">
        <f aca="false">J57+E58</f>
        <v>11</v>
      </c>
      <c r="G58" s="5" t="n">
        <f aca="false">RANDBETWEEN(3,7)</f>
        <v>7</v>
      </c>
      <c r="H58" s="5" t="n">
        <f aca="false">MIN(F58,G58)</f>
        <v>7</v>
      </c>
      <c r="I58" s="5" t="n">
        <f aca="false">G58-H58</f>
        <v>0</v>
      </c>
      <c r="J58" s="5" t="n">
        <f aca="false">F58-H58</f>
        <v>4</v>
      </c>
      <c r="K58" s="5" t="n">
        <f aca="false">IF(I58&gt;0,1,0)</f>
        <v>0</v>
      </c>
      <c r="L58" s="5" t="n">
        <f aca="false">IF(J58&lt;PuntoReorden,1,0)</f>
        <v>1</v>
      </c>
      <c r="M58" s="18" t="n">
        <f aca="false">PrecioVenta*H58</f>
        <v>4760000</v>
      </c>
      <c r="N58" s="18" t="n">
        <f aca="false">CostoUnitario*E58</f>
        <v>0</v>
      </c>
      <c r="O58" s="18" t="n">
        <f aca="false">IF(E58&gt;0,CostoPedido,0)</f>
        <v>0</v>
      </c>
      <c r="P58" s="18" t="n">
        <f aca="false">CostoAlm*(F58+J58)/2</f>
        <v>600</v>
      </c>
      <c r="Q58" s="18" t="n">
        <f aca="false">CostoFijo*D58</f>
        <v>0</v>
      </c>
      <c r="R58" s="18" t="n">
        <f aca="false">M58-N58-O58-P58-Q58</f>
        <v>4759400</v>
      </c>
      <c r="W58" s="5" t="n">
        <v>52</v>
      </c>
      <c r="X58" s="21" t="n">
        <v>104467480</v>
      </c>
      <c r="Y58" s="22" t="n">
        <v>0</v>
      </c>
      <c r="Z58" s="22" t="n">
        <v>0</v>
      </c>
    </row>
    <row r="59" customFormat="false" ht="15" hidden="false" customHeight="true" outlineLevel="0" collapsed="false">
      <c r="A59" s="5" t="n">
        <f aca="false">A58+1</f>
        <v>54</v>
      </c>
      <c r="B59" s="16" t="n">
        <f aca="false">B58+IF(WEEKDAY(B58,2)=6,2,1)</f>
        <v>46085</v>
      </c>
      <c r="C59" s="5" t="n">
        <f aca="false">MONTH(B59)</f>
        <v>3</v>
      </c>
      <c r="D59" s="5" t="n">
        <f aca="false">IF(C59&lt;&gt;C58,1,0)</f>
        <v>0</v>
      </c>
      <c r="E59" s="17" t="n">
        <f aca="false">IF(L58=1,CantPedido,0)</f>
        <v>15</v>
      </c>
      <c r="F59" s="5" t="n">
        <f aca="false">J58+E59</f>
        <v>19</v>
      </c>
      <c r="G59" s="5" t="n">
        <f aca="false">RANDBETWEEN(3,7)</f>
        <v>4</v>
      </c>
      <c r="H59" s="5" t="n">
        <f aca="false">MIN(F59,G59)</f>
        <v>4</v>
      </c>
      <c r="I59" s="5" t="n">
        <f aca="false">G59-H59</f>
        <v>0</v>
      </c>
      <c r="J59" s="5" t="n">
        <f aca="false">F59-H59</f>
        <v>15</v>
      </c>
      <c r="K59" s="5" t="n">
        <f aca="false">IF(I59&gt;0,1,0)</f>
        <v>0</v>
      </c>
      <c r="L59" s="5" t="n">
        <f aca="false">IF(J59&lt;PuntoReorden,1,0)</f>
        <v>0</v>
      </c>
      <c r="M59" s="18" t="n">
        <f aca="false">PrecioVenta*H59</f>
        <v>2720000</v>
      </c>
      <c r="N59" s="18" t="n">
        <f aca="false">CostoUnitario*E59</f>
        <v>9000000</v>
      </c>
      <c r="O59" s="18" t="n">
        <f aca="false">IF(E59&gt;0,CostoPedido,0)</f>
        <v>40000</v>
      </c>
      <c r="P59" s="18" t="n">
        <f aca="false">CostoAlm*(F59+J59)/2</f>
        <v>1360</v>
      </c>
      <c r="Q59" s="18" t="n">
        <f aca="false">CostoFijo*D59</f>
        <v>0</v>
      </c>
      <c r="R59" s="18" t="n">
        <f aca="false">M59-N59-O59-P59-Q59</f>
        <v>-6321360</v>
      </c>
      <c r="W59" s="5" t="n">
        <v>53</v>
      </c>
      <c r="X59" s="21" t="n">
        <v>107674280</v>
      </c>
      <c r="Y59" s="22" t="n">
        <v>0</v>
      </c>
      <c r="Z59" s="22" t="n">
        <v>0</v>
      </c>
    </row>
    <row r="60" customFormat="false" ht="15" hidden="false" customHeight="true" outlineLevel="0" collapsed="false">
      <c r="A60" s="5" t="n">
        <f aca="false">A59+1</f>
        <v>55</v>
      </c>
      <c r="B60" s="16" t="n">
        <f aca="false">B59+IF(WEEKDAY(B59,2)=6,2,1)</f>
        <v>46086</v>
      </c>
      <c r="C60" s="5" t="n">
        <f aca="false">MONTH(B60)</f>
        <v>3</v>
      </c>
      <c r="D60" s="5" t="n">
        <f aca="false">IF(C60&lt;&gt;C59,1,0)</f>
        <v>0</v>
      </c>
      <c r="E60" s="17" t="n">
        <f aca="false">IF(L59=1,CantPedido,0)</f>
        <v>0</v>
      </c>
      <c r="F60" s="5" t="n">
        <f aca="false">J59+E60</f>
        <v>15</v>
      </c>
      <c r="G60" s="5" t="n">
        <f aca="false">RANDBETWEEN(3,7)</f>
        <v>3</v>
      </c>
      <c r="H60" s="5" t="n">
        <f aca="false">MIN(F60,G60)</f>
        <v>3</v>
      </c>
      <c r="I60" s="5" t="n">
        <f aca="false">G60-H60</f>
        <v>0</v>
      </c>
      <c r="J60" s="5" t="n">
        <f aca="false">F60-H60</f>
        <v>12</v>
      </c>
      <c r="K60" s="5" t="n">
        <f aca="false">IF(I60&gt;0,1,0)</f>
        <v>0</v>
      </c>
      <c r="L60" s="5" t="n">
        <f aca="false">IF(J60&lt;PuntoReorden,1,0)</f>
        <v>0</v>
      </c>
      <c r="M60" s="18" t="n">
        <f aca="false">PrecioVenta*H60</f>
        <v>2040000</v>
      </c>
      <c r="N60" s="18" t="n">
        <f aca="false">CostoUnitario*E60</f>
        <v>0</v>
      </c>
      <c r="O60" s="18" t="n">
        <f aca="false">IF(E60&gt;0,CostoPedido,0)</f>
        <v>0</v>
      </c>
      <c r="P60" s="18" t="n">
        <f aca="false">CostoAlm*(F60+J60)/2</f>
        <v>1080</v>
      </c>
      <c r="Q60" s="18" t="n">
        <f aca="false">CostoFijo*D60</f>
        <v>0</v>
      </c>
      <c r="R60" s="18" t="n">
        <f aca="false">M60-N60-O60-P60-Q60</f>
        <v>2038920</v>
      </c>
      <c r="W60" s="5" t="n">
        <v>54</v>
      </c>
      <c r="X60" s="21" t="n">
        <v>104556920</v>
      </c>
      <c r="Y60" s="22" t="n">
        <v>0</v>
      </c>
      <c r="Z60" s="22" t="n">
        <v>0</v>
      </c>
    </row>
    <row r="61" customFormat="false" ht="15" hidden="false" customHeight="true" outlineLevel="0" collapsed="false">
      <c r="A61" s="5" t="n">
        <f aca="false">A60+1</f>
        <v>56</v>
      </c>
      <c r="B61" s="16" t="n">
        <f aca="false">B60+IF(WEEKDAY(B60,2)=6,2,1)</f>
        <v>46087</v>
      </c>
      <c r="C61" s="5" t="n">
        <f aca="false">MONTH(B61)</f>
        <v>3</v>
      </c>
      <c r="D61" s="5" t="n">
        <f aca="false">IF(C61&lt;&gt;C60,1,0)</f>
        <v>0</v>
      </c>
      <c r="E61" s="5" t="n">
        <f aca="false">IF(L60=1,CantPedido,0)</f>
        <v>0</v>
      </c>
      <c r="F61" s="5" t="n">
        <f aca="false">J60+E61</f>
        <v>12</v>
      </c>
      <c r="G61" s="5" t="n">
        <f aca="false">RANDBETWEEN(3,7)</f>
        <v>4</v>
      </c>
      <c r="H61" s="5" t="n">
        <f aca="false">MIN(F61,G61)</f>
        <v>4</v>
      </c>
      <c r="I61" s="5" t="n">
        <f aca="false">G61-H61</f>
        <v>0</v>
      </c>
      <c r="J61" s="5" t="n">
        <f aca="false">F61-H61</f>
        <v>8</v>
      </c>
      <c r="K61" s="5" t="n">
        <f aca="false">IF(I61&gt;0,1,0)</f>
        <v>0</v>
      </c>
      <c r="L61" s="5" t="n">
        <f aca="false">IF(J61&lt;PuntoReorden,1,0)</f>
        <v>0</v>
      </c>
      <c r="M61" s="18" t="n">
        <f aca="false">PrecioVenta*H61</f>
        <v>2720000</v>
      </c>
      <c r="N61" s="18" t="n">
        <f aca="false">CostoUnitario*E61</f>
        <v>0</v>
      </c>
      <c r="O61" s="18" t="n">
        <f aca="false">IF(E61&gt;0,CostoPedido,0)</f>
        <v>0</v>
      </c>
      <c r="P61" s="18" t="n">
        <f aca="false">CostoAlm*(F61+J61)/2</f>
        <v>800</v>
      </c>
      <c r="Q61" s="18" t="n">
        <f aca="false">CostoFijo*D61</f>
        <v>0</v>
      </c>
      <c r="R61" s="18" t="n">
        <f aca="false">M61-N61-O61-P61-Q61</f>
        <v>2719200</v>
      </c>
      <c r="W61" s="5" t="n">
        <v>55</v>
      </c>
      <c r="X61" s="21" t="n">
        <v>108152680</v>
      </c>
      <c r="Y61" s="22" t="n">
        <v>0</v>
      </c>
      <c r="Z61" s="22" t="n">
        <v>0</v>
      </c>
    </row>
    <row r="62" customFormat="false" ht="15" hidden="false" customHeight="true" outlineLevel="0" collapsed="false">
      <c r="A62" s="5" t="n">
        <f aca="false">A61+1</f>
        <v>57</v>
      </c>
      <c r="B62" s="16" t="n">
        <f aca="false">B61+IF(WEEKDAY(B61,2)=6,2,1)</f>
        <v>46088</v>
      </c>
      <c r="C62" s="5" t="n">
        <f aca="false">MONTH(B62)</f>
        <v>3</v>
      </c>
      <c r="D62" s="5" t="n">
        <f aca="false">IF(C62&lt;&gt;C61,1,0)</f>
        <v>0</v>
      </c>
      <c r="E62" s="5" t="n">
        <f aca="false">IF(L61=1,CantPedido,0)</f>
        <v>0</v>
      </c>
      <c r="F62" s="5" t="n">
        <f aca="false">J61+E62</f>
        <v>8</v>
      </c>
      <c r="G62" s="5" t="n">
        <f aca="false">RANDBETWEEN(3,7)</f>
        <v>4</v>
      </c>
      <c r="H62" s="5" t="n">
        <f aca="false">MIN(F62,G62)</f>
        <v>4</v>
      </c>
      <c r="I62" s="5" t="n">
        <f aca="false">G62-H62</f>
        <v>0</v>
      </c>
      <c r="J62" s="5" t="n">
        <f aca="false">F62-H62</f>
        <v>4</v>
      </c>
      <c r="K62" s="5" t="n">
        <f aca="false">IF(I62&gt;0,1,0)</f>
        <v>0</v>
      </c>
      <c r="L62" s="5" t="n">
        <f aca="false">IF(J62&lt;PuntoReorden,1,0)</f>
        <v>1</v>
      </c>
      <c r="M62" s="18" t="n">
        <f aca="false">PrecioVenta*H62</f>
        <v>2720000</v>
      </c>
      <c r="N62" s="18" t="n">
        <f aca="false">CostoUnitario*E62</f>
        <v>0</v>
      </c>
      <c r="O62" s="18" t="n">
        <f aca="false">IF(E62&gt;0,CostoPedido,0)</f>
        <v>0</v>
      </c>
      <c r="P62" s="18" t="n">
        <f aca="false">CostoAlm*(F62+J62)/2</f>
        <v>480</v>
      </c>
      <c r="Q62" s="18" t="n">
        <f aca="false">CostoFijo*D62</f>
        <v>0</v>
      </c>
      <c r="R62" s="18" t="n">
        <f aca="false">M62-N62-O62-P62-Q62</f>
        <v>2719520</v>
      </c>
      <c r="W62" s="5" t="n">
        <v>56</v>
      </c>
      <c r="X62" s="21" t="n">
        <v>107276760</v>
      </c>
      <c r="Y62" s="22" t="n">
        <v>0</v>
      </c>
      <c r="Z62" s="22" t="n">
        <v>0</v>
      </c>
    </row>
    <row r="63" customFormat="false" ht="15" hidden="false" customHeight="true" outlineLevel="0" collapsed="false">
      <c r="A63" s="5" t="n">
        <f aca="false">A62+1</f>
        <v>58</v>
      </c>
      <c r="B63" s="16" t="n">
        <f aca="false">B62+IF(WEEKDAY(B62,2)=6,2,1)</f>
        <v>46090</v>
      </c>
      <c r="C63" s="5" t="n">
        <f aca="false">MONTH(B63)</f>
        <v>3</v>
      </c>
      <c r="D63" s="5" t="n">
        <f aca="false">IF(C63&lt;&gt;C62,1,0)</f>
        <v>0</v>
      </c>
      <c r="E63" s="17" t="n">
        <f aca="false">IF(L62=1,CantPedido,0)</f>
        <v>15</v>
      </c>
      <c r="F63" s="5" t="n">
        <f aca="false">J62+E63</f>
        <v>19</v>
      </c>
      <c r="G63" s="5" t="n">
        <f aca="false">RANDBETWEEN(3,7)</f>
        <v>3</v>
      </c>
      <c r="H63" s="5" t="n">
        <f aca="false">MIN(F63,G63)</f>
        <v>3</v>
      </c>
      <c r="I63" s="5" t="n">
        <f aca="false">G63-H63</f>
        <v>0</v>
      </c>
      <c r="J63" s="5" t="n">
        <f aca="false">F63-H63</f>
        <v>16</v>
      </c>
      <c r="K63" s="5" t="n">
        <f aca="false">IF(I63&gt;0,1,0)</f>
        <v>0</v>
      </c>
      <c r="L63" s="5" t="n">
        <f aca="false">IF(J63&lt;PuntoReorden,1,0)</f>
        <v>0</v>
      </c>
      <c r="M63" s="18" t="n">
        <f aca="false">PrecioVenta*H63</f>
        <v>2040000</v>
      </c>
      <c r="N63" s="18" t="n">
        <f aca="false">CostoUnitario*E63</f>
        <v>9000000</v>
      </c>
      <c r="O63" s="18" t="n">
        <f aca="false">IF(E63&gt;0,CostoPedido,0)</f>
        <v>40000</v>
      </c>
      <c r="P63" s="18" t="n">
        <f aca="false">CostoAlm*(F63+J63)/2</f>
        <v>1400</v>
      </c>
      <c r="Q63" s="18" t="n">
        <f aca="false">CostoFijo*D63</f>
        <v>0</v>
      </c>
      <c r="R63" s="18" t="n">
        <f aca="false">M63-N63-O63-P63-Q63</f>
        <v>-7001400</v>
      </c>
      <c r="W63" s="5" t="n">
        <v>57</v>
      </c>
      <c r="X63" s="21" t="n">
        <v>100955000</v>
      </c>
      <c r="Y63" s="22" t="n">
        <v>0</v>
      </c>
      <c r="Z63" s="22" t="n">
        <v>0</v>
      </c>
    </row>
    <row r="64" customFormat="false" ht="15" hidden="false" customHeight="true" outlineLevel="0" collapsed="false">
      <c r="A64" s="5" t="n">
        <f aca="false">A63+1</f>
        <v>59</v>
      </c>
      <c r="B64" s="16" t="n">
        <f aca="false">B63+IF(WEEKDAY(B63,2)=6,2,1)</f>
        <v>46091</v>
      </c>
      <c r="C64" s="5" t="n">
        <f aca="false">MONTH(B64)</f>
        <v>3</v>
      </c>
      <c r="D64" s="5" t="n">
        <f aca="false">IF(C64&lt;&gt;C63,1,0)</f>
        <v>0</v>
      </c>
      <c r="E64" s="17" t="n">
        <f aca="false">IF(L63=1,CantPedido,0)</f>
        <v>0</v>
      </c>
      <c r="F64" s="5" t="n">
        <f aca="false">J63+E64</f>
        <v>16</v>
      </c>
      <c r="G64" s="5" t="n">
        <f aca="false">RANDBETWEEN(3,7)</f>
        <v>7</v>
      </c>
      <c r="H64" s="5" t="n">
        <f aca="false">MIN(F64,G64)</f>
        <v>7</v>
      </c>
      <c r="I64" s="5" t="n">
        <f aca="false">G64-H64</f>
        <v>0</v>
      </c>
      <c r="J64" s="5" t="n">
        <f aca="false">F64-H64</f>
        <v>9</v>
      </c>
      <c r="K64" s="5" t="n">
        <f aca="false">IF(I64&gt;0,1,0)</f>
        <v>0</v>
      </c>
      <c r="L64" s="5" t="n">
        <f aca="false">IF(J64&lt;PuntoReorden,1,0)</f>
        <v>0</v>
      </c>
      <c r="M64" s="18" t="n">
        <f aca="false">PrecioVenta*H64</f>
        <v>4760000</v>
      </c>
      <c r="N64" s="18" t="n">
        <f aca="false">CostoUnitario*E64</f>
        <v>0</v>
      </c>
      <c r="O64" s="18" t="n">
        <f aca="false">IF(E64&gt;0,CostoPedido,0)</f>
        <v>0</v>
      </c>
      <c r="P64" s="18" t="n">
        <f aca="false">CostoAlm*(F64+J64)/2</f>
        <v>1000</v>
      </c>
      <c r="Q64" s="18" t="n">
        <f aca="false">CostoFijo*D64</f>
        <v>0</v>
      </c>
      <c r="R64" s="18" t="n">
        <f aca="false">M64-N64-O64-P64-Q64</f>
        <v>4759000</v>
      </c>
      <c r="W64" s="5" t="n">
        <v>58</v>
      </c>
      <c r="X64" s="21" t="n">
        <v>101956720</v>
      </c>
      <c r="Y64" s="22" t="n">
        <v>0</v>
      </c>
      <c r="Z64" s="22" t="n">
        <v>0</v>
      </c>
    </row>
    <row r="65" customFormat="false" ht="15" hidden="false" customHeight="true" outlineLevel="0" collapsed="false">
      <c r="A65" s="5" t="n">
        <f aca="false">A64+1</f>
        <v>60</v>
      </c>
      <c r="B65" s="16" t="n">
        <f aca="false">B64+IF(WEEKDAY(B64,2)=6,2,1)</f>
        <v>46092</v>
      </c>
      <c r="C65" s="5" t="n">
        <f aca="false">MONTH(B65)</f>
        <v>3</v>
      </c>
      <c r="D65" s="5" t="n">
        <f aca="false">IF(C65&lt;&gt;C64,1,0)</f>
        <v>0</v>
      </c>
      <c r="E65" s="5" t="n">
        <f aca="false">IF(L64=1,CantPedido,0)</f>
        <v>0</v>
      </c>
      <c r="F65" s="5" t="n">
        <f aca="false">J64+E65</f>
        <v>9</v>
      </c>
      <c r="G65" s="5" t="n">
        <f aca="false">RANDBETWEEN(3,7)</f>
        <v>6</v>
      </c>
      <c r="H65" s="5" t="n">
        <f aca="false">MIN(F65,G65)</f>
        <v>6</v>
      </c>
      <c r="I65" s="5" t="n">
        <f aca="false">G65-H65</f>
        <v>0</v>
      </c>
      <c r="J65" s="5" t="n">
        <f aca="false">F65-H65</f>
        <v>3</v>
      </c>
      <c r="K65" s="5" t="n">
        <f aca="false">IF(I65&gt;0,1,0)</f>
        <v>0</v>
      </c>
      <c r="L65" s="5" t="n">
        <f aca="false">IF(J65&lt;PuntoReorden,1,0)</f>
        <v>1</v>
      </c>
      <c r="M65" s="18" t="n">
        <f aca="false">PrecioVenta*H65</f>
        <v>4080000</v>
      </c>
      <c r="N65" s="18" t="n">
        <f aca="false">CostoUnitario*E65</f>
        <v>0</v>
      </c>
      <c r="O65" s="18" t="n">
        <f aca="false">IF(E65&gt;0,CostoPedido,0)</f>
        <v>0</v>
      </c>
      <c r="P65" s="18" t="n">
        <f aca="false">CostoAlm*(F65+J65)/2</f>
        <v>480</v>
      </c>
      <c r="Q65" s="18" t="n">
        <f aca="false">CostoFijo*D65</f>
        <v>0</v>
      </c>
      <c r="R65" s="18" t="n">
        <f aca="false">M65-N65-O65-P65-Q65</f>
        <v>4079520</v>
      </c>
      <c r="W65" s="5" t="n">
        <v>59</v>
      </c>
      <c r="X65" s="21" t="n">
        <v>106309240</v>
      </c>
      <c r="Y65" s="22" t="n">
        <v>0</v>
      </c>
      <c r="Z65" s="22" t="n">
        <v>0</v>
      </c>
    </row>
    <row r="66" customFormat="false" ht="15" hidden="false" customHeight="true" outlineLevel="0" collapsed="false">
      <c r="A66" s="5" t="n">
        <f aca="false">A65+1</f>
        <v>61</v>
      </c>
      <c r="B66" s="16" t="n">
        <f aca="false">B65+IF(WEEKDAY(B65,2)=6,2,1)</f>
        <v>46093</v>
      </c>
      <c r="C66" s="5" t="n">
        <f aca="false">MONTH(B66)</f>
        <v>3</v>
      </c>
      <c r="D66" s="5" t="n">
        <f aca="false">IF(C66&lt;&gt;C65,1,0)</f>
        <v>0</v>
      </c>
      <c r="E66" s="17" t="n">
        <f aca="false">IF(L65=1,CantPedido,0)</f>
        <v>15</v>
      </c>
      <c r="F66" s="5" t="n">
        <f aca="false">J65+E66</f>
        <v>18</v>
      </c>
      <c r="G66" s="5" t="n">
        <f aca="false">RANDBETWEEN(3,7)</f>
        <v>6</v>
      </c>
      <c r="H66" s="5" t="n">
        <f aca="false">MIN(F66,G66)</f>
        <v>6</v>
      </c>
      <c r="I66" s="5" t="n">
        <f aca="false">G66-H66</f>
        <v>0</v>
      </c>
      <c r="J66" s="5" t="n">
        <f aca="false">F66-H66</f>
        <v>12</v>
      </c>
      <c r="K66" s="5" t="n">
        <f aca="false">IF(I66&gt;0,1,0)</f>
        <v>0</v>
      </c>
      <c r="L66" s="5" t="n">
        <f aca="false">IF(J66&lt;PuntoReorden,1,0)</f>
        <v>0</v>
      </c>
      <c r="M66" s="18" t="n">
        <f aca="false">PrecioVenta*H66</f>
        <v>4080000</v>
      </c>
      <c r="N66" s="18" t="n">
        <f aca="false">CostoUnitario*E66</f>
        <v>9000000</v>
      </c>
      <c r="O66" s="18" t="n">
        <f aca="false">IF(E66&gt;0,CostoPedido,0)</f>
        <v>40000</v>
      </c>
      <c r="P66" s="18" t="n">
        <f aca="false">CostoAlm*(F66+J66)/2</f>
        <v>1200</v>
      </c>
      <c r="Q66" s="18" t="n">
        <f aca="false">CostoFijo*D66</f>
        <v>0</v>
      </c>
      <c r="R66" s="18" t="n">
        <f aca="false">M66-N66-O66-P66-Q66</f>
        <v>-4961200</v>
      </c>
      <c r="W66" s="5" t="n">
        <v>60</v>
      </c>
      <c r="X66" s="21" t="n">
        <v>103795600</v>
      </c>
      <c r="Y66" s="22" t="n">
        <v>0</v>
      </c>
      <c r="Z66" s="22" t="n">
        <v>0</v>
      </c>
    </row>
    <row r="67" customFormat="false" ht="15" hidden="false" customHeight="true" outlineLevel="0" collapsed="false">
      <c r="A67" s="5" t="n">
        <f aca="false">A66+1</f>
        <v>62</v>
      </c>
      <c r="B67" s="16" t="n">
        <f aca="false">B66+IF(WEEKDAY(B66,2)=6,2,1)</f>
        <v>46094</v>
      </c>
      <c r="C67" s="5" t="n">
        <f aca="false">MONTH(B67)</f>
        <v>3</v>
      </c>
      <c r="D67" s="5" t="n">
        <f aca="false">IF(C67&lt;&gt;C66,1,0)</f>
        <v>0</v>
      </c>
      <c r="E67" s="5" t="n">
        <f aca="false">IF(L66=1,CantPedido,0)</f>
        <v>0</v>
      </c>
      <c r="F67" s="5" t="n">
        <f aca="false">J66+E67</f>
        <v>12</v>
      </c>
      <c r="G67" s="5" t="n">
        <f aca="false">RANDBETWEEN(3,7)</f>
        <v>5</v>
      </c>
      <c r="H67" s="5" t="n">
        <f aca="false">MIN(F67,G67)</f>
        <v>5</v>
      </c>
      <c r="I67" s="5" t="n">
        <f aca="false">G67-H67</f>
        <v>0</v>
      </c>
      <c r="J67" s="5" t="n">
        <f aca="false">F67-H67</f>
        <v>7</v>
      </c>
      <c r="K67" s="5" t="n">
        <f aca="false">IF(I67&gt;0,1,0)</f>
        <v>0</v>
      </c>
      <c r="L67" s="5" t="n">
        <f aca="false">IF(J67&lt;PuntoReorden,1,0)</f>
        <v>0</v>
      </c>
      <c r="M67" s="18" t="n">
        <f aca="false">PrecioVenta*H67</f>
        <v>3400000</v>
      </c>
      <c r="N67" s="18" t="n">
        <f aca="false">CostoUnitario*E67</f>
        <v>0</v>
      </c>
      <c r="O67" s="18" t="n">
        <f aca="false">IF(E67&gt;0,CostoPedido,0)</f>
        <v>0</v>
      </c>
      <c r="P67" s="18" t="n">
        <f aca="false">CostoAlm*(F67+J67)/2</f>
        <v>760</v>
      </c>
      <c r="Q67" s="18" t="n">
        <f aca="false">CostoFijo*D67</f>
        <v>0</v>
      </c>
      <c r="R67" s="18" t="n">
        <f aca="false">M67-N67-O67-P67-Q67</f>
        <v>3399240</v>
      </c>
      <c r="W67" s="5" t="n">
        <v>61</v>
      </c>
      <c r="X67" s="21" t="n">
        <v>99596360</v>
      </c>
      <c r="Y67" s="22" t="n">
        <v>0</v>
      </c>
      <c r="Z67" s="22" t="n">
        <v>0</v>
      </c>
    </row>
    <row r="68" customFormat="false" ht="15" hidden="false" customHeight="true" outlineLevel="0" collapsed="false">
      <c r="A68" s="5" t="n">
        <f aca="false">A67+1</f>
        <v>63</v>
      </c>
      <c r="B68" s="16" t="n">
        <f aca="false">B67+IF(WEEKDAY(B67,2)=6,2,1)</f>
        <v>46095</v>
      </c>
      <c r="C68" s="5" t="n">
        <f aca="false">MONTH(B68)</f>
        <v>3</v>
      </c>
      <c r="D68" s="5" t="n">
        <f aca="false">IF(C68&lt;&gt;C67,1,0)</f>
        <v>0</v>
      </c>
      <c r="E68" s="5" t="n">
        <f aca="false">IF(L67=1,CantPedido,0)</f>
        <v>0</v>
      </c>
      <c r="F68" s="5" t="n">
        <f aca="false">J67+E68</f>
        <v>7</v>
      </c>
      <c r="G68" s="5" t="n">
        <f aca="false">RANDBETWEEN(3,7)</f>
        <v>3</v>
      </c>
      <c r="H68" s="5" t="n">
        <f aca="false">MIN(F68,G68)</f>
        <v>3</v>
      </c>
      <c r="I68" s="5" t="n">
        <f aca="false">G68-H68</f>
        <v>0</v>
      </c>
      <c r="J68" s="5" t="n">
        <f aca="false">F68-H68</f>
        <v>4</v>
      </c>
      <c r="K68" s="5" t="n">
        <f aca="false">IF(I68&gt;0,1,0)</f>
        <v>0</v>
      </c>
      <c r="L68" s="5" t="n">
        <f aca="false">IF(J68&lt;PuntoReorden,1,0)</f>
        <v>1</v>
      </c>
      <c r="M68" s="18" t="n">
        <f aca="false">PrecioVenta*H68</f>
        <v>2040000</v>
      </c>
      <c r="N68" s="18" t="n">
        <f aca="false">CostoUnitario*E68</f>
        <v>0</v>
      </c>
      <c r="O68" s="18" t="n">
        <f aca="false">IF(E68&gt;0,CostoPedido,0)</f>
        <v>0</v>
      </c>
      <c r="P68" s="18" t="n">
        <f aca="false">CostoAlm*(F68+J68)/2</f>
        <v>440</v>
      </c>
      <c r="Q68" s="18" t="n">
        <f aca="false">CostoFijo*D68</f>
        <v>0</v>
      </c>
      <c r="R68" s="18" t="n">
        <f aca="false">M68-N68-O68-P68-Q68</f>
        <v>2039560</v>
      </c>
      <c r="W68" s="5" t="n">
        <v>62</v>
      </c>
      <c r="X68" s="21" t="n">
        <v>103307600</v>
      </c>
      <c r="Y68" s="22" t="n">
        <v>0</v>
      </c>
      <c r="Z68" s="22" t="n">
        <v>0</v>
      </c>
    </row>
    <row r="69" customFormat="false" ht="15" hidden="false" customHeight="true" outlineLevel="0" collapsed="false">
      <c r="A69" s="5" t="n">
        <f aca="false">A68+1</f>
        <v>64</v>
      </c>
      <c r="B69" s="16" t="n">
        <f aca="false">B68+IF(WEEKDAY(B68,2)=6,2,1)</f>
        <v>46097</v>
      </c>
      <c r="C69" s="5" t="n">
        <f aca="false">MONTH(B69)</f>
        <v>3</v>
      </c>
      <c r="D69" s="5" t="n">
        <f aca="false">IF(C69&lt;&gt;C68,1,0)</f>
        <v>0</v>
      </c>
      <c r="E69" s="17" t="n">
        <f aca="false">IF(L68=1,CantPedido,0)</f>
        <v>15</v>
      </c>
      <c r="F69" s="5" t="n">
        <f aca="false">J68+E69</f>
        <v>19</v>
      </c>
      <c r="G69" s="5" t="n">
        <f aca="false">RANDBETWEEN(3,7)</f>
        <v>5</v>
      </c>
      <c r="H69" s="5" t="n">
        <f aca="false">MIN(F69,G69)</f>
        <v>5</v>
      </c>
      <c r="I69" s="5" t="n">
        <f aca="false">G69-H69</f>
        <v>0</v>
      </c>
      <c r="J69" s="5" t="n">
        <f aca="false">F69-H69</f>
        <v>14</v>
      </c>
      <c r="K69" s="5" t="n">
        <f aca="false">IF(I69&gt;0,1,0)</f>
        <v>0</v>
      </c>
      <c r="L69" s="5" t="n">
        <f aca="false">IF(J69&lt;PuntoReorden,1,0)</f>
        <v>0</v>
      </c>
      <c r="M69" s="18" t="n">
        <f aca="false">PrecioVenta*H69</f>
        <v>3400000</v>
      </c>
      <c r="N69" s="18" t="n">
        <f aca="false">CostoUnitario*E69</f>
        <v>9000000</v>
      </c>
      <c r="O69" s="18" t="n">
        <f aca="false">IF(E69&gt;0,CostoPedido,0)</f>
        <v>40000</v>
      </c>
      <c r="P69" s="18" t="n">
        <f aca="false">CostoAlm*(F69+J69)/2</f>
        <v>1320</v>
      </c>
      <c r="Q69" s="18" t="n">
        <f aca="false">CostoFijo*D69</f>
        <v>0</v>
      </c>
      <c r="R69" s="18" t="n">
        <f aca="false">M69-N69-O69-P69-Q69</f>
        <v>-5641320</v>
      </c>
      <c r="W69" s="5" t="n">
        <v>63</v>
      </c>
      <c r="X69" s="21" t="n">
        <v>100869320</v>
      </c>
      <c r="Y69" s="22" t="n">
        <v>0</v>
      </c>
      <c r="Z69" s="22" t="n">
        <v>0</v>
      </c>
    </row>
    <row r="70" customFormat="false" ht="15" hidden="false" customHeight="true" outlineLevel="0" collapsed="false">
      <c r="A70" s="5" t="n">
        <f aca="false">A69+1</f>
        <v>65</v>
      </c>
      <c r="B70" s="16" t="n">
        <f aca="false">B69+IF(WEEKDAY(B69,2)=6,2,1)</f>
        <v>46098</v>
      </c>
      <c r="C70" s="5" t="n">
        <f aca="false">MONTH(B70)</f>
        <v>3</v>
      </c>
      <c r="D70" s="5" t="n">
        <f aca="false">IF(C70&lt;&gt;C69,1,0)</f>
        <v>0</v>
      </c>
      <c r="E70" s="5" t="n">
        <f aca="false">IF(L69=1,CantPedido,0)</f>
        <v>0</v>
      </c>
      <c r="F70" s="5" t="n">
        <f aca="false">J69+E70</f>
        <v>14</v>
      </c>
      <c r="G70" s="5" t="n">
        <f aca="false">RANDBETWEEN(3,7)</f>
        <v>4</v>
      </c>
      <c r="H70" s="5" t="n">
        <f aca="false">MIN(F70,G70)</f>
        <v>4</v>
      </c>
      <c r="I70" s="5" t="n">
        <f aca="false">G70-H70</f>
        <v>0</v>
      </c>
      <c r="J70" s="5" t="n">
        <f aca="false">F70-H70</f>
        <v>10</v>
      </c>
      <c r="K70" s="5" t="n">
        <f aca="false">IF(I70&gt;0,1,0)</f>
        <v>0</v>
      </c>
      <c r="L70" s="5" t="n">
        <f aca="false">IF(J70&lt;PuntoReorden,1,0)</f>
        <v>0</v>
      </c>
      <c r="M70" s="18" t="n">
        <f aca="false">PrecioVenta*H70</f>
        <v>2720000</v>
      </c>
      <c r="N70" s="18" t="n">
        <f aca="false">CostoUnitario*E70</f>
        <v>0</v>
      </c>
      <c r="O70" s="18" t="n">
        <f aca="false">IF(E70&gt;0,CostoPedido,0)</f>
        <v>0</v>
      </c>
      <c r="P70" s="18" t="n">
        <f aca="false">CostoAlm*(F70+J70)/2</f>
        <v>960</v>
      </c>
      <c r="Q70" s="18" t="n">
        <f aca="false">CostoFijo*D70</f>
        <v>0</v>
      </c>
      <c r="R70" s="18" t="n">
        <f aca="false">M70-N70-O70-P70-Q70</f>
        <v>2719040</v>
      </c>
      <c r="W70" s="5" t="n">
        <v>64</v>
      </c>
      <c r="X70" s="21" t="n">
        <v>99992520</v>
      </c>
      <c r="Y70" s="22" t="n">
        <v>0</v>
      </c>
      <c r="Z70" s="22" t="n">
        <v>0</v>
      </c>
    </row>
    <row r="71" customFormat="false" ht="15" hidden="false" customHeight="true" outlineLevel="0" collapsed="false">
      <c r="A71" s="5" t="n">
        <f aca="false">A70+1</f>
        <v>66</v>
      </c>
      <c r="B71" s="16" t="n">
        <f aca="false">B70+IF(WEEKDAY(B70,2)=6,2,1)</f>
        <v>46099</v>
      </c>
      <c r="C71" s="5" t="n">
        <f aca="false">MONTH(B71)</f>
        <v>3</v>
      </c>
      <c r="D71" s="5" t="n">
        <f aca="false">IF(C71&lt;&gt;C70,1,0)</f>
        <v>0</v>
      </c>
      <c r="E71" s="5" t="n">
        <f aca="false">IF(L70=1,CantPedido,0)</f>
        <v>0</v>
      </c>
      <c r="F71" s="5" t="n">
        <f aca="false">J70+E71</f>
        <v>10</v>
      </c>
      <c r="G71" s="5" t="n">
        <f aca="false">RANDBETWEEN(3,7)</f>
        <v>7</v>
      </c>
      <c r="H71" s="5" t="n">
        <f aca="false">MIN(F71,G71)</f>
        <v>7</v>
      </c>
      <c r="I71" s="5" t="n">
        <f aca="false">G71-H71</f>
        <v>0</v>
      </c>
      <c r="J71" s="5" t="n">
        <f aca="false">F71-H71</f>
        <v>3</v>
      </c>
      <c r="K71" s="5" t="n">
        <f aca="false">IF(I71&gt;0,1,0)</f>
        <v>0</v>
      </c>
      <c r="L71" s="5" t="n">
        <f aca="false">IF(J71&lt;PuntoReorden,1,0)</f>
        <v>1</v>
      </c>
      <c r="M71" s="18" t="n">
        <f aca="false">PrecioVenta*H71</f>
        <v>4760000</v>
      </c>
      <c r="N71" s="18" t="n">
        <f aca="false">CostoUnitario*E71</f>
        <v>0</v>
      </c>
      <c r="O71" s="18" t="n">
        <f aca="false">IF(E71&gt;0,CostoPedido,0)</f>
        <v>0</v>
      </c>
      <c r="P71" s="18" t="n">
        <f aca="false">CostoAlm*(F71+J71)/2</f>
        <v>520</v>
      </c>
      <c r="Q71" s="18" t="n">
        <f aca="false">CostoFijo*D71</f>
        <v>0</v>
      </c>
      <c r="R71" s="18" t="n">
        <f aca="false">M71-N71-O71-P71-Q71</f>
        <v>4759480</v>
      </c>
      <c r="W71" s="5" t="n">
        <v>65</v>
      </c>
      <c r="X71" s="21" t="n">
        <v>105036840</v>
      </c>
      <c r="Y71" s="22" t="n">
        <v>0</v>
      </c>
      <c r="Z71" s="22" t="n">
        <v>0</v>
      </c>
    </row>
    <row r="72" customFormat="false" ht="15" hidden="false" customHeight="true" outlineLevel="0" collapsed="false">
      <c r="A72" s="5" t="n">
        <f aca="false">A71+1</f>
        <v>67</v>
      </c>
      <c r="B72" s="16" t="n">
        <f aca="false">B71+IF(WEEKDAY(B71,2)=6,2,1)</f>
        <v>46100</v>
      </c>
      <c r="C72" s="5" t="n">
        <f aca="false">MONTH(B72)</f>
        <v>3</v>
      </c>
      <c r="D72" s="5" t="n">
        <f aca="false">IF(C72&lt;&gt;C71,1,0)</f>
        <v>0</v>
      </c>
      <c r="E72" s="17" t="n">
        <f aca="false">IF(L71=1,CantPedido,0)</f>
        <v>15</v>
      </c>
      <c r="F72" s="5" t="n">
        <f aca="false">J71+E72</f>
        <v>18</v>
      </c>
      <c r="G72" s="5" t="n">
        <f aca="false">RANDBETWEEN(3,7)</f>
        <v>6</v>
      </c>
      <c r="H72" s="5" t="n">
        <f aca="false">MIN(F72,G72)</f>
        <v>6</v>
      </c>
      <c r="I72" s="5" t="n">
        <f aca="false">G72-H72</f>
        <v>0</v>
      </c>
      <c r="J72" s="5" t="n">
        <f aca="false">F72-H72</f>
        <v>12</v>
      </c>
      <c r="K72" s="5" t="n">
        <f aca="false">IF(I72&gt;0,1,0)</f>
        <v>0</v>
      </c>
      <c r="L72" s="5" t="n">
        <f aca="false">IF(J72&lt;PuntoReorden,1,0)</f>
        <v>0</v>
      </c>
      <c r="M72" s="18" t="n">
        <f aca="false">PrecioVenta*H72</f>
        <v>4080000</v>
      </c>
      <c r="N72" s="18" t="n">
        <f aca="false">CostoUnitario*E72</f>
        <v>9000000</v>
      </c>
      <c r="O72" s="18" t="n">
        <f aca="false">IF(E72&gt;0,CostoPedido,0)</f>
        <v>40000</v>
      </c>
      <c r="P72" s="18" t="n">
        <f aca="false">CostoAlm*(F72+J72)/2</f>
        <v>1200</v>
      </c>
      <c r="Q72" s="18" t="n">
        <f aca="false">CostoFijo*D72</f>
        <v>0</v>
      </c>
      <c r="R72" s="18" t="n">
        <f aca="false">M72-N72-O72-P72-Q72</f>
        <v>-4961200</v>
      </c>
      <c r="W72" s="5" t="n">
        <v>66</v>
      </c>
      <c r="X72" s="21" t="n">
        <v>103111480</v>
      </c>
      <c r="Y72" s="22" t="n">
        <v>0</v>
      </c>
      <c r="Z72" s="22" t="n">
        <v>0</v>
      </c>
    </row>
    <row r="73" customFormat="false" ht="15" hidden="false" customHeight="true" outlineLevel="0" collapsed="false">
      <c r="A73" s="5" t="n">
        <f aca="false">A72+1</f>
        <v>68</v>
      </c>
      <c r="B73" s="16" t="n">
        <f aca="false">B72+IF(WEEKDAY(B72,2)=6,2,1)</f>
        <v>46101</v>
      </c>
      <c r="C73" s="5" t="n">
        <f aca="false">MONTH(B73)</f>
        <v>3</v>
      </c>
      <c r="D73" s="5" t="n">
        <f aca="false">IF(C73&lt;&gt;C72,1,0)</f>
        <v>0</v>
      </c>
      <c r="E73" s="5" t="n">
        <f aca="false">IF(L72=1,CantPedido,0)</f>
        <v>0</v>
      </c>
      <c r="F73" s="5" t="n">
        <f aca="false">J72+E73</f>
        <v>12</v>
      </c>
      <c r="G73" s="5" t="n">
        <f aca="false">RANDBETWEEN(3,7)</f>
        <v>4</v>
      </c>
      <c r="H73" s="5" t="n">
        <f aca="false">MIN(F73,G73)</f>
        <v>4</v>
      </c>
      <c r="I73" s="5" t="n">
        <f aca="false">G73-H73</f>
        <v>0</v>
      </c>
      <c r="J73" s="5" t="n">
        <f aca="false">F73-H73</f>
        <v>8</v>
      </c>
      <c r="K73" s="5" t="n">
        <f aca="false">IF(I73&gt;0,1,0)</f>
        <v>0</v>
      </c>
      <c r="L73" s="5" t="n">
        <f aca="false">IF(J73&lt;PuntoReorden,1,0)</f>
        <v>0</v>
      </c>
      <c r="M73" s="18" t="n">
        <f aca="false">PrecioVenta*H73</f>
        <v>2720000</v>
      </c>
      <c r="N73" s="18" t="n">
        <f aca="false">CostoUnitario*E73</f>
        <v>0</v>
      </c>
      <c r="O73" s="18" t="n">
        <f aca="false">IF(E73&gt;0,CostoPedido,0)</f>
        <v>0</v>
      </c>
      <c r="P73" s="18" t="n">
        <f aca="false">CostoAlm*(F73+J73)/2</f>
        <v>800</v>
      </c>
      <c r="Q73" s="18" t="n">
        <f aca="false">CostoFijo*D73</f>
        <v>0</v>
      </c>
      <c r="R73" s="18" t="n">
        <f aca="false">M73-N73-O73-P73-Q73</f>
        <v>2719200</v>
      </c>
      <c r="W73" s="5" t="n">
        <v>67</v>
      </c>
      <c r="X73" s="21" t="n">
        <v>100673520</v>
      </c>
      <c r="Y73" s="22" t="n">
        <v>0</v>
      </c>
      <c r="Z73" s="22" t="n">
        <v>0</v>
      </c>
    </row>
    <row r="74" customFormat="false" ht="15" hidden="false" customHeight="true" outlineLevel="0" collapsed="false">
      <c r="A74" s="5" t="n">
        <f aca="false">A73+1</f>
        <v>69</v>
      </c>
      <c r="B74" s="16" t="n">
        <f aca="false">B73+IF(WEEKDAY(B73,2)=6,2,1)</f>
        <v>46102</v>
      </c>
      <c r="C74" s="5" t="n">
        <f aca="false">MONTH(B74)</f>
        <v>3</v>
      </c>
      <c r="D74" s="5" t="n">
        <f aca="false">IF(C74&lt;&gt;C73,1,0)</f>
        <v>0</v>
      </c>
      <c r="E74" s="5" t="n">
        <f aca="false">IF(L73=1,CantPedido,0)</f>
        <v>0</v>
      </c>
      <c r="F74" s="5" t="n">
        <f aca="false">J73+E74</f>
        <v>8</v>
      </c>
      <c r="G74" s="5" t="n">
        <f aca="false">RANDBETWEEN(3,7)</f>
        <v>7</v>
      </c>
      <c r="H74" s="5" t="n">
        <f aca="false">MIN(F74,G74)</f>
        <v>7</v>
      </c>
      <c r="I74" s="5" t="n">
        <f aca="false">G74-H74</f>
        <v>0</v>
      </c>
      <c r="J74" s="5" t="n">
        <f aca="false">F74-H74</f>
        <v>1</v>
      </c>
      <c r="K74" s="5" t="n">
        <f aca="false">IF(I74&gt;0,1,0)</f>
        <v>0</v>
      </c>
      <c r="L74" s="5" t="n">
        <f aca="false">IF(J74&lt;PuntoReorden,1,0)</f>
        <v>1</v>
      </c>
      <c r="M74" s="18" t="n">
        <f aca="false">PrecioVenta*H74</f>
        <v>4760000</v>
      </c>
      <c r="N74" s="18" t="n">
        <f aca="false">CostoUnitario*E74</f>
        <v>0</v>
      </c>
      <c r="O74" s="18" t="n">
        <f aca="false">IF(E74&gt;0,CostoPedido,0)</f>
        <v>0</v>
      </c>
      <c r="P74" s="18" t="n">
        <f aca="false">CostoAlm*(F74+J74)/2</f>
        <v>360</v>
      </c>
      <c r="Q74" s="18" t="n">
        <f aca="false">CostoFijo*D74</f>
        <v>0</v>
      </c>
      <c r="R74" s="18" t="n">
        <f aca="false">M74-N74-O74-P74-Q74</f>
        <v>4759640</v>
      </c>
      <c r="W74" s="5" t="n">
        <v>68</v>
      </c>
      <c r="X74" s="21" t="n">
        <v>105624400</v>
      </c>
      <c r="Y74" s="22" t="n">
        <v>0</v>
      </c>
      <c r="Z74" s="22" t="n">
        <v>0</v>
      </c>
    </row>
    <row r="75" customFormat="false" ht="15" hidden="false" customHeight="true" outlineLevel="0" collapsed="false">
      <c r="A75" s="5" t="n">
        <f aca="false">A74+1</f>
        <v>70</v>
      </c>
      <c r="B75" s="16" t="n">
        <f aca="false">B74+IF(WEEKDAY(B74,2)=6,2,1)</f>
        <v>46104</v>
      </c>
      <c r="C75" s="5" t="n">
        <f aca="false">MONTH(B75)</f>
        <v>3</v>
      </c>
      <c r="D75" s="5" t="n">
        <f aca="false">IF(C75&lt;&gt;C74,1,0)</f>
        <v>0</v>
      </c>
      <c r="E75" s="17" t="n">
        <f aca="false">IF(L74=1,CantPedido,0)</f>
        <v>15</v>
      </c>
      <c r="F75" s="5" t="n">
        <f aca="false">J74+E75</f>
        <v>16</v>
      </c>
      <c r="G75" s="5" t="n">
        <f aca="false">RANDBETWEEN(3,7)</f>
        <v>6</v>
      </c>
      <c r="H75" s="5" t="n">
        <f aca="false">MIN(F75,G75)</f>
        <v>6</v>
      </c>
      <c r="I75" s="5" t="n">
        <f aca="false">G75-H75</f>
        <v>0</v>
      </c>
      <c r="J75" s="5" t="n">
        <f aca="false">F75-H75</f>
        <v>10</v>
      </c>
      <c r="K75" s="5" t="n">
        <f aca="false">IF(I75&gt;0,1,0)</f>
        <v>0</v>
      </c>
      <c r="L75" s="5" t="n">
        <f aca="false">IF(J75&lt;PuntoReorden,1,0)</f>
        <v>0</v>
      </c>
      <c r="M75" s="18" t="n">
        <f aca="false">PrecioVenta*H75</f>
        <v>4080000</v>
      </c>
      <c r="N75" s="18" t="n">
        <f aca="false">CostoUnitario*E75</f>
        <v>9000000</v>
      </c>
      <c r="O75" s="18" t="n">
        <f aca="false">IF(E75&gt;0,CostoPedido,0)</f>
        <v>40000</v>
      </c>
      <c r="P75" s="18" t="n">
        <f aca="false">CostoAlm*(F75+J75)/2</f>
        <v>1040</v>
      </c>
      <c r="Q75" s="18" t="n">
        <f aca="false">CostoFijo*D75</f>
        <v>0</v>
      </c>
      <c r="R75" s="18" t="n">
        <f aca="false">M75-N75-O75-P75-Q75</f>
        <v>-4961040</v>
      </c>
      <c r="W75" s="5" t="n">
        <v>69</v>
      </c>
      <c r="X75" s="21" t="n">
        <v>109305920</v>
      </c>
      <c r="Y75" s="22" t="n">
        <v>0</v>
      </c>
      <c r="Z75" s="22" t="n">
        <v>0</v>
      </c>
    </row>
    <row r="76" customFormat="false" ht="15" hidden="false" customHeight="true" outlineLevel="0" collapsed="false">
      <c r="A76" s="5" t="n">
        <f aca="false">A75+1</f>
        <v>71</v>
      </c>
      <c r="B76" s="16" t="n">
        <f aca="false">B75+IF(WEEKDAY(B75,2)=6,2,1)</f>
        <v>46105</v>
      </c>
      <c r="C76" s="5" t="n">
        <f aca="false">MONTH(B76)</f>
        <v>3</v>
      </c>
      <c r="D76" s="5" t="n">
        <f aca="false">IF(C76&lt;&gt;C75,1,0)</f>
        <v>0</v>
      </c>
      <c r="E76" s="5" t="n">
        <f aca="false">IF(L75=1,CantPedido,0)</f>
        <v>0</v>
      </c>
      <c r="F76" s="5" t="n">
        <f aca="false">J75+E76</f>
        <v>10</v>
      </c>
      <c r="G76" s="5" t="n">
        <f aca="false">RANDBETWEEN(3,7)</f>
        <v>3</v>
      </c>
      <c r="H76" s="5" t="n">
        <f aca="false">MIN(F76,G76)</f>
        <v>3</v>
      </c>
      <c r="I76" s="5" t="n">
        <f aca="false">G76-H76</f>
        <v>0</v>
      </c>
      <c r="J76" s="5" t="n">
        <f aca="false">F76-H76</f>
        <v>7</v>
      </c>
      <c r="K76" s="5" t="n">
        <f aca="false">IF(I76&gt;0,1,0)</f>
        <v>0</v>
      </c>
      <c r="L76" s="5" t="n">
        <f aca="false">IF(J76&lt;PuntoReorden,1,0)</f>
        <v>0</v>
      </c>
      <c r="M76" s="18" t="n">
        <f aca="false">PrecioVenta*H76</f>
        <v>2040000</v>
      </c>
      <c r="N76" s="18" t="n">
        <f aca="false">CostoUnitario*E76</f>
        <v>0</v>
      </c>
      <c r="O76" s="18" t="n">
        <f aca="false">IF(E76&gt;0,CostoPedido,0)</f>
        <v>0</v>
      </c>
      <c r="P76" s="18" t="n">
        <f aca="false">CostoAlm*(F76+J76)/2</f>
        <v>680</v>
      </c>
      <c r="Q76" s="18" t="n">
        <f aca="false">CostoFijo*D76</f>
        <v>0</v>
      </c>
      <c r="R76" s="18" t="n">
        <f aca="false">M76-N76-O76-P76-Q76</f>
        <v>2039320</v>
      </c>
      <c r="W76" s="5" t="n">
        <v>70</v>
      </c>
      <c r="X76" s="21" t="n">
        <v>99991960</v>
      </c>
      <c r="Y76" s="22" t="n">
        <v>0</v>
      </c>
      <c r="Z76" s="22" t="n">
        <v>0</v>
      </c>
    </row>
    <row r="77" customFormat="false" ht="15" hidden="false" customHeight="true" outlineLevel="0" collapsed="false">
      <c r="A77" s="5" t="n">
        <f aca="false">A76+1</f>
        <v>72</v>
      </c>
      <c r="B77" s="16" t="n">
        <f aca="false">B76+IF(WEEKDAY(B76,2)=6,2,1)</f>
        <v>46106</v>
      </c>
      <c r="C77" s="5" t="n">
        <f aca="false">MONTH(B77)</f>
        <v>3</v>
      </c>
      <c r="D77" s="5" t="n">
        <f aca="false">IF(C77&lt;&gt;C76,1,0)</f>
        <v>0</v>
      </c>
      <c r="E77" s="5" t="n">
        <f aca="false">IF(L76=1,CantPedido,0)</f>
        <v>0</v>
      </c>
      <c r="F77" s="5" t="n">
        <f aca="false">J76+E77</f>
        <v>7</v>
      </c>
      <c r="G77" s="5" t="n">
        <f aca="false">RANDBETWEEN(3,7)</f>
        <v>5</v>
      </c>
      <c r="H77" s="5" t="n">
        <f aca="false">MIN(F77,G77)</f>
        <v>5</v>
      </c>
      <c r="I77" s="5" t="n">
        <f aca="false">G77-H77</f>
        <v>0</v>
      </c>
      <c r="J77" s="5" t="n">
        <f aca="false">F77-H77</f>
        <v>2</v>
      </c>
      <c r="K77" s="5" t="n">
        <f aca="false">IF(I77&gt;0,1,0)</f>
        <v>0</v>
      </c>
      <c r="L77" s="5" t="n">
        <f aca="false">IF(J77&lt;PuntoReorden,1,0)</f>
        <v>1</v>
      </c>
      <c r="M77" s="18" t="n">
        <f aca="false">PrecioVenta*H77</f>
        <v>3400000</v>
      </c>
      <c r="N77" s="18" t="n">
        <f aca="false">CostoUnitario*E77</f>
        <v>0</v>
      </c>
      <c r="O77" s="18" t="n">
        <f aca="false">IF(E77&gt;0,CostoPedido,0)</f>
        <v>0</v>
      </c>
      <c r="P77" s="18" t="n">
        <f aca="false">CostoAlm*(F77+J77)/2</f>
        <v>360</v>
      </c>
      <c r="Q77" s="18" t="n">
        <f aca="false">CostoFijo*D77</f>
        <v>0</v>
      </c>
      <c r="R77" s="18" t="n">
        <f aca="false">M77-N77-O77-P77-Q77</f>
        <v>3399640</v>
      </c>
      <c r="W77" s="5" t="n">
        <v>71</v>
      </c>
      <c r="X77" s="21" t="n">
        <v>99709120</v>
      </c>
      <c r="Y77" s="22" t="n">
        <v>0</v>
      </c>
      <c r="Z77" s="22" t="n">
        <v>0</v>
      </c>
    </row>
    <row r="78" customFormat="false" ht="15" hidden="false" customHeight="true" outlineLevel="0" collapsed="false">
      <c r="A78" s="5" t="n">
        <f aca="false">A77+1</f>
        <v>73</v>
      </c>
      <c r="B78" s="16" t="n">
        <f aca="false">B77+IF(WEEKDAY(B77,2)=6,2,1)</f>
        <v>46107</v>
      </c>
      <c r="C78" s="5" t="n">
        <f aca="false">MONTH(B78)</f>
        <v>3</v>
      </c>
      <c r="D78" s="5" t="n">
        <f aca="false">IF(C78&lt;&gt;C77,1,0)</f>
        <v>0</v>
      </c>
      <c r="E78" s="17" t="n">
        <f aca="false">IF(L77=1,CantPedido,0)</f>
        <v>15</v>
      </c>
      <c r="F78" s="5" t="n">
        <f aca="false">J77+E78</f>
        <v>17</v>
      </c>
      <c r="G78" s="5" t="n">
        <f aca="false">RANDBETWEEN(3,7)</f>
        <v>5</v>
      </c>
      <c r="H78" s="5" t="n">
        <f aca="false">MIN(F78,G78)</f>
        <v>5</v>
      </c>
      <c r="I78" s="5" t="n">
        <f aca="false">G78-H78</f>
        <v>0</v>
      </c>
      <c r="J78" s="5" t="n">
        <f aca="false">F78-H78</f>
        <v>12</v>
      </c>
      <c r="K78" s="5" t="n">
        <f aca="false">IF(I78&gt;0,1,0)</f>
        <v>0</v>
      </c>
      <c r="L78" s="5" t="n">
        <f aca="false">IF(J78&lt;PuntoReorden,1,0)</f>
        <v>0</v>
      </c>
      <c r="M78" s="18" t="n">
        <f aca="false">PrecioVenta*H78</f>
        <v>3400000</v>
      </c>
      <c r="N78" s="18" t="n">
        <f aca="false">CostoUnitario*E78</f>
        <v>9000000</v>
      </c>
      <c r="O78" s="18" t="n">
        <f aca="false">IF(E78&gt;0,CostoPedido,0)</f>
        <v>40000</v>
      </c>
      <c r="P78" s="18" t="n">
        <f aca="false">CostoAlm*(F78+J78)/2</f>
        <v>1160</v>
      </c>
      <c r="Q78" s="18" t="n">
        <f aca="false">CostoFijo*D78</f>
        <v>0</v>
      </c>
      <c r="R78" s="18" t="n">
        <f aca="false">M78-N78-O78-P78-Q78</f>
        <v>-5641160</v>
      </c>
      <c r="W78" s="5" t="n">
        <v>72</v>
      </c>
      <c r="X78" s="21" t="n">
        <v>103306960</v>
      </c>
      <c r="Y78" s="22" t="n">
        <v>0</v>
      </c>
      <c r="Z78" s="22" t="n">
        <v>0</v>
      </c>
    </row>
    <row r="79" customFormat="false" ht="15" hidden="false" customHeight="true" outlineLevel="0" collapsed="false">
      <c r="A79" s="5" t="n">
        <f aca="false">A78+1</f>
        <v>74</v>
      </c>
      <c r="B79" s="16" t="n">
        <f aca="false">B78+IF(WEEKDAY(B78,2)=6,2,1)</f>
        <v>46108</v>
      </c>
      <c r="C79" s="5" t="n">
        <f aca="false">MONTH(B79)</f>
        <v>3</v>
      </c>
      <c r="D79" s="5" t="n">
        <f aca="false">IF(C79&lt;&gt;C78,1,0)</f>
        <v>0</v>
      </c>
      <c r="E79" s="5" t="n">
        <f aca="false">IF(L78=1,CantPedido,0)</f>
        <v>0</v>
      </c>
      <c r="F79" s="5" t="n">
        <f aca="false">J78+E79</f>
        <v>12</v>
      </c>
      <c r="G79" s="5" t="n">
        <f aca="false">RANDBETWEEN(3,7)</f>
        <v>7</v>
      </c>
      <c r="H79" s="5" t="n">
        <f aca="false">MIN(F79,G79)</f>
        <v>7</v>
      </c>
      <c r="I79" s="5" t="n">
        <f aca="false">G79-H79</f>
        <v>0</v>
      </c>
      <c r="J79" s="5" t="n">
        <f aca="false">F79-H79</f>
        <v>5</v>
      </c>
      <c r="K79" s="5" t="n">
        <f aca="false">IF(I79&gt;0,1,0)</f>
        <v>0</v>
      </c>
      <c r="L79" s="5" t="n">
        <f aca="false">IF(J79&lt;PuntoReorden,1,0)</f>
        <v>1</v>
      </c>
      <c r="M79" s="18" t="n">
        <f aca="false">PrecioVenta*H79</f>
        <v>4760000</v>
      </c>
      <c r="N79" s="18" t="n">
        <f aca="false">CostoUnitario*E79</f>
        <v>0</v>
      </c>
      <c r="O79" s="18" t="n">
        <f aca="false">IF(E79&gt;0,CostoPedido,0)</f>
        <v>0</v>
      </c>
      <c r="P79" s="18" t="n">
        <f aca="false">CostoAlm*(F79+J79)/2</f>
        <v>680</v>
      </c>
      <c r="Q79" s="18" t="n">
        <f aca="false">CostoFijo*D79</f>
        <v>0</v>
      </c>
      <c r="R79" s="18" t="n">
        <f aca="false">M79-N79-O79-P79-Q79</f>
        <v>4759320</v>
      </c>
      <c r="W79" s="5" t="n">
        <v>73</v>
      </c>
      <c r="X79" s="21" t="n">
        <v>99711920</v>
      </c>
      <c r="Y79" s="22" t="n">
        <v>0</v>
      </c>
      <c r="Z79" s="22" t="n">
        <v>0</v>
      </c>
    </row>
    <row r="80" customFormat="false" ht="15" hidden="false" customHeight="true" outlineLevel="0" collapsed="false">
      <c r="A80" s="5" t="n">
        <f aca="false">A79+1</f>
        <v>75</v>
      </c>
      <c r="B80" s="16" t="n">
        <f aca="false">B79+IF(WEEKDAY(B79,2)=6,2,1)</f>
        <v>46109</v>
      </c>
      <c r="C80" s="5" t="n">
        <f aca="false">MONTH(B80)</f>
        <v>3</v>
      </c>
      <c r="D80" s="5" t="n">
        <f aca="false">IF(C80&lt;&gt;C79,1,0)</f>
        <v>0</v>
      </c>
      <c r="E80" s="17" t="n">
        <f aca="false">IF(L79=1,CantPedido,0)</f>
        <v>15</v>
      </c>
      <c r="F80" s="5" t="n">
        <f aca="false">J79+E80</f>
        <v>20</v>
      </c>
      <c r="G80" s="5" t="n">
        <f aca="false">RANDBETWEEN(3,7)</f>
        <v>4</v>
      </c>
      <c r="H80" s="5" t="n">
        <f aca="false">MIN(F80,G80)</f>
        <v>4</v>
      </c>
      <c r="I80" s="5" t="n">
        <f aca="false">G80-H80</f>
        <v>0</v>
      </c>
      <c r="J80" s="5" t="n">
        <f aca="false">F80-H80</f>
        <v>16</v>
      </c>
      <c r="K80" s="5" t="n">
        <f aca="false">IF(I80&gt;0,1,0)</f>
        <v>0</v>
      </c>
      <c r="L80" s="5" t="n">
        <f aca="false">IF(J80&lt;PuntoReorden,1,0)</f>
        <v>0</v>
      </c>
      <c r="M80" s="18" t="n">
        <f aca="false">PrecioVenta*H80</f>
        <v>2720000</v>
      </c>
      <c r="N80" s="18" t="n">
        <f aca="false">CostoUnitario*E80</f>
        <v>9000000</v>
      </c>
      <c r="O80" s="18" t="n">
        <f aca="false">IF(E80&gt;0,CostoPedido,0)</f>
        <v>40000</v>
      </c>
      <c r="P80" s="18" t="n">
        <f aca="false">CostoAlm*(F80+J80)/2</f>
        <v>1440</v>
      </c>
      <c r="Q80" s="18" t="n">
        <f aca="false">CostoFijo*D80</f>
        <v>0</v>
      </c>
      <c r="R80" s="18" t="n">
        <f aca="false">M80-N80-O80-P80-Q80</f>
        <v>-6321440</v>
      </c>
      <c r="W80" s="5" t="n">
        <v>74</v>
      </c>
      <c r="X80" s="21" t="n">
        <v>102914960</v>
      </c>
      <c r="Y80" s="22" t="n">
        <v>0</v>
      </c>
      <c r="Z80" s="22" t="n">
        <v>0</v>
      </c>
    </row>
    <row r="81" customFormat="false" ht="15" hidden="false" customHeight="true" outlineLevel="0" collapsed="false">
      <c r="A81" s="5" t="n">
        <f aca="false">A80+1</f>
        <v>76</v>
      </c>
      <c r="B81" s="16" t="n">
        <f aca="false">B80+IF(WEEKDAY(B80,2)=6,2,1)</f>
        <v>46111</v>
      </c>
      <c r="C81" s="5" t="n">
        <f aca="false">MONTH(B81)</f>
        <v>3</v>
      </c>
      <c r="D81" s="5" t="n">
        <f aca="false">IF(C81&lt;&gt;C80,1,0)</f>
        <v>0</v>
      </c>
      <c r="E81" s="17" t="n">
        <f aca="false">IF(L80=1,CantPedido,0)</f>
        <v>0</v>
      </c>
      <c r="F81" s="5" t="n">
        <f aca="false">J80+E81</f>
        <v>16</v>
      </c>
      <c r="G81" s="5" t="n">
        <f aca="false">RANDBETWEEN(3,7)</f>
        <v>7</v>
      </c>
      <c r="H81" s="5" t="n">
        <f aca="false">MIN(F81,G81)</f>
        <v>7</v>
      </c>
      <c r="I81" s="5" t="n">
        <f aca="false">G81-H81</f>
        <v>0</v>
      </c>
      <c r="J81" s="5" t="n">
        <f aca="false">F81-H81</f>
        <v>9</v>
      </c>
      <c r="K81" s="5" t="n">
        <f aca="false">IF(I81&gt;0,1,0)</f>
        <v>0</v>
      </c>
      <c r="L81" s="5" t="n">
        <f aca="false">IF(J81&lt;PuntoReorden,1,0)</f>
        <v>0</v>
      </c>
      <c r="M81" s="18" t="n">
        <f aca="false">PrecioVenta*H81</f>
        <v>4760000</v>
      </c>
      <c r="N81" s="18" t="n">
        <f aca="false">CostoUnitario*E81</f>
        <v>0</v>
      </c>
      <c r="O81" s="18" t="n">
        <f aca="false">IF(E81&gt;0,CostoPedido,0)</f>
        <v>0</v>
      </c>
      <c r="P81" s="18" t="n">
        <f aca="false">CostoAlm*(F81+J81)/2</f>
        <v>1000</v>
      </c>
      <c r="Q81" s="18" t="n">
        <f aca="false">CostoFijo*D81</f>
        <v>0</v>
      </c>
      <c r="R81" s="18" t="n">
        <f aca="false">M81-N81-O81-P81-Q81</f>
        <v>4759000</v>
      </c>
      <c r="W81" s="5" t="n">
        <v>75</v>
      </c>
      <c r="X81" s="21" t="n">
        <v>101752760</v>
      </c>
      <c r="Y81" s="22" t="n">
        <v>0</v>
      </c>
      <c r="Z81" s="22" t="n">
        <v>0</v>
      </c>
    </row>
    <row r="82" customFormat="false" ht="15" hidden="false" customHeight="true" outlineLevel="0" collapsed="false">
      <c r="A82" s="5" t="n">
        <f aca="false">A81+1</f>
        <v>77</v>
      </c>
      <c r="B82" s="16" t="n">
        <f aca="false">B81+IF(WEEKDAY(B81,2)=6,2,1)</f>
        <v>46112</v>
      </c>
      <c r="C82" s="5" t="n">
        <f aca="false">MONTH(B82)</f>
        <v>3</v>
      </c>
      <c r="D82" s="5" t="n">
        <f aca="false">IF(C82&lt;&gt;C81,1,0)</f>
        <v>0</v>
      </c>
      <c r="E82" s="5" t="n">
        <f aca="false">IF(L81=1,CantPedido,0)</f>
        <v>0</v>
      </c>
      <c r="F82" s="5" t="n">
        <f aca="false">J81+E82</f>
        <v>9</v>
      </c>
      <c r="G82" s="5" t="n">
        <f aca="false">RANDBETWEEN(3,7)</f>
        <v>3</v>
      </c>
      <c r="H82" s="5" t="n">
        <f aca="false">MIN(F82,G82)</f>
        <v>3</v>
      </c>
      <c r="I82" s="5" t="n">
        <f aca="false">G82-H82</f>
        <v>0</v>
      </c>
      <c r="J82" s="5" t="n">
        <f aca="false">F82-H82</f>
        <v>6</v>
      </c>
      <c r="K82" s="5" t="n">
        <f aca="false">IF(I82&gt;0,1,0)</f>
        <v>0</v>
      </c>
      <c r="L82" s="5" t="n">
        <f aca="false">IF(J82&lt;PuntoReorden,1,0)</f>
        <v>1</v>
      </c>
      <c r="M82" s="18" t="n">
        <f aca="false">PrecioVenta*H82</f>
        <v>2040000</v>
      </c>
      <c r="N82" s="18" t="n">
        <f aca="false">CostoUnitario*E82</f>
        <v>0</v>
      </c>
      <c r="O82" s="18" t="n">
        <f aca="false">IF(E82&gt;0,CostoPedido,0)</f>
        <v>0</v>
      </c>
      <c r="P82" s="18" t="n">
        <f aca="false">CostoAlm*(F82+J82)/2</f>
        <v>600</v>
      </c>
      <c r="Q82" s="18" t="n">
        <f aca="false">CostoFijo*D82</f>
        <v>0</v>
      </c>
      <c r="R82" s="18" t="n">
        <f aca="false">M82-N82-O82-P82-Q82</f>
        <v>2039400</v>
      </c>
      <c r="W82" s="5" t="n">
        <v>76</v>
      </c>
      <c r="X82" s="21" t="n">
        <v>100472280</v>
      </c>
      <c r="Y82" s="22" t="n">
        <v>0</v>
      </c>
      <c r="Z82" s="22" t="n">
        <v>0</v>
      </c>
    </row>
    <row r="83" customFormat="false" ht="15" hidden="false" customHeight="true" outlineLevel="0" collapsed="false">
      <c r="A83" s="5" t="n">
        <f aca="false">A82+1</f>
        <v>78</v>
      </c>
      <c r="B83" s="16" t="n">
        <f aca="false">B82+IF(WEEKDAY(B82,2)=6,2,1)</f>
        <v>46113</v>
      </c>
      <c r="C83" s="5" t="n">
        <f aca="false">MONTH(B83)</f>
        <v>4</v>
      </c>
      <c r="D83" s="5" t="n">
        <f aca="false">IF(C83&lt;&gt;C82,1,0)</f>
        <v>1</v>
      </c>
      <c r="E83" s="17" t="n">
        <f aca="false">IF(L82=1,CantPedido,0)</f>
        <v>15</v>
      </c>
      <c r="F83" s="5" t="n">
        <f aca="false">J82+E83</f>
        <v>21</v>
      </c>
      <c r="G83" s="5" t="n">
        <f aca="false">RANDBETWEEN(3,7)</f>
        <v>3</v>
      </c>
      <c r="H83" s="5" t="n">
        <f aca="false">MIN(F83,G83)</f>
        <v>3</v>
      </c>
      <c r="I83" s="5" t="n">
        <f aca="false">G83-H83</f>
        <v>0</v>
      </c>
      <c r="J83" s="5" t="n">
        <f aca="false">F83-H83</f>
        <v>18</v>
      </c>
      <c r="K83" s="5" t="n">
        <f aca="false">IF(I83&gt;0,1,0)</f>
        <v>0</v>
      </c>
      <c r="L83" s="5" t="n">
        <f aca="false">IF(J83&lt;PuntoReorden,1,0)</f>
        <v>0</v>
      </c>
      <c r="M83" s="18" t="n">
        <f aca="false">PrecioVenta*H83</f>
        <v>2040000</v>
      </c>
      <c r="N83" s="18" t="n">
        <f aca="false">CostoUnitario*E83</f>
        <v>9000000</v>
      </c>
      <c r="O83" s="18" t="n">
        <f aca="false">IF(E83&gt;0,CostoPedido,0)</f>
        <v>40000</v>
      </c>
      <c r="P83" s="18" t="n">
        <f aca="false">CostoAlm*(F83+J83)/2</f>
        <v>1560</v>
      </c>
      <c r="Q83" s="18" t="n">
        <f aca="false">CostoFijo*D83</f>
        <v>1000000</v>
      </c>
      <c r="R83" s="18" t="n">
        <f aca="false">M83-N83-O83-P83-Q83</f>
        <v>-8001560</v>
      </c>
      <c r="W83" s="5" t="n">
        <v>77</v>
      </c>
      <c r="X83" s="21" t="n">
        <v>100750720</v>
      </c>
      <c r="Y83" s="22" t="n">
        <v>0</v>
      </c>
      <c r="Z83" s="22" t="n">
        <v>0</v>
      </c>
    </row>
    <row r="84" customFormat="false" ht="15" hidden="false" customHeight="true" outlineLevel="0" collapsed="false">
      <c r="A84" s="5" t="n">
        <f aca="false">A83+1</f>
        <v>79</v>
      </c>
      <c r="B84" s="16" t="n">
        <f aca="false">B83+IF(WEEKDAY(B83,2)=6,2,1)</f>
        <v>46114</v>
      </c>
      <c r="C84" s="5" t="n">
        <f aca="false">MONTH(B84)</f>
        <v>4</v>
      </c>
      <c r="D84" s="5" t="n">
        <f aca="false">IF(C84&lt;&gt;C83,1,0)</f>
        <v>0</v>
      </c>
      <c r="E84" s="17" t="n">
        <f aca="false">IF(L83=1,CantPedido,0)</f>
        <v>0</v>
      </c>
      <c r="F84" s="5" t="n">
        <f aca="false">J83+E84</f>
        <v>18</v>
      </c>
      <c r="G84" s="5" t="n">
        <f aca="false">RANDBETWEEN(3,7)</f>
        <v>3</v>
      </c>
      <c r="H84" s="5" t="n">
        <f aca="false">MIN(F84,G84)</f>
        <v>3</v>
      </c>
      <c r="I84" s="5" t="n">
        <f aca="false">G84-H84</f>
        <v>0</v>
      </c>
      <c r="J84" s="5" t="n">
        <f aca="false">F84-H84</f>
        <v>15</v>
      </c>
      <c r="K84" s="5" t="n">
        <f aca="false">IF(I84&gt;0,1,0)</f>
        <v>0</v>
      </c>
      <c r="L84" s="5" t="n">
        <f aca="false">IF(J84&lt;PuntoReorden,1,0)</f>
        <v>0</v>
      </c>
      <c r="M84" s="18" t="n">
        <f aca="false">PrecioVenta*H84</f>
        <v>2040000</v>
      </c>
      <c r="N84" s="18" t="n">
        <f aca="false">CostoUnitario*E84</f>
        <v>0</v>
      </c>
      <c r="O84" s="18" t="n">
        <f aca="false">IF(E84&gt;0,CostoPedido,0)</f>
        <v>0</v>
      </c>
      <c r="P84" s="18" t="n">
        <f aca="false">CostoAlm*(F84+J84)/2</f>
        <v>1320</v>
      </c>
      <c r="Q84" s="18" t="n">
        <f aca="false">CostoFijo*D84</f>
        <v>0</v>
      </c>
      <c r="R84" s="18" t="n">
        <f aca="false">M84-N84-O84-P84-Q84</f>
        <v>2038680</v>
      </c>
      <c r="W84" s="5" t="n">
        <v>78</v>
      </c>
      <c r="X84" s="21" t="n">
        <v>103787200</v>
      </c>
      <c r="Y84" s="22" t="n">
        <v>0</v>
      </c>
      <c r="Z84" s="22" t="n">
        <v>0</v>
      </c>
    </row>
    <row r="85" customFormat="false" ht="15" hidden="false" customHeight="true" outlineLevel="0" collapsed="false">
      <c r="A85" s="5" t="n">
        <f aca="false">A84+1</f>
        <v>80</v>
      </c>
      <c r="B85" s="16" t="n">
        <f aca="false">B84+IF(WEEKDAY(B84,2)=6,2,1)</f>
        <v>46115</v>
      </c>
      <c r="C85" s="5" t="n">
        <f aca="false">MONTH(B85)</f>
        <v>4</v>
      </c>
      <c r="D85" s="5" t="n">
        <f aca="false">IF(C85&lt;&gt;C84,1,0)</f>
        <v>0</v>
      </c>
      <c r="E85" s="5" t="n">
        <f aca="false">IF(L84=1,CantPedido,0)</f>
        <v>0</v>
      </c>
      <c r="F85" s="5" t="n">
        <f aca="false">J84+E85</f>
        <v>15</v>
      </c>
      <c r="G85" s="5" t="n">
        <f aca="false">RANDBETWEEN(3,7)</f>
        <v>7</v>
      </c>
      <c r="H85" s="5" t="n">
        <f aca="false">MIN(F85,G85)</f>
        <v>7</v>
      </c>
      <c r="I85" s="5" t="n">
        <f aca="false">G85-H85</f>
        <v>0</v>
      </c>
      <c r="J85" s="5" t="n">
        <f aca="false">F85-H85</f>
        <v>8</v>
      </c>
      <c r="K85" s="5" t="n">
        <f aca="false">IF(I85&gt;0,1,0)</f>
        <v>0</v>
      </c>
      <c r="L85" s="5" t="n">
        <f aca="false">IF(J85&lt;PuntoReorden,1,0)</f>
        <v>0</v>
      </c>
      <c r="M85" s="18" t="n">
        <f aca="false">PrecioVenta*H85</f>
        <v>4760000</v>
      </c>
      <c r="N85" s="18" t="n">
        <f aca="false">CostoUnitario*E85</f>
        <v>0</v>
      </c>
      <c r="O85" s="18" t="n">
        <f aca="false">IF(E85&gt;0,CostoPedido,0)</f>
        <v>0</v>
      </c>
      <c r="P85" s="18" t="n">
        <f aca="false">CostoAlm*(F85+J85)/2</f>
        <v>920</v>
      </c>
      <c r="Q85" s="18" t="n">
        <f aca="false">CostoFijo*D85</f>
        <v>0</v>
      </c>
      <c r="R85" s="18" t="n">
        <f aca="false">M85-N85-O85-P85-Q85</f>
        <v>4759080</v>
      </c>
      <c r="W85" s="5" t="n">
        <v>79</v>
      </c>
      <c r="X85" s="21" t="n">
        <v>102986080</v>
      </c>
      <c r="Y85" s="22" t="n">
        <v>0</v>
      </c>
      <c r="Z85" s="22" t="n">
        <v>0</v>
      </c>
    </row>
    <row r="86" customFormat="false" ht="15" hidden="false" customHeight="true" outlineLevel="0" collapsed="false">
      <c r="A86" s="5" t="n">
        <f aca="false">A85+1</f>
        <v>81</v>
      </c>
      <c r="B86" s="16" t="n">
        <f aca="false">B85+IF(WEEKDAY(B85,2)=6,2,1)</f>
        <v>46116</v>
      </c>
      <c r="C86" s="5" t="n">
        <f aca="false">MONTH(B86)</f>
        <v>4</v>
      </c>
      <c r="D86" s="5" t="n">
        <f aca="false">IF(C86&lt;&gt;C85,1,0)</f>
        <v>0</v>
      </c>
      <c r="E86" s="5" t="n">
        <f aca="false">IF(L85=1,CantPedido,0)</f>
        <v>0</v>
      </c>
      <c r="F86" s="5" t="n">
        <f aca="false">J85+E86</f>
        <v>8</v>
      </c>
      <c r="G86" s="5" t="n">
        <f aca="false">RANDBETWEEN(3,7)</f>
        <v>5</v>
      </c>
      <c r="H86" s="5" t="n">
        <f aca="false">MIN(F86,G86)</f>
        <v>5</v>
      </c>
      <c r="I86" s="5" t="n">
        <f aca="false">G86-H86</f>
        <v>0</v>
      </c>
      <c r="J86" s="5" t="n">
        <f aca="false">F86-H86</f>
        <v>3</v>
      </c>
      <c r="K86" s="5" t="n">
        <f aca="false">IF(I86&gt;0,1,0)</f>
        <v>0</v>
      </c>
      <c r="L86" s="5" t="n">
        <f aca="false">IF(J86&lt;PuntoReorden,1,0)</f>
        <v>1</v>
      </c>
      <c r="M86" s="18" t="n">
        <f aca="false">PrecioVenta*H86</f>
        <v>3400000</v>
      </c>
      <c r="N86" s="18" t="n">
        <f aca="false">CostoUnitario*E86</f>
        <v>0</v>
      </c>
      <c r="O86" s="18" t="n">
        <f aca="false">IF(E86&gt;0,CostoPedido,0)</f>
        <v>0</v>
      </c>
      <c r="P86" s="18" t="n">
        <f aca="false">CostoAlm*(F86+J86)/2</f>
        <v>440</v>
      </c>
      <c r="Q86" s="18" t="n">
        <f aca="false">CostoFijo*D86</f>
        <v>0</v>
      </c>
      <c r="R86" s="18" t="n">
        <f aca="false">M86-N86-O86-P86-Q86</f>
        <v>3399560</v>
      </c>
      <c r="W86" s="5" t="n">
        <v>80</v>
      </c>
      <c r="X86" s="21" t="n">
        <v>103590040</v>
      </c>
      <c r="Y86" s="22" t="n">
        <v>0</v>
      </c>
      <c r="Z86" s="22" t="n">
        <v>0</v>
      </c>
    </row>
    <row r="87" customFormat="false" ht="15" hidden="false" customHeight="true" outlineLevel="0" collapsed="false">
      <c r="A87" s="5" t="n">
        <f aca="false">A86+1</f>
        <v>82</v>
      </c>
      <c r="B87" s="16" t="n">
        <f aca="false">B86+IF(WEEKDAY(B86,2)=6,2,1)</f>
        <v>46118</v>
      </c>
      <c r="C87" s="5" t="n">
        <f aca="false">MONTH(B87)</f>
        <v>4</v>
      </c>
      <c r="D87" s="5" t="n">
        <f aca="false">IF(C87&lt;&gt;C86,1,0)</f>
        <v>0</v>
      </c>
      <c r="E87" s="17" t="n">
        <f aca="false">IF(L86=1,CantPedido,0)</f>
        <v>15</v>
      </c>
      <c r="F87" s="5" t="n">
        <f aca="false">J86+E87</f>
        <v>18</v>
      </c>
      <c r="G87" s="5" t="n">
        <f aca="false">RANDBETWEEN(3,7)</f>
        <v>4</v>
      </c>
      <c r="H87" s="5" t="n">
        <f aca="false">MIN(F87,G87)</f>
        <v>4</v>
      </c>
      <c r="I87" s="5" t="n">
        <f aca="false">G87-H87</f>
        <v>0</v>
      </c>
      <c r="J87" s="5" t="n">
        <f aca="false">F87-H87</f>
        <v>14</v>
      </c>
      <c r="K87" s="5" t="n">
        <f aca="false">IF(I87&gt;0,1,0)</f>
        <v>0</v>
      </c>
      <c r="L87" s="5" t="n">
        <f aca="false">IF(J87&lt;PuntoReorden,1,0)</f>
        <v>0</v>
      </c>
      <c r="M87" s="18" t="n">
        <f aca="false">PrecioVenta*H87</f>
        <v>2720000</v>
      </c>
      <c r="N87" s="18" t="n">
        <f aca="false">CostoUnitario*E87</f>
        <v>9000000</v>
      </c>
      <c r="O87" s="18" t="n">
        <f aca="false">IF(E87&gt;0,CostoPedido,0)</f>
        <v>40000</v>
      </c>
      <c r="P87" s="18" t="n">
        <f aca="false">CostoAlm*(F87+J87)/2</f>
        <v>1280</v>
      </c>
      <c r="Q87" s="18" t="n">
        <f aca="false">CostoFijo*D87</f>
        <v>0</v>
      </c>
      <c r="R87" s="18" t="n">
        <f aca="false">M87-N87-O87-P87-Q87</f>
        <v>-6321280</v>
      </c>
      <c r="W87" s="5" t="n">
        <v>81</v>
      </c>
      <c r="X87" s="21" t="n">
        <v>101948480</v>
      </c>
      <c r="Y87" s="22" t="n">
        <v>0</v>
      </c>
      <c r="Z87" s="22" t="n">
        <v>0</v>
      </c>
    </row>
    <row r="88" customFormat="false" ht="15" hidden="false" customHeight="true" outlineLevel="0" collapsed="false">
      <c r="A88" s="5" t="n">
        <f aca="false">A87+1</f>
        <v>83</v>
      </c>
      <c r="B88" s="16" t="n">
        <f aca="false">B87+IF(WEEKDAY(B87,2)=6,2,1)</f>
        <v>46119</v>
      </c>
      <c r="C88" s="5" t="n">
        <f aca="false">MONTH(B88)</f>
        <v>4</v>
      </c>
      <c r="D88" s="5" t="n">
        <f aca="false">IF(C88&lt;&gt;C87,1,0)</f>
        <v>0</v>
      </c>
      <c r="E88" s="5" t="n">
        <f aca="false">IF(L87=1,CantPedido,0)</f>
        <v>0</v>
      </c>
      <c r="F88" s="5" t="n">
        <f aca="false">J87+E88</f>
        <v>14</v>
      </c>
      <c r="G88" s="5" t="n">
        <f aca="false">RANDBETWEEN(3,7)</f>
        <v>4</v>
      </c>
      <c r="H88" s="5" t="n">
        <f aca="false">MIN(F88,G88)</f>
        <v>4</v>
      </c>
      <c r="I88" s="5" t="n">
        <f aca="false">G88-H88</f>
        <v>0</v>
      </c>
      <c r="J88" s="5" t="n">
        <f aca="false">F88-H88</f>
        <v>10</v>
      </c>
      <c r="K88" s="5" t="n">
        <f aca="false">IF(I88&gt;0,1,0)</f>
        <v>0</v>
      </c>
      <c r="L88" s="5" t="n">
        <f aca="false">IF(J88&lt;PuntoReorden,1,0)</f>
        <v>0</v>
      </c>
      <c r="M88" s="18" t="n">
        <f aca="false">PrecioVenta*H88</f>
        <v>2720000</v>
      </c>
      <c r="N88" s="18" t="n">
        <f aca="false">CostoUnitario*E88</f>
        <v>0</v>
      </c>
      <c r="O88" s="18" t="n">
        <f aca="false">IF(E88&gt;0,CostoPedido,0)</f>
        <v>0</v>
      </c>
      <c r="P88" s="18" t="n">
        <f aca="false">CostoAlm*(F88+J88)/2</f>
        <v>960</v>
      </c>
      <c r="Q88" s="18" t="n">
        <f aca="false">CostoFijo*D88</f>
        <v>0</v>
      </c>
      <c r="R88" s="18" t="n">
        <f aca="false">M88-N88-O88-P88-Q88</f>
        <v>2719040</v>
      </c>
      <c r="W88" s="5" t="n">
        <v>82</v>
      </c>
      <c r="X88" s="21" t="n">
        <v>99110760</v>
      </c>
      <c r="Y88" s="22" t="n">
        <v>0</v>
      </c>
      <c r="Z88" s="22" t="n">
        <v>0</v>
      </c>
    </row>
    <row r="89" customFormat="false" ht="15" hidden="false" customHeight="true" outlineLevel="0" collapsed="false">
      <c r="A89" s="5" t="n">
        <f aca="false">A88+1</f>
        <v>84</v>
      </c>
      <c r="B89" s="16" t="n">
        <f aca="false">B88+IF(WEEKDAY(B88,2)=6,2,1)</f>
        <v>46120</v>
      </c>
      <c r="C89" s="5" t="n">
        <f aca="false">MONTH(B89)</f>
        <v>4</v>
      </c>
      <c r="D89" s="5" t="n">
        <f aca="false">IF(C89&lt;&gt;C88,1,0)</f>
        <v>0</v>
      </c>
      <c r="E89" s="5" t="n">
        <f aca="false">IF(L88=1,CantPedido,0)</f>
        <v>0</v>
      </c>
      <c r="F89" s="5" t="n">
        <f aca="false">J88+E89</f>
        <v>10</v>
      </c>
      <c r="G89" s="5" t="n">
        <f aca="false">RANDBETWEEN(3,7)</f>
        <v>4</v>
      </c>
      <c r="H89" s="5" t="n">
        <f aca="false">MIN(F89,G89)</f>
        <v>4</v>
      </c>
      <c r="I89" s="5" t="n">
        <f aca="false">G89-H89</f>
        <v>0</v>
      </c>
      <c r="J89" s="5" t="n">
        <f aca="false">F89-H89</f>
        <v>6</v>
      </c>
      <c r="K89" s="5" t="n">
        <f aca="false">IF(I89&gt;0,1,0)</f>
        <v>0</v>
      </c>
      <c r="L89" s="5" t="n">
        <f aca="false">IF(J89&lt;PuntoReorden,1,0)</f>
        <v>1</v>
      </c>
      <c r="M89" s="18" t="n">
        <f aca="false">PrecioVenta*H89</f>
        <v>2720000</v>
      </c>
      <c r="N89" s="18" t="n">
        <f aca="false">CostoUnitario*E89</f>
        <v>0</v>
      </c>
      <c r="O89" s="18" t="n">
        <f aca="false">IF(E89&gt;0,CostoPedido,0)</f>
        <v>0</v>
      </c>
      <c r="P89" s="18" t="n">
        <f aca="false">CostoAlm*(F89+J89)/2</f>
        <v>640</v>
      </c>
      <c r="Q89" s="18" t="n">
        <f aca="false">CostoFijo*D89</f>
        <v>0</v>
      </c>
      <c r="R89" s="18" t="n">
        <f aca="false">M89-N89-O89-P89-Q89</f>
        <v>2719360</v>
      </c>
      <c r="W89" s="5" t="n">
        <v>83</v>
      </c>
      <c r="X89" s="21" t="n">
        <v>102995200</v>
      </c>
      <c r="Y89" s="22" t="n">
        <v>0</v>
      </c>
      <c r="Z89" s="22" t="n">
        <v>0</v>
      </c>
    </row>
    <row r="90" customFormat="false" ht="15" hidden="false" customHeight="true" outlineLevel="0" collapsed="false">
      <c r="A90" s="5" t="n">
        <f aca="false">A89+1</f>
        <v>85</v>
      </c>
      <c r="B90" s="16" t="n">
        <f aca="false">B89+IF(WEEKDAY(B89,2)=6,2,1)</f>
        <v>46121</v>
      </c>
      <c r="C90" s="5" t="n">
        <f aca="false">MONTH(B90)</f>
        <v>4</v>
      </c>
      <c r="D90" s="5" t="n">
        <f aca="false">IF(C90&lt;&gt;C89,1,0)</f>
        <v>0</v>
      </c>
      <c r="E90" s="17" t="n">
        <f aca="false">IF(L89=1,CantPedido,0)</f>
        <v>15</v>
      </c>
      <c r="F90" s="5" t="n">
        <f aca="false">J89+E90</f>
        <v>21</v>
      </c>
      <c r="G90" s="5" t="n">
        <f aca="false">RANDBETWEEN(3,7)</f>
        <v>4</v>
      </c>
      <c r="H90" s="5" t="n">
        <f aca="false">MIN(F90,G90)</f>
        <v>4</v>
      </c>
      <c r="I90" s="5" t="n">
        <f aca="false">G90-H90</f>
        <v>0</v>
      </c>
      <c r="J90" s="5" t="n">
        <f aca="false">F90-H90</f>
        <v>17</v>
      </c>
      <c r="K90" s="5" t="n">
        <f aca="false">IF(I90&gt;0,1,0)</f>
        <v>0</v>
      </c>
      <c r="L90" s="5" t="n">
        <f aca="false">IF(J90&lt;PuntoReorden,1,0)</f>
        <v>0</v>
      </c>
      <c r="M90" s="18" t="n">
        <f aca="false">PrecioVenta*H90</f>
        <v>2720000</v>
      </c>
      <c r="N90" s="18" t="n">
        <f aca="false">CostoUnitario*E90</f>
        <v>9000000</v>
      </c>
      <c r="O90" s="18" t="n">
        <f aca="false">IF(E90&gt;0,CostoPedido,0)</f>
        <v>40000</v>
      </c>
      <c r="P90" s="18" t="n">
        <f aca="false">CostoAlm*(F90+J90)/2</f>
        <v>1520</v>
      </c>
      <c r="Q90" s="18" t="n">
        <f aca="false">CostoFijo*D90</f>
        <v>0</v>
      </c>
      <c r="R90" s="18" t="n">
        <f aca="false">M90-N90-O90-P90-Q90</f>
        <v>-6321520</v>
      </c>
      <c r="W90" s="5" t="n">
        <v>84</v>
      </c>
      <c r="X90" s="21" t="n">
        <v>102630440</v>
      </c>
      <c r="Y90" s="22" t="n">
        <v>0</v>
      </c>
      <c r="Z90" s="22" t="n">
        <v>0</v>
      </c>
    </row>
    <row r="91" customFormat="false" ht="15" hidden="false" customHeight="true" outlineLevel="0" collapsed="false">
      <c r="A91" s="5" t="n">
        <f aca="false">A90+1</f>
        <v>86</v>
      </c>
      <c r="B91" s="16" t="n">
        <f aca="false">B90+IF(WEEKDAY(B90,2)=6,2,1)</f>
        <v>46122</v>
      </c>
      <c r="C91" s="5" t="n">
        <f aca="false">MONTH(B91)</f>
        <v>4</v>
      </c>
      <c r="D91" s="5" t="n">
        <f aca="false">IF(C91&lt;&gt;C90,1,0)</f>
        <v>0</v>
      </c>
      <c r="E91" s="17" t="n">
        <f aca="false">IF(L90=1,CantPedido,0)</f>
        <v>0</v>
      </c>
      <c r="F91" s="5" t="n">
        <f aca="false">J90+E91</f>
        <v>17</v>
      </c>
      <c r="G91" s="5" t="n">
        <f aca="false">RANDBETWEEN(3,7)</f>
        <v>4</v>
      </c>
      <c r="H91" s="5" t="n">
        <f aca="false">MIN(F91,G91)</f>
        <v>4</v>
      </c>
      <c r="I91" s="5" t="n">
        <f aca="false">G91-H91</f>
        <v>0</v>
      </c>
      <c r="J91" s="5" t="n">
        <f aca="false">F91-H91</f>
        <v>13</v>
      </c>
      <c r="K91" s="5" t="n">
        <f aca="false">IF(I91&gt;0,1,0)</f>
        <v>0</v>
      </c>
      <c r="L91" s="5" t="n">
        <f aca="false">IF(J91&lt;PuntoReorden,1,0)</f>
        <v>0</v>
      </c>
      <c r="M91" s="18" t="n">
        <f aca="false">PrecioVenta*H91</f>
        <v>2720000</v>
      </c>
      <c r="N91" s="18" t="n">
        <f aca="false">CostoUnitario*E91</f>
        <v>0</v>
      </c>
      <c r="O91" s="18" t="n">
        <f aca="false">IF(E91&gt;0,CostoPedido,0)</f>
        <v>0</v>
      </c>
      <c r="P91" s="18" t="n">
        <f aca="false">CostoAlm*(F91+J91)/2</f>
        <v>1200</v>
      </c>
      <c r="Q91" s="18" t="n">
        <f aca="false">CostoFijo*D91</f>
        <v>0</v>
      </c>
      <c r="R91" s="18" t="n">
        <f aca="false">M91-N91-O91-P91-Q91</f>
        <v>2718800</v>
      </c>
      <c r="W91" s="5" t="n">
        <v>85</v>
      </c>
      <c r="X91" s="21" t="n">
        <v>102713240</v>
      </c>
      <c r="Y91" s="22" t="n">
        <v>0</v>
      </c>
      <c r="Z91" s="22" t="n">
        <v>0</v>
      </c>
    </row>
    <row r="92" customFormat="false" ht="15" hidden="false" customHeight="true" outlineLevel="0" collapsed="false">
      <c r="A92" s="5" t="n">
        <f aca="false">A91+1</f>
        <v>87</v>
      </c>
      <c r="B92" s="16" t="n">
        <f aca="false">B91+IF(WEEKDAY(B91,2)=6,2,1)</f>
        <v>46123</v>
      </c>
      <c r="C92" s="5" t="n">
        <f aca="false">MONTH(B92)</f>
        <v>4</v>
      </c>
      <c r="D92" s="5" t="n">
        <f aca="false">IF(C92&lt;&gt;C91,1,0)</f>
        <v>0</v>
      </c>
      <c r="E92" s="5" t="n">
        <f aca="false">IF(L91=1,CantPedido,0)</f>
        <v>0</v>
      </c>
      <c r="F92" s="5" t="n">
        <f aca="false">J91+E92</f>
        <v>13</v>
      </c>
      <c r="G92" s="5" t="n">
        <f aca="false">RANDBETWEEN(3,7)</f>
        <v>4</v>
      </c>
      <c r="H92" s="5" t="n">
        <f aca="false">MIN(F92,G92)</f>
        <v>4</v>
      </c>
      <c r="I92" s="5" t="n">
        <f aca="false">G92-H92</f>
        <v>0</v>
      </c>
      <c r="J92" s="5" t="n">
        <f aca="false">F92-H92</f>
        <v>9</v>
      </c>
      <c r="K92" s="5" t="n">
        <f aca="false">IF(I92&gt;0,1,0)</f>
        <v>0</v>
      </c>
      <c r="L92" s="5" t="n">
        <f aca="false">IF(J92&lt;PuntoReorden,1,0)</f>
        <v>0</v>
      </c>
      <c r="M92" s="18" t="n">
        <f aca="false">PrecioVenta*H92</f>
        <v>2720000</v>
      </c>
      <c r="N92" s="18" t="n">
        <f aca="false">CostoUnitario*E92</f>
        <v>0</v>
      </c>
      <c r="O92" s="18" t="n">
        <f aca="false">IF(E92&gt;0,CostoPedido,0)</f>
        <v>0</v>
      </c>
      <c r="P92" s="18" t="n">
        <f aca="false">CostoAlm*(F92+J92)/2</f>
        <v>880</v>
      </c>
      <c r="Q92" s="18" t="n">
        <f aca="false">CostoFijo*D92</f>
        <v>0</v>
      </c>
      <c r="R92" s="18" t="n">
        <f aca="false">M92-N92-O92-P92-Q92</f>
        <v>2719120</v>
      </c>
      <c r="W92" s="5" t="n">
        <v>86</v>
      </c>
      <c r="X92" s="21" t="n">
        <v>99239760</v>
      </c>
      <c r="Y92" s="22" t="n">
        <v>0</v>
      </c>
      <c r="Z92" s="22" t="n">
        <v>0</v>
      </c>
    </row>
    <row r="93" customFormat="false" ht="15" hidden="false" customHeight="true" outlineLevel="0" collapsed="false">
      <c r="A93" s="5" t="n">
        <f aca="false">A92+1</f>
        <v>88</v>
      </c>
      <c r="B93" s="16" t="n">
        <f aca="false">B92+IF(WEEKDAY(B92,2)=6,2,1)</f>
        <v>46125</v>
      </c>
      <c r="C93" s="5" t="n">
        <f aca="false">MONTH(B93)</f>
        <v>4</v>
      </c>
      <c r="D93" s="5" t="n">
        <f aca="false">IF(C93&lt;&gt;C92,1,0)</f>
        <v>0</v>
      </c>
      <c r="E93" s="5" t="n">
        <f aca="false">IF(L92=1,CantPedido,0)</f>
        <v>0</v>
      </c>
      <c r="F93" s="5" t="n">
        <f aca="false">J92+E93</f>
        <v>9</v>
      </c>
      <c r="G93" s="5" t="n">
        <f aca="false">RANDBETWEEN(3,7)</f>
        <v>7</v>
      </c>
      <c r="H93" s="5" t="n">
        <f aca="false">MIN(F93,G93)</f>
        <v>7</v>
      </c>
      <c r="I93" s="5" t="n">
        <f aca="false">G93-H93</f>
        <v>0</v>
      </c>
      <c r="J93" s="5" t="n">
        <f aca="false">F93-H93</f>
        <v>2</v>
      </c>
      <c r="K93" s="5" t="n">
        <f aca="false">IF(I93&gt;0,1,0)</f>
        <v>0</v>
      </c>
      <c r="L93" s="5" t="n">
        <f aca="false">IF(J93&lt;PuntoReorden,1,0)</f>
        <v>1</v>
      </c>
      <c r="M93" s="18" t="n">
        <f aca="false">PrecioVenta*H93</f>
        <v>4760000</v>
      </c>
      <c r="N93" s="18" t="n">
        <f aca="false">CostoUnitario*E93</f>
        <v>0</v>
      </c>
      <c r="O93" s="18" t="n">
        <f aca="false">IF(E93&gt;0,CostoPedido,0)</f>
        <v>0</v>
      </c>
      <c r="P93" s="18" t="n">
        <f aca="false">CostoAlm*(F93+J93)/2</f>
        <v>440</v>
      </c>
      <c r="Q93" s="18" t="n">
        <f aca="false">CostoFijo*D93</f>
        <v>0</v>
      </c>
      <c r="R93" s="18" t="n">
        <f aca="false">M93-N93-O93-P93-Q93</f>
        <v>4759560</v>
      </c>
      <c r="W93" s="5" t="n">
        <v>87</v>
      </c>
      <c r="X93" s="21" t="n">
        <v>106987280</v>
      </c>
      <c r="Y93" s="22" t="n">
        <v>0</v>
      </c>
      <c r="Z93" s="22" t="n">
        <v>0</v>
      </c>
    </row>
    <row r="94" customFormat="false" ht="15" hidden="false" customHeight="true" outlineLevel="0" collapsed="false">
      <c r="A94" s="5" t="n">
        <f aca="false">A93+1</f>
        <v>89</v>
      </c>
      <c r="B94" s="16" t="n">
        <f aca="false">B93+IF(WEEKDAY(B93,2)=6,2,1)</f>
        <v>46126</v>
      </c>
      <c r="C94" s="5" t="n">
        <f aca="false">MONTH(B94)</f>
        <v>4</v>
      </c>
      <c r="D94" s="5" t="n">
        <f aca="false">IF(C94&lt;&gt;C93,1,0)</f>
        <v>0</v>
      </c>
      <c r="E94" s="17" t="n">
        <f aca="false">IF(L93=1,CantPedido,0)</f>
        <v>15</v>
      </c>
      <c r="F94" s="5" t="n">
        <f aca="false">J93+E94</f>
        <v>17</v>
      </c>
      <c r="G94" s="5" t="n">
        <f aca="false">RANDBETWEEN(3,7)</f>
        <v>4</v>
      </c>
      <c r="H94" s="5" t="n">
        <f aca="false">MIN(F94,G94)</f>
        <v>4</v>
      </c>
      <c r="I94" s="5" t="n">
        <f aca="false">G94-H94</f>
        <v>0</v>
      </c>
      <c r="J94" s="5" t="n">
        <f aca="false">F94-H94</f>
        <v>13</v>
      </c>
      <c r="K94" s="5" t="n">
        <f aca="false">IF(I94&gt;0,1,0)</f>
        <v>0</v>
      </c>
      <c r="L94" s="5" t="n">
        <f aca="false">IF(J94&lt;PuntoReorden,1,0)</f>
        <v>0</v>
      </c>
      <c r="M94" s="18" t="n">
        <f aca="false">PrecioVenta*H94</f>
        <v>2720000</v>
      </c>
      <c r="N94" s="18" t="n">
        <f aca="false">CostoUnitario*E94</f>
        <v>9000000</v>
      </c>
      <c r="O94" s="18" t="n">
        <f aca="false">IF(E94&gt;0,CostoPedido,0)</f>
        <v>40000</v>
      </c>
      <c r="P94" s="18" t="n">
        <f aca="false">CostoAlm*(F94+J94)/2</f>
        <v>1200</v>
      </c>
      <c r="Q94" s="18" t="n">
        <f aca="false">CostoFijo*D94</f>
        <v>0</v>
      </c>
      <c r="R94" s="18" t="n">
        <f aca="false">M94-N94-O94-P94-Q94</f>
        <v>-6321200</v>
      </c>
      <c r="W94" s="5" t="n">
        <v>88</v>
      </c>
      <c r="X94" s="21" t="n">
        <v>107277160</v>
      </c>
      <c r="Y94" s="22" t="n">
        <v>0</v>
      </c>
      <c r="Z94" s="22" t="n">
        <v>0</v>
      </c>
    </row>
    <row r="95" customFormat="false" ht="15" hidden="false" customHeight="true" outlineLevel="0" collapsed="false">
      <c r="A95" s="5" t="n">
        <f aca="false">A94+1</f>
        <v>90</v>
      </c>
      <c r="B95" s="16" t="n">
        <f aca="false">B94+IF(WEEKDAY(B94,2)=6,2,1)</f>
        <v>46127</v>
      </c>
      <c r="C95" s="5" t="n">
        <f aca="false">MONTH(B95)</f>
        <v>4</v>
      </c>
      <c r="D95" s="5" t="n">
        <f aca="false">IF(C95&lt;&gt;C94,1,0)</f>
        <v>0</v>
      </c>
      <c r="E95" s="5" t="n">
        <f aca="false">IF(L94=1,CantPedido,0)</f>
        <v>0</v>
      </c>
      <c r="F95" s="5" t="n">
        <f aca="false">J94+E95</f>
        <v>13</v>
      </c>
      <c r="G95" s="5" t="n">
        <f aca="false">RANDBETWEEN(3,7)</f>
        <v>4</v>
      </c>
      <c r="H95" s="5" t="n">
        <f aca="false">MIN(F95,G95)</f>
        <v>4</v>
      </c>
      <c r="I95" s="5" t="n">
        <f aca="false">G95-H95</f>
        <v>0</v>
      </c>
      <c r="J95" s="5" t="n">
        <f aca="false">F95-H95</f>
        <v>9</v>
      </c>
      <c r="K95" s="5" t="n">
        <f aca="false">IF(I95&gt;0,1,0)</f>
        <v>0</v>
      </c>
      <c r="L95" s="5" t="n">
        <f aca="false">IF(J95&lt;PuntoReorden,1,0)</f>
        <v>0</v>
      </c>
      <c r="M95" s="18" t="n">
        <f aca="false">PrecioVenta*H95</f>
        <v>2720000</v>
      </c>
      <c r="N95" s="18" t="n">
        <f aca="false">CostoUnitario*E95</f>
        <v>0</v>
      </c>
      <c r="O95" s="18" t="n">
        <f aca="false">IF(E95&gt;0,CostoPedido,0)</f>
        <v>0</v>
      </c>
      <c r="P95" s="18" t="n">
        <f aca="false">CostoAlm*(F95+J95)/2</f>
        <v>880</v>
      </c>
      <c r="Q95" s="18" t="n">
        <f aca="false">CostoFijo*D95</f>
        <v>0</v>
      </c>
      <c r="R95" s="18" t="n">
        <f aca="false">M95-N95-O95-P95-Q95</f>
        <v>2719120</v>
      </c>
      <c r="W95" s="5" t="n">
        <v>89</v>
      </c>
      <c r="X95" s="21" t="n">
        <v>101354760</v>
      </c>
      <c r="Y95" s="22" t="n">
        <v>0</v>
      </c>
      <c r="Z95" s="22" t="n">
        <v>0</v>
      </c>
    </row>
    <row r="96" customFormat="false" ht="15" hidden="false" customHeight="true" outlineLevel="0" collapsed="false">
      <c r="A96" s="5" t="n">
        <f aca="false">A95+1</f>
        <v>91</v>
      </c>
      <c r="B96" s="16" t="n">
        <f aca="false">B95+IF(WEEKDAY(B95,2)=6,2,1)</f>
        <v>46128</v>
      </c>
      <c r="C96" s="5" t="n">
        <f aca="false">MONTH(B96)</f>
        <v>4</v>
      </c>
      <c r="D96" s="5" t="n">
        <f aca="false">IF(C96&lt;&gt;C95,1,0)</f>
        <v>0</v>
      </c>
      <c r="E96" s="5" t="n">
        <f aca="false">IF(L95=1,CantPedido,0)</f>
        <v>0</v>
      </c>
      <c r="F96" s="5" t="n">
        <f aca="false">J95+E96</f>
        <v>9</v>
      </c>
      <c r="G96" s="5" t="n">
        <f aca="false">RANDBETWEEN(3,7)</f>
        <v>6</v>
      </c>
      <c r="H96" s="5" t="n">
        <f aca="false">MIN(F96,G96)</f>
        <v>6</v>
      </c>
      <c r="I96" s="5" t="n">
        <f aca="false">G96-H96</f>
        <v>0</v>
      </c>
      <c r="J96" s="5" t="n">
        <f aca="false">F96-H96</f>
        <v>3</v>
      </c>
      <c r="K96" s="5" t="n">
        <f aca="false">IF(I96&gt;0,1,0)</f>
        <v>0</v>
      </c>
      <c r="L96" s="5" t="n">
        <f aca="false">IF(J96&lt;PuntoReorden,1,0)</f>
        <v>1</v>
      </c>
      <c r="M96" s="18" t="n">
        <f aca="false">PrecioVenta*H96</f>
        <v>4080000</v>
      </c>
      <c r="N96" s="18" t="n">
        <f aca="false">CostoUnitario*E96</f>
        <v>0</v>
      </c>
      <c r="O96" s="18" t="n">
        <f aca="false">IF(E96&gt;0,CostoPedido,0)</f>
        <v>0</v>
      </c>
      <c r="P96" s="18" t="n">
        <f aca="false">CostoAlm*(F96+J96)/2</f>
        <v>480</v>
      </c>
      <c r="Q96" s="18" t="n">
        <f aca="false">CostoFijo*D96</f>
        <v>0</v>
      </c>
      <c r="R96" s="18" t="n">
        <f aca="false">M96-N96-O96-P96-Q96</f>
        <v>4079520</v>
      </c>
      <c r="W96" s="5" t="n">
        <v>90</v>
      </c>
      <c r="X96" s="21" t="n">
        <v>106592960</v>
      </c>
      <c r="Y96" s="22" t="n">
        <v>0</v>
      </c>
      <c r="Z96" s="22" t="n">
        <v>0</v>
      </c>
    </row>
    <row r="97" customFormat="false" ht="15" hidden="false" customHeight="true" outlineLevel="0" collapsed="false">
      <c r="A97" s="5" t="n">
        <f aca="false">A96+1</f>
        <v>92</v>
      </c>
      <c r="B97" s="16" t="n">
        <f aca="false">B96+IF(WEEKDAY(B96,2)=6,2,1)</f>
        <v>46129</v>
      </c>
      <c r="C97" s="5" t="n">
        <f aca="false">MONTH(B97)</f>
        <v>4</v>
      </c>
      <c r="D97" s="5" t="n">
        <f aca="false">IF(C97&lt;&gt;C96,1,0)</f>
        <v>0</v>
      </c>
      <c r="E97" s="17" t="n">
        <f aca="false">IF(L96=1,CantPedido,0)</f>
        <v>15</v>
      </c>
      <c r="F97" s="5" t="n">
        <f aca="false">J96+E97</f>
        <v>18</v>
      </c>
      <c r="G97" s="5" t="n">
        <f aca="false">RANDBETWEEN(3,7)</f>
        <v>6</v>
      </c>
      <c r="H97" s="5" t="n">
        <f aca="false">MIN(F97,G97)</f>
        <v>6</v>
      </c>
      <c r="I97" s="5" t="n">
        <f aca="false">G97-H97</f>
        <v>0</v>
      </c>
      <c r="J97" s="5" t="n">
        <f aca="false">F97-H97</f>
        <v>12</v>
      </c>
      <c r="K97" s="5" t="n">
        <f aca="false">IF(I97&gt;0,1,0)</f>
        <v>0</v>
      </c>
      <c r="L97" s="5" t="n">
        <f aca="false">IF(J97&lt;PuntoReorden,1,0)</f>
        <v>0</v>
      </c>
      <c r="M97" s="18" t="n">
        <f aca="false">PrecioVenta*H97</f>
        <v>4080000</v>
      </c>
      <c r="N97" s="18" t="n">
        <f aca="false">CostoUnitario*E97</f>
        <v>9000000</v>
      </c>
      <c r="O97" s="18" t="n">
        <f aca="false">IF(E97&gt;0,CostoPedido,0)</f>
        <v>40000</v>
      </c>
      <c r="P97" s="18" t="n">
        <f aca="false">CostoAlm*(F97+J97)/2</f>
        <v>1200</v>
      </c>
      <c r="Q97" s="18" t="n">
        <f aca="false">CostoFijo*D97</f>
        <v>0</v>
      </c>
      <c r="R97" s="18" t="n">
        <f aca="false">M97-N97-O97-P97-Q97</f>
        <v>-4961200</v>
      </c>
      <c r="W97" s="5" t="n">
        <v>91</v>
      </c>
      <c r="X97" s="21" t="n">
        <v>104952040</v>
      </c>
      <c r="Y97" s="22" t="n">
        <v>0</v>
      </c>
      <c r="Z97" s="22" t="n">
        <v>0</v>
      </c>
    </row>
    <row r="98" customFormat="false" ht="15" hidden="false" customHeight="true" outlineLevel="0" collapsed="false">
      <c r="A98" s="5" t="n">
        <f aca="false">A97+1</f>
        <v>93</v>
      </c>
      <c r="B98" s="16" t="n">
        <f aca="false">B97+IF(WEEKDAY(B97,2)=6,2,1)</f>
        <v>46130</v>
      </c>
      <c r="C98" s="5" t="n">
        <f aca="false">MONTH(B98)</f>
        <v>4</v>
      </c>
      <c r="D98" s="5" t="n">
        <f aca="false">IF(C98&lt;&gt;C97,1,0)</f>
        <v>0</v>
      </c>
      <c r="E98" s="5" t="n">
        <f aca="false">IF(L97=1,CantPedido,0)</f>
        <v>0</v>
      </c>
      <c r="F98" s="5" t="n">
        <f aca="false">J97+E98</f>
        <v>12</v>
      </c>
      <c r="G98" s="5" t="n">
        <f aca="false">RANDBETWEEN(3,7)</f>
        <v>5</v>
      </c>
      <c r="H98" s="5" t="n">
        <f aca="false">MIN(F98,G98)</f>
        <v>5</v>
      </c>
      <c r="I98" s="5" t="n">
        <f aca="false">G98-H98</f>
        <v>0</v>
      </c>
      <c r="J98" s="5" t="n">
        <f aca="false">F98-H98</f>
        <v>7</v>
      </c>
      <c r="K98" s="5" t="n">
        <f aca="false">IF(I98&gt;0,1,0)</f>
        <v>0</v>
      </c>
      <c r="L98" s="5" t="n">
        <f aca="false">IF(J98&lt;PuntoReorden,1,0)</f>
        <v>0</v>
      </c>
      <c r="M98" s="18" t="n">
        <f aca="false">PrecioVenta*H98</f>
        <v>3400000</v>
      </c>
      <c r="N98" s="18" t="n">
        <f aca="false">CostoUnitario*E98</f>
        <v>0</v>
      </c>
      <c r="O98" s="18" t="n">
        <f aca="false">IF(E98&gt;0,CostoPedido,0)</f>
        <v>0</v>
      </c>
      <c r="P98" s="18" t="n">
        <f aca="false">CostoAlm*(F98+J98)/2</f>
        <v>760</v>
      </c>
      <c r="Q98" s="18" t="n">
        <f aca="false">CostoFijo*D98</f>
        <v>0</v>
      </c>
      <c r="R98" s="18" t="n">
        <f aca="false">M98-N98-O98-P98-Q98</f>
        <v>3399240</v>
      </c>
      <c r="W98" s="5" t="n">
        <v>92</v>
      </c>
      <c r="X98" s="21" t="n">
        <v>106112960</v>
      </c>
      <c r="Y98" s="22" t="n">
        <v>0</v>
      </c>
      <c r="Z98" s="22" t="n">
        <v>0</v>
      </c>
    </row>
    <row r="99" customFormat="false" ht="15" hidden="false" customHeight="true" outlineLevel="0" collapsed="false">
      <c r="A99" s="5" t="n">
        <f aca="false">A98+1</f>
        <v>94</v>
      </c>
      <c r="B99" s="16" t="n">
        <f aca="false">B98+IF(WEEKDAY(B98,2)=6,2,1)</f>
        <v>46132</v>
      </c>
      <c r="C99" s="5" t="n">
        <f aca="false">MONTH(B99)</f>
        <v>4</v>
      </c>
      <c r="D99" s="5" t="n">
        <f aca="false">IF(C99&lt;&gt;C98,1,0)</f>
        <v>0</v>
      </c>
      <c r="E99" s="5" t="n">
        <f aca="false">IF(L98=1,CantPedido,0)</f>
        <v>0</v>
      </c>
      <c r="F99" s="5" t="n">
        <f aca="false">J98+E99</f>
        <v>7</v>
      </c>
      <c r="G99" s="5" t="n">
        <f aca="false">RANDBETWEEN(3,7)</f>
        <v>5</v>
      </c>
      <c r="H99" s="5" t="n">
        <f aca="false">MIN(F99,G99)</f>
        <v>5</v>
      </c>
      <c r="I99" s="5" t="n">
        <f aca="false">G99-H99</f>
        <v>0</v>
      </c>
      <c r="J99" s="5" t="n">
        <f aca="false">F99-H99</f>
        <v>2</v>
      </c>
      <c r="K99" s="5" t="n">
        <f aca="false">IF(I99&gt;0,1,0)</f>
        <v>0</v>
      </c>
      <c r="L99" s="5" t="n">
        <f aca="false">IF(J99&lt;PuntoReorden,1,0)</f>
        <v>1</v>
      </c>
      <c r="M99" s="18" t="n">
        <f aca="false">PrecioVenta*H99</f>
        <v>3400000</v>
      </c>
      <c r="N99" s="18" t="n">
        <f aca="false">CostoUnitario*E99</f>
        <v>0</v>
      </c>
      <c r="O99" s="18" t="n">
        <f aca="false">IF(E99&gt;0,CostoPedido,0)</f>
        <v>0</v>
      </c>
      <c r="P99" s="18" t="n">
        <f aca="false">CostoAlm*(F99+J99)/2</f>
        <v>360</v>
      </c>
      <c r="Q99" s="18" t="n">
        <f aca="false">CostoFijo*D99</f>
        <v>0</v>
      </c>
      <c r="R99" s="18" t="n">
        <f aca="false">M99-N99-O99-P99-Q99</f>
        <v>3399640</v>
      </c>
      <c r="W99" s="5" t="n">
        <v>93</v>
      </c>
      <c r="X99" s="21" t="n">
        <v>107474400</v>
      </c>
      <c r="Y99" s="22" t="n">
        <v>0</v>
      </c>
      <c r="Z99" s="22" t="n">
        <v>0</v>
      </c>
    </row>
    <row r="100" customFormat="false" ht="15" hidden="false" customHeight="true" outlineLevel="0" collapsed="false">
      <c r="A100" s="5" t="n">
        <f aca="false">A99+1</f>
        <v>95</v>
      </c>
      <c r="B100" s="16" t="n">
        <f aca="false">B99+IF(WEEKDAY(B99,2)=6,2,1)</f>
        <v>46133</v>
      </c>
      <c r="C100" s="5" t="n">
        <f aca="false">MONTH(B100)</f>
        <v>4</v>
      </c>
      <c r="D100" s="5" t="n">
        <f aca="false">IF(C100&lt;&gt;C99,1,0)</f>
        <v>0</v>
      </c>
      <c r="E100" s="17" t="n">
        <f aca="false">IF(L99=1,CantPedido,0)</f>
        <v>15</v>
      </c>
      <c r="F100" s="5" t="n">
        <f aca="false">J99+E100</f>
        <v>17</v>
      </c>
      <c r="G100" s="5" t="n">
        <f aca="false">RANDBETWEEN(3,7)</f>
        <v>4</v>
      </c>
      <c r="H100" s="5" t="n">
        <f aca="false">MIN(F100,G100)</f>
        <v>4</v>
      </c>
      <c r="I100" s="5" t="n">
        <f aca="false">G100-H100</f>
        <v>0</v>
      </c>
      <c r="J100" s="5" t="n">
        <f aca="false">F100-H100</f>
        <v>13</v>
      </c>
      <c r="K100" s="5" t="n">
        <f aca="false">IF(I100&gt;0,1,0)</f>
        <v>0</v>
      </c>
      <c r="L100" s="5" t="n">
        <f aca="false">IF(J100&lt;PuntoReorden,1,0)</f>
        <v>0</v>
      </c>
      <c r="M100" s="18" t="n">
        <f aca="false">PrecioVenta*H100</f>
        <v>2720000</v>
      </c>
      <c r="N100" s="18" t="n">
        <f aca="false">CostoUnitario*E100</f>
        <v>9000000</v>
      </c>
      <c r="O100" s="18" t="n">
        <f aca="false">IF(E100&gt;0,CostoPedido,0)</f>
        <v>40000</v>
      </c>
      <c r="P100" s="18" t="n">
        <f aca="false">CostoAlm*(F100+J100)/2</f>
        <v>1200</v>
      </c>
      <c r="Q100" s="18" t="n">
        <f aca="false">CostoFijo*D100</f>
        <v>0</v>
      </c>
      <c r="R100" s="18" t="n">
        <f aca="false">M100-N100-O100-P100-Q100</f>
        <v>-6321200</v>
      </c>
      <c r="W100" s="5" t="n">
        <v>94</v>
      </c>
      <c r="X100" s="21" t="n">
        <v>104950440</v>
      </c>
      <c r="Y100" s="22" t="n">
        <v>0</v>
      </c>
      <c r="Z100" s="22" t="n">
        <v>0</v>
      </c>
    </row>
    <row r="101" customFormat="false" ht="15" hidden="false" customHeight="true" outlineLevel="0" collapsed="false">
      <c r="A101" s="5" t="n">
        <f aca="false">A100+1</f>
        <v>96</v>
      </c>
      <c r="B101" s="16" t="n">
        <f aca="false">B100+IF(WEEKDAY(B100,2)=6,2,1)</f>
        <v>46134</v>
      </c>
      <c r="C101" s="5" t="n">
        <f aca="false">MONTH(B101)</f>
        <v>4</v>
      </c>
      <c r="D101" s="5" t="n">
        <f aca="false">IF(C101&lt;&gt;C100,1,0)</f>
        <v>0</v>
      </c>
      <c r="E101" s="5" t="n">
        <f aca="false">IF(L100=1,CantPedido,0)</f>
        <v>0</v>
      </c>
      <c r="F101" s="5" t="n">
        <f aca="false">J100+E101</f>
        <v>13</v>
      </c>
      <c r="G101" s="5" t="n">
        <f aca="false">RANDBETWEEN(3,7)</f>
        <v>5</v>
      </c>
      <c r="H101" s="5" t="n">
        <f aca="false">MIN(F101,G101)</f>
        <v>5</v>
      </c>
      <c r="I101" s="5" t="n">
        <f aca="false">G101-H101</f>
        <v>0</v>
      </c>
      <c r="J101" s="5" t="n">
        <f aca="false">F101-H101</f>
        <v>8</v>
      </c>
      <c r="K101" s="5" t="n">
        <f aca="false">IF(I101&gt;0,1,0)</f>
        <v>0</v>
      </c>
      <c r="L101" s="5" t="n">
        <f aca="false">IF(J101&lt;PuntoReorden,1,0)</f>
        <v>0</v>
      </c>
      <c r="M101" s="18" t="n">
        <f aca="false">PrecioVenta*H101</f>
        <v>3400000</v>
      </c>
      <c r="N101" s="18" t="n">
        <f aca="false">CostoUnitario*E101</f>
        <v>0</v>
      </c>
      <c r="O101" s="18" t="n">
        <f aca="false">IF(E101&gt;0,CostoPedido,0)</f>
        <v>0</v>
      </c>
      <c r="P101" s="18" t="n">
        <f aca="false">CostoAlm*(F101+J101)/2</f>
        <v>840</v>
      </c>
      <c r="Q101" s="18" t="n">
        <f aca="false">CostoFijo*D101</f>
        <v>0</v>
      </c>
      <c r="R101" s="18" t="n">
        <f aca="false">M101-N101-O101-P101-Q101</f>
        <v>3399160</v>
      </c>
      <c r="W101" s="5" t="n">
        <v>95</v>
      </c>
      <c r="X101" s="21" t="n">
        <v>101830680</v>
      </c>
      <c r="Y101" s="22" t="n">
        <v>0</v>
      </c>
      <c r="Z101" s="22" t="n">
        <v>0</v>
      </c>
    </row>
    <row r="102" customFormat="false" ht="15" hidden="false" customHeight="true" outlineLevel="0" collapsed="false">
      <c r="A102" s="5" t="n">
        <f aca="false">A101+1</f>
        <v>97</v>
      </c>
      <c r="B102" s="16" t="n">
        <f aca="false">B101+IF(WEEKDAY(B101,2)=6,2,1)</f>
        <v>46135</v>
      </c>
      <c r="C102" s="5" t="n">
        <f aca="false">MONTH(B102)</f>
        <v>4</v>
      </c>
      <c r="D102" s="5" t="n">
        <f aca="false">IF(C102&lt;&gt;C101,1,0)</f>
        <v>0</v>
      </c>
      <c r="E102" s="17" t="n">
        <f aca="false">IF(L101=1,CantPedido,0)</f>
        <v>0</v>
      </c>
      <c r="F102" s="5" t="n">
        <f aca="false">J101+E102</f>
        <v>8</v>
      </c>
      <c r="G102" s="5" t="n">
        <f aca="false">RANDBETWEEN(3,7)</f>
        <v>6</v>
      </c>
      <c r="H102" s="5" t="n">
        <f aca="false">MIN(F102,G102)</f>
        <v>6</v>
      </c>
      <c r="I102" s="5" t="n">
        <f aca="false">G102-H102</f>
        <v>0</v>
      </c>
      <c r="J102" s="5" t="n">
        <f aca="false">F102-H102</f>
        <v>2</v>
      </c>
      <c r="K102" s="5" t="n">
        <f aca="false">IF(I102&gt;0,1,0)</f>
        <v>0</v>
      </c>
      <c r="L102" s="5" t="n">
        <f aca="false">IF(J102&lt;PuntoReorden,1,0)</f>
        <v>1</v>
      </c>
      <c r="M102" s="18" t="n">
        <f aca="false">PrecioVenta*H102</f>
        <v>4080000</v>
      </c>
      <c r="N102" s="18" t="n">
        <f aca="false">CostoUnitario*E102</f>
        <v>0</v>
      </c>
      <c r="O102" s="18" t="n">
        <f aca="false">IF(E102&gt;0,CostoPedido,0)</f>
        <v>0</v>
      </c>
      <c r="P102" s="18" t="n">
        <f aca="false">CostoAlm*(F102+J102)/2</f>
        <v>400</v>
      </c>
      <c r="Q102" s="18" t="n">
        <f aca="false">CostoFijo*D102</f>
        <v>0</v>
      </c>
      <c r="R102" s="18" t="n">
        <f aca="false">M102-N102-O102-P102-Q102</f>
        <v>4079600</v>
      </c>
      <c r="W102" s="5" t="n">
        <v>96</v>
      </c>
      <c r="X102" s="21" t="n">
        <v>103875360</v>
      </c>
      <c r="Y102" s="22" t="n">
        <v>0</v>
      </c>
      <c r="Z102" s="22" t="n">
        <v>0</v>
      </c>
    </row>
    <row r="103" customFormat="false" ht="15" hidden="false" customHeight="true" outlineLevel="0" collapsed="false">
      <c r="A103" s="5" t="n">
        <f aca="false">A102+1</f>
        <v>98</v>
      </c>
      <c r="B103" s="16" t="n">
        <f aca="false">B102+IF(WEEKDAY(B102,2)=6,2,1)</f>
        <v>46136</v>
      </c>
      <c r="C103" s="5" t="n">
        <f aca="false">MONTH(B103)</f>
        <v>4</v>
      </c>
      <c r="D103" s="5" t="n">
        <f aca="false">IF(C103&lt;&gt;C102,1,0)</f>
        <v>0</v>
      </c>
      <c r="E103" s="17" t="n">
        <f aca="false">IF(L102=1,CantPedido,0)</f>
        <v>15</v>
      </c>
      <c r="F103" s="5" t="n">
        <f aca="false">J102+E103</f>
        <v>17</v>
      </c>
      <c r="G103" s="5" t="n">
        <f aca="false">RANDBETWEEN(3,7)</f>
        <v>5</v>
      </c>
      <c r="H103" s="5" t="n">
        <f aca="false">MIN(F103,G103)</f>
        <v>5</v>
      </c>
      <c r="I103" s="5" t="n">
        <f aca="false">G103-H103</f>
        <v>0</v>
      </c>
      <c r="J103" s="5" t="n">
        <f aca="false">F103-H103</f>
        <v>12</v>
      </c>
      <c r="K103" s="5" t="n">
        <f aca="false">IF(I103&gt;0,1,0)</f>
        <v>0</v>
      </c>
      <c r="L103" s="5" t="n">
        <f aca="false">IF(J103&lt;PuntoReorden,1,0)</f>
        <v>0</v>
      </c>
      <c r="M103" s="18" t="n">
        <f aca="false">PrecioVenta*H103</f>
        <v>3400000</v>
      </c>
      <c r="N103" s="18" t="n">
        <f aca="false">CostoUnitario*E103</f>
        <v>9000000</v>
      </c>
      <c r="O103" s="18" t="n">
        <f aca="false">IF(E103&gt;0,CostoPedido,0)</f>
        <v>40000</v>
      </c>
      <c r="P103" s="18" t="n">
        <f aca="false">CostoAlm*(F103+J103)/2</f>
        <v>1160</v>
      </c>
      <c r="Q103" s="18" t="n">
        <f aca="false">CostoFijo*D103</f>
        <v>0</v>
      </c>
      <c r="R103" s="18" t="n">
        <f aca="false">M103-N103-O103-P103-Q103</f>
        <v>-5641160</v>
      </c>
      <c r="W103" s="5" t="n">
        <v>97</v>
      </c>
      <c r="X103" s="21" t="n">
        <v>107675400</v>
      </c>
      <c r="Y103" s="22" t="n">
        <v>0</v>
      </c>
      <c r="Z103" s="22" t="n">
        <v>0</v>
      </c>
    </row>
    <row r="104" customFormat="false" ht="15" hidden="false" customHeight="true" outlineLevel="0" collapsed="false">
      <c r="A104" s="5" t="n">
        <f aca="false">A103+1</f>
        <v>99</v>
      </c>
      <c r="B104" s="16" t="n">
        <f aca="false">B103+IF(WEEKDAY(B103,2)=6,2,1)</f>
        <v>46137</v>
      </c>
      <c r="C104" s="5" t="n">
        <f aca="false">MONTH(B104)</f>
        <v>4</v>
      </c>
      <c r="D104" s="5" t="n">
        <f aca="false">IF(C104&lt;&gt;C103,1,0)</f>
        <v>0</v>
      </c>
      <c r="E104" s="5" t="n">
        <f aca="false">IF(L103=1,CantPedido,0)</f>
        <v>0</v>
      </c>
      <c r="F104" s="5" t="n">
        <f aca="false">J103+E104</f>
        <v>12</v>
      </c>
      <c r="G104" s="5" t="n">
        <f aca="false">RANDBETWEEN(3,7)</f>
        <v>4</v>
      </c>
      <c r="H104" s="5" t="n">
        <f aca="false">MIN(F104,G104)</f>
        <v>4</v>
      </c>
      <c r="I104" s="5" t="n">
        <f aca="false">G104-H104</f>
        <v>0</v>
      </c>
      <c r="J104" s="5" t="n">
        <f aca="false">F104-H104</f>
        <v>8</v>
      </c>
      <c r="K104" s="5" t="n">
        <f aca="false">IF(I104&gt;0,1,0)</f>
        <v>0</v>
      </c>
      <c r="L104" s="5" t="n">
        <f aca="false">IF(J104&lt;PuntoReorden,1,0)</f>
        <v>0</v>
      </c>
      <c r="M104" s="18" t="n">
        <f aca="false">PrecioVenta*H104</f>
        <v>2720000</v>
      </c>
      <c r="N104" s="18" t="n">
        <f aca="false">CostoUnitario*E104</f>
        <v>0</v>
      </c>
      <c r="O104" s="18" t="n">
        <f aca="false">IF(E104&gt;0,CostoPedido,0)</f>
        <v>0</v>
      </c>
      <c r="P104" s="18" t="n">
        <f aca="false">CostoAlm*(F104+J104)/2</f>
        <v>800</v>
      </c>
      <c r="Q104" s="18" t="n">
        <f aca="false">CostoFijo*D104</f>
        <v>0</v>
      </c>
      <c r="R104" s="18" t="n">
        <f aca="false">M104-N104-O104-P104-Q104</f>
        <v>2719200</v>
      </c>
      <c r="W104" s="5" t="n">
        <v>98</v>
      </c>
      <c r="X104" s="21" t="n">
        <v>102517440</v>
      </c>
      <c r="Y104" s="22" t="n">
        <v>0</v>
      </c>
      <c r="Z104" s="22" t="n">
        <v>0</v>
      </c>
    </row>
    <row r="105" customFormat="false" ht="15" hidden="false" customHeight="true" outlineLevel="0" collapsed="false">
      <c r="A105" s="5" t="n">
        <f aca="false">A104+1</f>
        <v>100</v>
      </c>
      <c r="B105" s="16" t="n">
        <f aca="false">B104+IF(WEEKDAY(B104,2)=6,2,1)</f>
        <v>46139</v>
      </c>
      <c r="C105" s="5" t="n">
        <f aca="false">MONTH(B105)</f>
        <v>4</v>
      </c>
      <c r="D105" s="5" t="n">
        <f aca="false">IF(C105&lt;&gt;C104,1,0)</f>
        <v>0</v>
      </c>
      <c r="E105" s="17" t="n">
        <f aca="false">IF(L104=1,CantPedido,0)</f>
        <v>0</v>
      </c>
      <c r="F105" s="5" t="n">
        <f aca="false">J104+E105</f>
        <v>8</v>
      </c>
      <c r="G105" s="5" t="n">
        <f aca="false">RANDBETWEEN(3,7)</f>
        <v>3</v>
      </c>
      <c r="H105" s="5" t="n">
        <f aca="false">MIN(F105,G105)</f>
        <v>3</v>
      </c>
      <c r="I105" s="5" t="n">
        <f aca="false">G105-H105</f>
        <v>0</v>
      </c>
      <c r="J105" s="5" t="n">
        <f aca="false">F105-H105</f>
        <v>5</v>
      </c>
      <c r="K105" s="5" t="n">
        <f aca="false">IF(I105&gt;0,1,0)</f>
        <v>0</v>
      </c>
      <c r="L105" s="5" t="n">
        <f aca="false">IF(J105&lt;PuntoReorden,1,0)</f>
        <v>1</v>
      </c>
      <c r="M105" s="18" t="n">
        <f aca="false">PrecioVenta*H105</f>
        <v>2040000</v>
      </c>
      <c r="N105" s="18" t="n">
        <f aca="false">CostoUnitario*E105</f>
        <v>0</v>
      </c>
      <c r="O105" s="18" t="n">
        <f aca="false">IF(E105&gt;0,CostoPedido,0)</f>
        <v>0</v>
      </c>
      <c r="P105" s="18" t="n">
        <f aca="false">CostoAlm*(F105+J105)/2</f>
        <v>520</v>
      </c>
      <c r="Q105" s="18" t="n">
        <f aca="false">CostoFijo*D105</f>
        <v>0</v>
      </c>
      <c r="R105" s="18" t="n">
        <f aca="false">M105-N105-O105-P105-Q105</f>
        <v>2039480</v>
      </c>
      <c r="W105" s="5" t="n">
        <v>99</v>
      </c>
      <c r="X105" s="21" t="n">
        <v>101266520</v>
      </c>
      <c r="Y105" s="22" t="n">
        <v>0</v>
      </c>
      <c r="Z105" s="22" t="n">
        <v>0</v>
      </c>
    </row>
    <row r="106" customFormat="false" ht="15" hidden="false" customHeight="true" outlineLevel="0" collapsed="false">
      <c r="A106" s="5" t="n">
        <f aca="false">A105+1</f>
        <v>101</v>
      </c>
      <c r="B106" s="16" t="n">
        <f aca="false">B105+IF(WEEKDAY(B105,2)=6,2,1)</f>
        <v>46140</v>
      </c>
      <c r="C106" s="5" t="n">
        <f aca="false">MONTH(B106)</f>
        <v>4</v>
      </c>
      <c r="D106" s="5" t="n">
        <f aca="false">IF(C106&lt;&gt;C105,1,0)</f>
        <v>0</v>
      </c>
      <c r="E106" s="17" t="n">
        <f aca="false">IF(L105=1,CantPedido,0)</f>
        <v>15</v>
      </c>
      <c r="F106" s="5" t="n">
        <f aca="false">J105+E106</f>
        <v>20</v>
      </c>
      <c r="G106" s="5" t="n">
        <f aca="false">RANDBETWEEN(3,7)</f>
        <v>6</v>
      </c>
      <c r="H106" s="5" t="n">
        <f aca="false">MIN(F106,G106)</f>
        <v>6</v>
      </c>
      <c r="I106" s="5" t="n">
        <f aca="false">G106-H106</f>
        <v>0</v>
      </c>
      <c r="J106" s="5" t="n">
        <f aca="false">F106-H106</f>
        <v>14</v>
      </c>
      <c r="K106" s="5" t="n">
        <f aca="false">IF(I106&gt;0,1,0)</f>
        <v>0</v>
      </c>
      <c r="L106" s="5" t="n">
        <f aca="false">IF(J106&lt;PuntoReorden,1,0)</f>
        <v>0</v>
      </c>
      <c r="M106" s="18" t="n">
        <f aca="false">PrecioVenta*H106</f>
        <v>4080000</v>
      </c>
      <c r="N106" s="18" t="n">
        <f aca="false">CostoUnitario*E106</f>
        <v>9000000</v>
      </c>
      <c r="O106" s="18" t="n">
        <f aca="false">IF(E106&gt;0,CostoPedido,0)</f>
        <v>40000</v>
      </c>
      <c r="P106" s="18" t="n">
        <f aca="false">CostoAlm*(F106+J106)/2</f>
        <v>1360</v>
      </c>
      <c r="Q106" s="18" t="n">
        <f aca="false">CostoFijo*D106</f>
        <v>0</v>
      </c>
      <c r="R106" s="18" t="n">
        <f aca="false">M106-N106-O106-P106-Q106</f>
        <v>-4961360</v>
      </c>
      <c r="W106" s="5" t="n">
        <v>100</v>
      </c>
      <c r="X106" s="21" t="n">
        <v>99035000</v>
      </c>
      <c r="Y106" s="22" t="n">
        <v>0</v>
      </c>
      <c r="Z106" s="22" t="n">
        <v>0</v>
      </c>
    </row>
    <row r="107" customFormat="false" ht="15" hidden="false" customHeight="true" outlineLevel="0" collapsed="false">
      <c r="A107" s="5" t="n">
        <f aca="false">A106+1</f>
        <v>102</v>
      </c>
      <c r="B107" s="16" t="n">
        <f aca="false">B106+IF(WEEKDAY(B106,2)=6,2,1)</f>
        <v>46141</v>
      </c>
      <c r="C107" s="5" t="n">
        <f aca="false">MONTH(B107)</f>
        <v>4</v>
      </c>
      <c r="D107" s="5" t="n">
        <f aca="false">IF(C107&lt;&gt;C106,1,0)</f>
        <v>0</v>
      </c>
      <c r="E107" s="5" t="n">
        <f aca="false">IF(L106=1,CantPedido,0)</f>
        <v>0</v>
      </c>
      <c r="F107" s="5" t="n">
        <f aca="false">J106+E107</f>
        <v>14</v>
      </c>
      <c r="G107" s="5" t="n">
        <f aca="false">RANDBETWEEN(3,7)</f>
        <v>7</v>
      </c>
      <c r="H107" s="5" t="n">
        <f aca="false">MIN(F107,G107)</f>
        <v>7</v>
      </c>
      <c r="I107" s="5" t="n">
        <f aca="false">G107-H107</f>
        <v>0</v>
      </c>
      <c r="J107" s="5" t="n">
        <f aca="false">F107-H107</f>
        <v>7</v>
      </c>
      <c r="K107" s="5" t="n">
        <f aca="false">IF(I107&gt;0,1,0)</f>
        <v>0</v>
      </c>
      <c r="L107" s="5" t="n">
        <f aca="false">IF(J107&lt;PuntoReorden,1,0)</f>
        <v>0</v>
      </c>
      <c r="M107" s="18" t="n">
        <f aca="false">PrecioVenta*H107</f>
        <v>4760000</v>
      </c>
      <c r="N107" s="18" t="n">
        <f aca="false">CostoUnitario*E107</f>
        <v>0</v>
      </c>
      <c r="O107" s="18" t="n">
        <f aca="false">IF(E107&gt;0,CostoPedido,0)</f>
        <v>0</v>
      </c>
      <c r="P107" s="18" t="n">
        <f aca="false">CostoAlm*(F107+J107)/2</f>
        <v>840</v>
      </c>
      <c r="Q107" s="18" t="n">
        <f aca="false">CostoFijo*D107</f>
        <v>0</v>
      </c>
      <c r="R107" s="18" t="n">
        <f aca="false">M107-N107-O107-P107-Q107</f>
        <v>4759160</v>
      </c>
    </row>
    <row r="108" customFormat="false" ht="15" hidden="false" customHeight="true" outlineLevel="0" collapsed="false">
      <c r="A108" s="5" t="n">
        <f aca="false">A107+1</f>
        <v>103</v>
      </c>
      <c r="B108" s="16" t="n">
        <f aca="false">B107+IF(WEEKDAY(B107,2)=6,2,1)</f>
        <v>46142</v>
      </c>
      <c r="C108" s="5" t="n">
        <f aca="false">MONTH(B108)</f>
        <v>4</v>
      </c>
      <c r="D108" s="5" t="n">
        <f aca="false">IF(C108&lt;&gt;C107,1,0)</f>
        <v>0</v>
      </c>
      <c r="E108" s="17" t="n">
        <f aca="false">IF(L107=1,CantPedido,0)</f>
        <v>0</v>
      </c>
      <c r="F108" s="5" t="n">
        <f aca="false">J107+E108</f>
        <v>7</v>
      </c>
      <c r="G108" s="5" t="n">
        <f aca="false">RANDBETWEEN(3,7)</f>
        <v>7</v>
      </c>
      <c r="H108" s="5" t="n">
        <f aca="false">MIN(F108,G108)</f>
        <v>7</v>
      </c>
      <c r="I108" s="5" t="n">
        <f aca="false">G108-H108</f>
        <v>0</v>
      </c>
      <c r="J108" s="5" t="n">
        <f aca="false">F108-H108</f>
        <v>0</v>
      </c>
      <c r="K108" s="5" t="n">
        <f aca="false">IF(I108&gt;0,1,0)</f>
        <v>0</v>
      </c>
      <c r="L108" s="5" t="n">
        <f aca="false">IF(J108&lt;PuntoReorden,1,0)</f>
        <v>1</v>
      </c>
      <c r="M108" s="18" t="n">
        <f aca="false">PrecioVenta*H108</f>
        <v>4760000</v>
      </c>
      <c r="N108" s="18" t="n">
        <f aca="false">CostoUnitario*E108</f>
        <v>0</v>
      </c>
      <c r="O108" s="18" t="n">
        <f aca="false">IF(E108&gt;0,CostoPedido,0)</f>
        <v>0</v>
      </c>
      <c r="P108" s="18" t="n">
        <f aca="false">CostoAlm*(F108+J108)/2</f>
        <v>280</v>
      </c>
      <c r="Q108" s="18" t="n">
        <f aca="false">CostoFijo*D108</f>
        <v>0</v>
      </c>
      <c r="R108" s="18" t="n">
        <f aca="false">M108-N108-O108-P108-Q108</f>
        <v>4759720</v>
      </c>
    </row>
    <row r="109" customFormat="false" ht="15" hidden="false" customHeight="true" outlineLevel="0" collapsed="false">
      <c r="A109" s="5" t="n">
        <f aca="false">A108+1</f>
        <v>104</v>
      </c>
      <c r="B109" s="16" t="n">
        <f aca="false">B108+IF(WEEKDAY(B108,2)=6,2,1)</f>
        <v>46143</v>
      </c>
      <c r="C109" s="5" t="n">
        <f aca="false">MONTH(B109)</f>
        <v>5</v>
      </c>
      <c r="D109" s="5" t="n">
        <f aca="false">IF(C109&lt;&gt;C108,1,0)</f>
        <v>1</v>
      </c>
      <c r="E109" s="17" t="n">
        <f aca="false">IF(L108=1,CantPedido,0)</f>
        <v>15</v>
      </c>
      <c r="F109" s="5" t="n">
        <f aca="false">J108+E109</f>
        <v>15</v>
      </c>
      <c r="G109" s="5" t="n">
        <f aca="false">RANDBETWEEN(3,7)</f>
        <v>5</v>
      </c>
      <c r="H109" s="5" t="n">
        <f aca="false">MIN(F109,G109)</f>
        <v>5</v>
      </c>
      <c r="I109" s="5" t="n">
        <f aca="false">G109-H109</f>
        <v>0</v>
      </c>
      <c r="J109" s="5" t="n">
        <f aca="false">F109-H109</f>
        <v>10</v>
      </c>
      <c r="K109" s="5" t="n">
        <f aca="false">IF(I109&gt;0,1,0)</f>
        <v>0</v>
      </c>
      <c r="L109" s="5" t="n">
        <f aca="false">IF(J109&lt;PuntoReorden,1,0)</f>
        <v>0</v>
      </c>
      <c r="M109" s="18" t="n">
        <f aca="false">PrecioVenta*H109</f>
        <v>3400000</v>
      </c>
      <c r="N109" s="18" t="n">
        <f aca="false">CostoUnitario*E109</f>
        <v>9000000</v>
      </c>
      <c r="O109" s="18" t="n">
        <f aca="false">IF(E109&gt;0,CostoPedido,0)</f>
        <v>40000</v>
      </c>
      <c r="P109" s="18" t="n">
        <f aca="false">CostoAlm*(F109+J109)/2</f>
        <v>1000</v>
      </c>
      <c r="Q109" s="18" t="n">
        <f aca="false">CostoFijo*D109</f>
        <v>1000000</v>
      </c>
      <c r="R109" s="18" t="n">
        <f aca="false">M109-N109-O109-P109-Q109</f>
        <v>-6641000</v>
      </c>
    </row>
    <row r="110" customFormat="false" ht="15" hidden="false" customHeight="true" outlineLevel="0" collapsed="false">
      <c r="A110" s="5" t="n">
        <f aca="false">A109+1</f>
        <v>105</v>
      </c>
      <c r="B110" s="16" t="n">
        <f aca="false">B109+IF(WEEKDAY(B109,2)=6,2,1)</f>
        <v>46144</v>
      </c>
      <c r="C110" s="5" t="n">
        <f aca="false">MONTH(B110)</f>
        <v>5</v>
      </c>
      <c r="D110" s="5" t="n">
        <f aca="false">IF(C110&lt;&gt;C109,1,0)</f>
        <v>0</v>
      </c>
      <c r="E110" s="5" t="n">
        <f aca="false">IF(L109=1,CantPedido,0)</f>
        <v>0</v>
      </c>
      <c r="F110" s="5" t="n">
        <f aca="false">J109+E110</f>
        <v>10</v>
      </c>
      <c r="G110" s="5" t="n">
        <f aca="false">RANDBETWEEN(3,7)</f>
        <v>3</v>
      </c>
      <c r="H110" s="5" t="n">
        <f aca="false">MIN(F110,G110)</f>
        <v>3</v>
      </c>
      <c r="I110" s="5" t="n">
        <f aca="false">G110-H110</f>
        <v>0</v>
      </c>
      <c r="J110" s="5" t="n">
        <f aca="false">F110-H110</f>
        <v>7</v>
      </c>
      <c r="K110" s="5" t="n">
        <f aca="false">IF(I110&gt;0,1,0)</f>
        <v>0</v>
      </c>
      <c r="L110" s="5" t="n">
        <f aca="false">IF(J110&lt;PuntoReorden,1,0)</f>
        <v>0</v>
      </c>
      <c r="M110" s="18" t="n">
        <f aca="false">PrecioVenta*H110</f>
        <v>2040000</v>
      </c>
      <c r="N110" s="18" t="n">
        <f aca="false">CostoUnitario*E110</f>
        <v>0</v>
      </c>
      <c r="O110" s="18" t="n">
        <f aca="false">IF(E110&gt;0,CostoPedido,0)</f>
        <v>0</v>
      </c>
      <c r="P110" s="18" t="n">
        <f aca="false">CostoAlm*(F110+J110)/2</f>
        <v>680</v>
      </c>
      <c r="Q110" s="18" t="n">
        <f aca="false">CostoFijo*D110</f>
        <v>0</v>
      </c>
      <c r="R110" s="18" t="n">
        <f aca="false">M110-N110-O110-P110-Q110</f>
        <v>2039320</v>
      </c>
    </row>
    <row r="111" customFormat="false" ht="15" hidden="false" customHeight="true" outlineLevel="0" collapsed="false">
      <c r="A111" s="5" t="n">
        <f aca="false">A110+1</f>
        <v>106</v>
      </c>
      <c r="B111" s="16" t="n">
        <f aca="false">B110+IF(WEEKDAY(B110,2)=6,2,1)</f>
        <v>46146</v>
      </c>
      <c r="C111" s="5" t="n">
        <f aca="false">MONTH(B111)</f>
        <v>5</v>
      </c>
      <c r="D111" s="5" t="n">
        <f aca="false">IF(C111&lt;&gt;C110,1,0)</f>
        <v>0</v>
      </c>
      <c r="E111" s="17" t="n">
        <f aca="false">IF(L110=1,CantPedido,0)</f>
        <v>0</v>
      </c>
      <c r="F111" s="5" t="n">
        <f aca="false">J110+E111</f>
        <v>7</v>
      </c>
      <c r="G111" s="5" t="n">
        <f aca="false">RANDBETWEEN(3,7)</f>
        <v>5</v>
      </c>
      <c r="H111" s="5" t="n">
        <f aca="false">MIN(F111,G111)</f>
        <v>5</v>
      </c>
      <c r="I111" s="5" t="n">
        <f aca="false">G111-H111</f>
        <v>0</v>
      </c>
      <c r="J111" s="5" t="n">
        <f aca="false">F111-H111</f>
        <v>2</v>
      </c>
      <c r="K111" s="5" t="n">
        <f aca="false">IF(I111&gt;0,1,0)</f>
        <v>0</v>
      </c>
      <c r="L111" s="5" t="n">
        <f aca="false">IF(J111&lt;PuntoReorden,1,0)</f>
        <v>1</v>
      </c>
      <c r="M111" s="18" t="n">
        <f aca="false">PrecioVenta*H111</f>
        <v>3400000</v>
      </c>
      <c r="N111" s="18" t="n">
        <f aca="false">CostoUnitario*E111</f>
        <v>0</v>
      </c>
      <c r="O111" s="18" t="n">
        <f aca="false">IF(E111&gt;0,CostoPedido,0)</f>
        <v>0</v>
      </c>
      <c r="P111" s="18" t="n">
        <f aca="false">CostoAlm*(F111+J111)/2</f>
        <v>360</v>
      </c>
      <c r="Q111" s="18" t="n">
        <f aca="false">CostoFijo*D111</f>
        <v>0</v>
      </c>
      <c r="R111" s="18" t="n">
        <f aca="false">M111-N111-O111-P111-Q111</f>
        <v>3399640</v>
      </c>
    </row>
    <row r="112" customFormat="false" ht="15" hidden="false" customHeight="true" outlineLevel="0" collapsed="false">
      <c r="A112" s="5" t="n">
        <f aca="false">A111+1</f>
        <v>107</v>
      </c>
      <c r="B112" s="16" t="n">
        <f aca="false">B111+IF(WEEKDAY(B111,2)=6,2,1)</f>
        <v>46147</v>
      </c>
      <c r="C112" s="5" t="n">
        <f aca="false">MONTH(B112)</f>
        <v>5</v>
      </c>
      <c r="D112" s="5" t="n">
        <f aca="false">IF(C112&lt;&gt;C111,1,0)</f>
        <v>0</v>
      </c>
      <c r="E112" s="17" t="n">
        <f aca="false">IF(L111=1,CantPedido,0)</f>
        <v>15</v>
      </c>
      <c r="F112" s="5" t="n">
        <f aca="false">J111+E112</f>
        <v>17</v>
      </c>
      <c r="G112" s="5" t="n">
        <f aca="false">RANDBETWEEN(3,7)</f>
        <v>4</v>
      </c>
      <c r="H112" s="5" t="n">
        <f aca="false">MIN(F112,G112)</f>
        <v>4</v>
      </c>
      <c r="I112" s="5" t="n">
        <f aca="false">G112-H112</f>
        <v>0</v>
      </c>
      <c r="J112" s="5" t="n">
        <f aca="false">F112-H112</f>
        <v>13</v>
      </c>
      <c r="K112" s="5" t="n">
        <f aca="false">IF(I112&gt;0,1,0)</f>
        <v>0</v>
      </c>
      <c r="L112" s="5" t="n">
        <f aca="false">IF(J112&lt;PuntoReorden,1,0)</f>
        <v>0</v>
      </c>
      <c r="M112" s="18" t="n">
        <f aca="false">PrecioVenta*H112</f>
        <v>2720000</v>
      </c>
      <c r="N112" s="18" t="n">
        <f aca="false">CostoUnitario*E112</f>
        <v>9000000</v>
      </c>
      <c r="O112" s="18" t="n">
        <f aca="false">IF(E112&gt;0,CostoPedido,0)</f>
        <v>40000</v>
      </c>
      <c r="P112" s="18" t="n">
        <f aca="false">CostoAlm*(F112+J112)/2</f>
        <v>1200</v>
      </c>
      <c r="Q112" s="18" t="n">
        <f aca="false">CostoFijo*D112</f>
        <v>0</v>
      </c>
      <c r="R112" s="18" t="n">
        <f aca="false">M112-N112-O112-P112-Q112</f>
        <v>-6321200</v>
      </c>
    </row>
    <row r="113" customFormat="false" ht="15" hidden="false" customHeight="true" outlineLevel="0" collapsed="false">
      <c r="A113" s="5" t="n">
        <f aca="false">A112+1</f>
        <v>108</v>
      </c>
      <c r="B113" s="16" t="n">
        <f aca="false">B112+IF(WEEKDAY(B112,2)=6,2,1)</f>
        <v>46148</v>
      </c>
      <c r="C113" s="5" t="n">
        <f aca="false">MONTH(B113)</f>
        <v>5</v>
      </c>
      <c r="D113" s="5" t="n">
        <f aca="false">IF(C113&lt;&gt;C112,1,0)</f>
        <v>0</v>
      </c>
      <c r="E113" s="17" t="n">
        <f aca="false">IF(L112=1,CantPedido,0)</f>
        <v>0</v>
      </c>
      <c r="F113" s="5" t="n">
        <f aca="false">J112+E113</f>
        <v>13</v>
      </c>
      <c r="G113" s="5" t="n">
        <f aca="false">RANDBETWEEN(3,7)</f>
        <v>5</v>
      </c>
      <c r="H113" s="5" t="n">
        <f aca="false">MIN(F113,G113)</f>
        <v>5</v>
      </c>
      <c r="I113" s="5" t="n">
        <f aca="false">G113-H113</f>
        <v>0</v>
      </c>
      <c r="J113" s="5" t="n">
        <f aca="false">F113-H113</f>
        <v>8</v>
      </c>
      <c r="K113" s="5" t="n">
        <f aca="false">IF(I113&gt;0,1,0)</f>
        <v>0</v>
      </c>
      <c r="L113" s="5" t="n">
        <f aca="false">IF(J113&lt;PuntoReorden,1,0)</f>
        <v>0</v>
      </c>
      <c r="M113" s="18" t="n">
        <f aca="false">PrecioVenta*H113</f>
        <v>3400000</v>
      </c>
      <c r="N113" s="18" t="n">
        <f aca="false">CostoUnitario*E113</f>
        <v>0</v>
      </c>
      <c r="O113" s="18" t="n">
        <f aca="false">IF(E113&gt;0,CostoPedido,0)</f>
        <v>0</v>
      </c>
      <c r="P113" s="18" t="n">
        <f aca="false">CostoAlm*(F113+J113)/2</f>
        <v>840</v>
      </c>
      <c r="Q113" s="18" t="n">
        <f aca="false">CostoFijo*D113</f>
        <v>0</v>
      </c>
      <c r="R113" s="18" t="n">
        <f aca="false">M113-N113-O113-P113-Q113</f>
        <v>3399160</v>
      </c>
    </row>
    <row r="114" customFormat="false" ht="15" hidden="false" customHeight="true" outlineLevel="0" collapsed="false">
      <c r="A114" s="5" t="n">
        <f aca="false">A113+1</f>
        <v>109</v>
      </c>
      <c r="B114" s="16" t="n">
        <f aca="false">B113+IF(WEEKDAY(B113,2)=6,2,1)</f>
        <v>46149</v>
      </c>
      <c r="C114" s="5" t="n">
        <f aca="false">MONTH(B114)</f>
        <v>5</v>
      </c>
      <c r="D114" s="5" t="n">
        <f aca="false">IF(C114&lt;&gt;C113,1,0)</f>
        <v>0</v>
      </c>
      <c r="E114" s="5" t="n">
        <f aca="false">IF(L113=1,CantPedido,0)</f>
        <v>0</v>
      </c>
      <c r="F114" s="5" t="n">
        <f aca="false">J113+E114</f>
        <v>8</v>
      </c>
      <c r="G114" s="5" t="n">
        <f aca="false">RANDBETWEEN(3,7)</f>
        <v>6</v>
      </c>
      <c r="H114" s="5" t="n">
        <f aca="false">MIN(F114,G114)</f>
        <v>6</v>
      </c>
      <c r="I114" s="5" t="n">
        <f aca="false">G114-H114</f>
        <v>0</v>
      </c>
      <c r="J114" s="5" t="n">
        <f aca="false">F114-H114</f>
        <v>2</v>
      </c>
      <c r="K114" s="5" t="n">
        <f aca="false">IF(I114&gt;0,1,0)</f>
        <v>0</v>
      </c>
      <c r="L114" s="5" t="n">
        <f aca="false">IF(J114&lt;PuntoReorden,1,0)</f>
        <v>1</v>
      </c>
      <c r="M114" s="18" t="n">
        <f aca="false">PrecioVenta*H114</f>
        <v>4080000</v>
      </c>
      <c r="N114" s="18" t="n">
        <f aca="false">CostoUnitario*E114</f>
        <v>0</v>
      </c>
      <c r="O114" s="18" t="n">
        <f aca="false">IF(E114&gt;0,CostoPedido,0)</f>
        <v>0</v>
      </c>
      <c r="P114" s="18" t="n">
        <f aca="false">CostoAlm*(F114+J114)/2</f>
        <v>400</v>
      </c>
      <c r="Q114" s="18" t="n">
        <f aca="false">CostoFijo*D114</f>
        <v>0</v>
      </c>
      <c r="R114" s="18" t="n">
        <f aca="false">M114-N114-O114-P114-Q114</f>
        <v>4079600</v>
      </c>
    </row>
    <row r="115" customFormat="false" ht="15" hidden="false" customHeight="true" outlineLevel="0" collapsed="false">
      <c r="A115" s="5" t="n">
        <f aca="false">A114+1</f>
        <v>110</v>
      </c>
      <c r="B115" s="16" t="n">
        <f aca="false">B114+IF(WEEKDAY(B114,2)=6,2,1)</f>
        <v>46150</v>
      </c>
      <c r="C115" s="5" t="n">
        <f aca="false">MONTH(B115)</f>
        <v>5</v>
      </c>
      <c r="D115" s="5" t="n">
        <f aca="false">IF(C115&lt;&gt;C114,1,0)</f>
        <v>0</v>
      </c>
      <c r="E115" s="17" t="n">
        <f aca="false">IF(L114=1,CantPedido,0)</f>
        <v>15</v>
      </c>
      <c r="F115" s="5" t="n">
        <f aca="false">J114+E115</f>
        <v>17</v>
      </c>
      <c r="G115" s="5" t="n">
        <f aca="false">RANDBETWEEN(3,7)</f>
        <v>6</v>
      </c>
      <c r="H115" s="5" t="n">
        <f aca="false">MIN(F115,G115)</f>
        <v>6</v>
      </c>
      <c r="I115" s="5" t="n">
        <f aca="false">G115-H115</f>
        <v>0</v>
      </c>
      <c r="J115" s="5" t="n">
        <f aca="false">F115-H115</f>
        <v>11</v>
      </c>
      <c r="K115" s="5" t="n">
        <f aca="false">IF(I115&gt;0,1,0)</f>
        <v>0</v>
      </c>
      <c r="L115" s="5" t="n">
        <f aca="false">IF(J115&lt;PuntoReorden,1,0)</f>
        <v>0</v>
      </c>
      <c r="M115" s="18" t="n">
        <f aca="false">PrecioVenta*H115</f>
        <v>4080000</v>
      </c>
      <c r="N115" s="18" t="n">
        <f aca="false">CostoUnitario*E115</f>
        <v>9000000</v>
      </c>
      <c r="O115" s="18" t="n">
        <f aca="false">IF(E115&gt;0,CostoPedido,0)</f>
        <v>40000</v>
      </c>
      <c r="P115" s="18" t="n">
        <f aca="false">CostoAlm*(F115+J115)/2</f>
        <v>1120</v>
      </c>
      <c r="Q115" s="18" t="n">
        <f aca="false">CostoFijo*D115</f>
        <v>0</v>
      </c>
      <c r="R115" s="18" t="n">
        <f aca="false">M115-N115-O115-P115-Q115</f>
        <v>-4961120</v>
      </c>
    </row>
    <row r="116" customFormat="false" ht="15" hidden="false" customHeight="true" outlineLevel="0" collapsed="false">
      <c r="A116" s="5" t="n">
        <f aca="false">A115+1</f>
        <v>111</v>
      </c>
      <c r="B116" s="16" t="n">
        <f aca="false">B115+IF(WEEKDAY(B115,2)=6,2,1)</f>
        <v>46151</v>
      </c>
      <c r="C116" s="5" t="n">
        <f aca="false">MONTH(B116)</f>
        <v>5</v>
      </c>
      <c r="D116" s="5" t="n">
        <f aca="false">IF(C116&lt;&gt;C115,1,0)</f>
        <v>0</v>
      </c>
      <c r="E116" s="5" t="n">
        <f aca="false">IF(L115=1,CantPedido,0)</f>
        <v>0</v>
      </c>
      <c r="F116" s="5" t="n">
        <f aca="false">J115+E116</f>
        <v>11</v>
      </c>
      <c r="G116" s="5" t="n">
        <f aca="false">RANDBETWEEN(3,7)</f>
        <v>5</v>
      </c>
      <c r="H116" s="5" t="n">
        <f aca="false">MIN(F116,G116)</f>
        <v>5</v>
      </c>
      <c r="I116" s="5" t="n">
        <f aca="false">G116-H116</f>
        <v>0</v>
      </c>
      <c r="J116" s="5" t="n">
        <f aca="false">F116-H116</f>
        <v>6</v>
      </c>
      <c r="K116" s="5" t="n">
        <f aca="false">IF(I116&gt;0,1,0)</f>
        <v>0</v>
      </c>
      <c r="L116" s="5" t="n">
        <f aca="false">IF(J116&lt;PuntoReorden,1,0)</f>
        <v>1</v>
      </c>
      <c r="M116" s="18" t="n">
        <f aca="false">PrecioVenta*H116</f>
        <v>3400000</v>
      </c>
      <c r="N116" s="18" t="n">
        <f aca="false">CostoUnitario*E116</f>
        <v>0</v>
      </c>
      <c r="O116" s="18" t="n">
        <f aca="false">IF(E116&gt;0,CostoPedido,0)</f>
        <v>0</v>
      </c>
      <c r="P116" s="18" t="n">
        <f aca="false">CostoAlm*(F116+J116)/2</f>
        <v>680</v>
      </c>
      <c r="Q116" s="18" t="n">
        <f aca="false">CostoFijo*D116</f>
        <v>0</v>
      </c>
      <c r="R116" s="18" t="n">
        <f aca="false">M116-N116-O116-P116-Q116</f>
        <v>3399320</v>
      </c>
    </row>
    <row r="117" customFormat="false" ht="15" hidden="false" customHeight="true" outlineLevel="0" collapsed="false">
      <c r="A117" s="5" t="n">
        <f aca="false">A116+1</f>
        <v>112</v>
      </c>
      <c r="B117" s="16" t="n">
        <f aca="false">B116+IF(WEEKDAY(B116,2)=6,2,1)</f>
        <v>46153</v>
      </c>
      <c r="C117" s="5" t="n">
        <f aca="false">MONTH(B117)</f>
        <v>5</v>
      </c>
      <c r="D117" s="5" t="n">
        <f aca="false">IF(C117&lt;&gt;C116,1,0)</f>
        <v>0</v>
      </c>
      <c r="E117" s="17" t="n">
        <f aca="false">IF(L116=1,CantPedido,0)</f>
        <v>15</v>
      </c>
      <c r="F117" s="5" t="n">
        <f aca="false">J116+E117</f>
        <v>21</v>
      </c>
      <c r="G117" s="5" t="n">
        <f aca="false">RANDBETWEEN(3,7)</f>
        <v>7</v>
      </c>
      <c r="H117" s="5" t="n">
        <f aca="false">MIN(F117,G117)</f>
        <v>7</v>
      </c>
      <c r="I117" s="5" t="n">
        <f aca="false">G117-H117</f>
        <v>0</v>
      </c>
      <c r="J117" s="5" t="n">
        <f aca="false">F117-H117</f>
        <v>14</v>
      </c>
      <c r="K117" s="5" t="n">
        <f aca="false">IF(I117&gt;0,1,0)</f>
        <v>0</v>
      </c>
      <c r="L117" s="5" t="n">
        <f aca="false">IF(J117&lt;PuntoReorden,1,0)</f>
        <v>0</v>
      </c>
      <c r="M117" s="18" t="n">
        <f aca="false">PrecioVenta*H117</f>
        <v>4760000</v>
      </c>
      <c r="N117" s="18" t="n">
        <f aca="false">CostoUnitario*E117</f>
        <v>9000000</v>
      </c>
      <c r="O117" s="18" t="n">
        <f aca="false">IF(E117&gt;0,CostoPedido,0)</f>
        <v>40000</v>
      </c>
      <c r="P117" s="18" t="n">
        <f aca="false">CostoAlm*(F117+J117)/2</f>
        <v>1400</v>
      </c>
      <c r="Q117" s="18" t="n">
        <f aca="false">CostoFijo*D117</f>
        <v>0</v>
      </c>
      <c r="R117" s="18" t="n">
        <f aca="false">M117-N117-O117-P117-Q117</f>
        <v>-4281400</v>
      </c>
    </row>
    <row r="118" customFormat="false" ht="15" hidden="false" customHeight="true" outlineLevel="0" collapsed="false">
      <c r="A118" s="5" t="n">
        <f aca="false">A117+1</f>
        <v>113</v>
      </c>
      <c r="B118" s="16" t="n">
        <f aca="false">B117+IF(WEEKDAY(B117,2)=6,2,1)</f>
        <v>46154</v>
      </c>
      <c r="C118" s="5" t="n">
        <f aca="false">MONTH(B118)</f>
        <v>5</v>
      </c>
      <c r="D118" s="5" t="n">
        <f aca="false">IF(C118&lt;&gt;C117,1,0)</f>
        <v>0</v>
      </c>
      <c r="E118" s="5" t="n">
        <f aca="false">IF(L117=1,CantPedido,0)</f>
        <v>0</v>
      </c>
      <c r="F118" s="5" t="n">
        <f aca="false">J117+E118</f>
        <v>14</v>
      </c>
      <c r="G118" s="5" t="n">
        <f aca="false">RANDBETWEEN(3,7)</f>
        <v>7</v>
      </c>
      <c r="H118" s="5" t="n">
        <f aca="false">MIN(F118,G118)</f>
        <v>7</v>
      </c>
      <c r="I118" s="5" t="n">
        <f aca="false">G118-H118</f>
        <v>0</v>
      </c>
      <c r="J118" s="5" t="n">
        <f aca="false">F118-H118</f>
        <v>7</v>
      </c>
      <c r="K118" s="5" t="n">
        <f aca="false">IF(I118&gt;0,1,0)</f>
        <v>0</v>
      </c>
      <c r="L118" s="5" t="n">
        <f aca="false">IF(J118&lt;PuntoReorden,1,0)</f>
        <v>0</v>
      </c>
      <c r="M118" s="18" t="n">
        <f aca="false">PrecioVenta*H118</f>
        <v>4760000</v>
      </c>
      <c r="N118" s="18" t="n">
        <f aca="false">CostoUnitario*E118</f>
        <v>0</v>
      </c>
      <c r="O118" s="18" t="n">
        <f aca="false">IF(E118&gt;0,CostoPedido,0)</f>
        <v>0</v>
      </c>
      <c r="P118" s="18" t="n">
        <f aca="false">CostoAlm*(F118+J118)/2</f>
        <v>840</v>
      </c>
      <c r="Q118" s="18" t="n">
        <f aca="false">CostoFijo*D118</f>
        <v>0</v>
      </c>
      <c r="R118" s="18" t="n">
        <f aca="false">M118-N118-O118-P118-Q118</f>
        <v>4759160</v>
      </c>
    </row>
    <row r="119" customFormat="false" ht="15" hidden="false" customHeight="true" outlineLevel="0" collapsed="false">
      <c r="A119" s="5" t="n">
        <f aca="false">A118+1</f>
        <v>114</v>
      </c>
      <c r="B119" s="16" t="n">
        <f aca="false">B118+IF(WEEKDAY(B118,2)=6,2,1)</f>
        <v>46155</v>
      </c>
      <c r="C119" s="5" t="n">
        <f aca="false">MONTH(B119)</f>
        <v>5</v>
      </c>
      <c r="D119" s="5" t="n">
        <f aca="false">IF(C119&lt;&gt;C118,1,0)</f>
        <v>0</v>
      </c>
      <c r="E119" s="5" t="n">
        <f aca="false">IF(L118=1,CantPedido,0)</f>
        <v>0</v>
      </c>
      <c r="F119" s="5" t="n">
        <f aca="false">J118+E119</f>
        <v>7</v>
      </c>
      <c r="G119" s="5" t="n">
        <f aca="false">RANDBETWEEN(3,7)</f>
        <v>4</v>
      </c>
      <c r="H119" s="5" t="n">
        <f aca="false">MIN(F119,G119)</f>
        <v>4</v>
      </c>
      <c r="I119" s="5" t="n">
        <f aca="false">G119-H119</f>
        <v>0</v>
      </c>
      <c r="J119" s="5" t="n">
        <f aca="false">F119-H119</f>
        <v>3</v>
      </c>
      <c r="K119" s="5" t="n">
        <f aca="false">IF(I119&gt;0,1,0)</f>
        <v>0</v>
      </c>
      <c r="L119" s="5" t="n">
        <f aca="false">IF(J119&lt;PuntoReorden,1,0)</f>
        <v>1</v>
      </c>
      <c r="M119" s="18" t="n">
        <f aca="false">PrecioVenta*H119</f>
        <v>2720000</v>
      </c>
      <c r="N119" s="18" t="n">
        <f aca="false">CostoUnitario*E119</f>
        <v>0</v>
      </c>
      <c r="O119" s="18" t="n">
        <f aca="false">IF(E119&gt;0,CostoPedido,0)</f>
        <v>0</v>
      </c>
      <c r="P119" s="18" t="n">
        <f aca="false">CostoAlm*(F119+J119)/2</f>
        <v>400</v>
      </c>
      <c r="Q119" s="18" t="n">
        <f aca="false">CostoFijo*D119</f>
        <v>0</v>
      </c>
      <c r="R119" s="18" t="n">
        <f aca="false">M119-N119-O119-P119-Q119</f>
        <v>2719600</v>
      </c>
    </row>
    <row r="120" customFormat="false" ht="15" hidden="false" customHeight="true" outlineLevel="0" collapsed="false">
      <c r="A120" s="5" t="n">
        <f aca="false">A119+1</f>
        <v>115</v>
      </c>
      <c r="B120" s="16" t="n">
        <f aca="false">B119+IF(WEEKDAY(B119,2)=6,2,1)</f>
        <v>46156</v>
      </c>
      <c r="C120" s="5" t="n">
        <f aca="false">MONTH(B120)</f>
        <v>5</v>
      </c>
      <c r="D120" s="5" t="n">
        <f aca="false">IF(C120&lt;&gt;C119,1,0)</f>
        <v>0</v>
      </c>
      <c r="E120" s="17" t="n">
        <f aca="false">IF(L119=1,CantPedido,0)</f>
        <v>15</v>
      </c>
      <c r="F120" s="5" t="n">
        <f aca="false">J119+E120</f>
        <v>18</v>
      </c>
      <c r="G120" s="5" t="n">
        <f aca="false">RANDBETWEEN(3,7)</f>
        <v>6</v>
      </c>
      <c r="H120" s="5" t="n">
        <f aca="false">MIN(F120,G120)</f>
        <v>6</v>
      </c>
      <c r="I120" s="5" t="n">
        <f aca="false">G120-H120</f>
        <v>0</v>
      </c>
      <c r="J120" s="5" t="n">
        <f aca="false">F120-H120</f>
        <v>12</v>
      </c>
      <c r="K120" s="5" t="n">
        <f aca="false">IF(I120&gt;0,1,0)</f>
        <v>0</v>
      </c>
      <c r="L120" s="5" t="n">
        <f aca="false">IF(J120&lt;PuntoReorden,1,0)</f>
        <v>0</v>
      </c>
      <c r="M120" s="18" t="n">
        <f aca="false">PrecioVenta*H120</f>
        <v>4080000</v>
      </c>
      <c r="N120" s="18" t="n">
        <f aca="false">CostoUnitario*E120</f>
        <v>9000000</v>
      </c>
      <c r="O120" s="18" t="n">
        <f aca="false">IF(E120&gt;0,CostoPedido,0)</f>
        <v>40000</v>
      </c>
      <c r="P120" s="18" t="n">
        <f aca="false">CostoAlm*(F120+J120)/2</f>
        <v>1200</v>
      </c>
      <c r="Q120" s="18" t="n">
        <f aca="false">CostoFijo*D120</f>
        <v>0</v>
      </c>
      <c r="R120" s="18" t="n">
        <f aca="false">M120-N120-O120-P120-Q120</f>
        <v>-4961200</v>
      </c>
    </row>
    <row r="121" customFormat="false" ht="15" hidden="false" customHeight="true" outlineLevel="0" collapsed="false">
      <c r="A121" s="5" t="n">
        <f aca="false">A120+1</f>
        <v>116</v>
      </c>
      <c r="B121" s="16" t="n">
        <f aca="false">B120+IF(WEEKDAY(B120,2)=6,2,1)</f>
        <v>46157</v>
      </c>
      <c r="C121" s="5" t="n">
        <f aca="false">MONTH(B121)</f>
        <v>5</v>
      </c>
      <c r="D121" s="5" t="n">
        <f aca="false">IF(C121&lt;&gt;C120,1,0)</f>
        <v>0</v>
      </c>
      <c r="E121" s="5" t="n">
        <f aca="false">IF(L120=1,CantPedido,0)</f>
        <v>0</v>
      </c>
      <c r="F121" s="5" t="n">
        <f aca="false">J120+E121</f>
        <v>12</v>
      </c>
      <c r="G121" s="5" t="n">
        <f aca="false">RANDBETWEEN(3,7)</f>
        <v>7</v>
      </c>
      <c r="H121" s="5" t="n">
        <f aca="false">MIN(F121,G121)</f>
        <v>7</v>
      </c>
      <c r="I121" s="5" t="n">
        <f aca="false">G121-H121</f>
        <v>0</v>
      </c>
      <c r="J121" s="5" t="n">
        <f aca="false">F121-H121</f>
        <v>5</v>
      </c>
      <c r="K121" s="5" t="n">
        <f aca="false">IF(I121&gt;0,1,0)</f>
        <v>0</v>
      </c>
      <c r="L121" s="5" t="n">
        <f aca="false">IF(J121&lt;PuntoReorden,1,0)</f>
        <v>1</v>
      </c>
      <c r="M121" s="18" t="n">
        <f aca="false">PrecioVenta*H121</f>
        <v>4760000</v>
      </c>
      <c r="N121" s="18" t="n">
        <f aca="false">CostoUnitario*E121</f>
        <v>0</v>
      </c>
      <c r="O121" s="18" t="n">
        <f aca="false">IF(E121&gt;0,CostoPedido,0)</f>
        <v>0</v>
      </c>
      <c r="P121" s="18" t="n">
        <f aca="false">CostoAlm*(F121+J121)/2</f>
        <v>680</v>
      </c>
      <c r="Q121" s="18" t="n">
        <f aca="false">CostoFijo*D121</f>
        <v>0</v>
      </c>
      <c r="R121" s="18" t="n">
        <f aca="false">M121-N121-O121-P121-Q121</f>
        <v>4759320</v>
      </c>
    </row>
    <row r="122" customFormat="false" ht="15" hidden="false" customHeight="true" outlineLevel="0" collapsed="false">
      <c r="A122" s="5" t="n">
        <f aca="false">A121+1</f>
        <v>117</v>
      </c>
      <c r="B122" s="16" t="n">
        <f aca="false">B121+IF(WEEKDAY(B121,2)=6,2,1)</f>
        <v>46158</v>
      </c>
      <c r="C122" s="5" t="n">
        <f aca="false">MONTH(B122)</f>
        <v>5</v>
      </c>
      <c r="D122" s="5" t="n">
        <f aca="false">IF(C122&lt;&gt;C121,1,0)</f>
        <v>0</v>
      </c>
      <c r="E122" s="17" t="n">
        <f aca="false">IF(L121=1,CantPedido,0)</f>
        <v>15</v>
      </c>
      <c r="F122" s="5" t="n">
        <f aca="false">J121+E122</f>
        <v>20</v>
      </c>
      <c r="G122" s="5" t="n">
        <f aca="false">RANDBETWEEN(3,7)</f>
        <v>7</v>
      </c>
      <c r="H122" s="5" t="n">
        <f aca="false">MIN(F122,G122)</f>
        <v>7</v>
      </c>
      <c r="I122" s="5" t="n">
        <f aca="false">G122-H122</f>
        <v>0</v>
      </c>
      <c r="J122" s="5" t="n">
        <f aca="false">F122-H122</f>
        <v>13</v>
      </c>
      <c r="K122" s="5" t="n">
        <f aca="false">IF(I122&gt;0,1,0)</f>
        <v>0</v>
      </c>
      <c r="L122" s="5" t="n">
        <f aca="false">IF(J122&lt;PuntoReorden,1,0)</f>
        <v>0</v>
      </c>
      <c r="M122" s="18" t="n">
        <f aca="false">PrecioVenta*H122</f>
        <v>4760000</v>
      </c>
      <c r="N122" s="18" t="n">
        <f aca="false">CostoUnitario*E122</f>
        <v>9000000</v>
      </c>
      <c r="O122" s="18" t="n">
        <f aca="false">IF(E122&gt;0,CostoPedido,0)</f>
        <v>40000</v>
      </c>
      <c r="P122" s="18" t="n">
        <f aca="false">CostoAlm*(F122+J122)/2</f>
        <v>1320</v>
      </c>
      <c r="Q122" s="18" t="n">
        <f aca="false">CostoFijo*D122</f>
        <v>0</v>
      </c>
      <c r="R122" s="18" t="n">
        <f aca="false">M122-N122-O122-P122-Q122</f>
        <v>-4281320</v>
      </c>
    </row>
    <row r="123" customFormat="false" ht="15" hidden="false" customHeight="true" outlineLevel="0" collapsed="false">
      <c r="A123" s="5" t="n">
        <f aca="false">A122+1</f>
        <v>118</v>
      </c>
      <c r="B123" s="16" t="n">
        <f aca="false">B122+IF(WEEKDAY(B122,2)=6,2,1)</f>
        <v>46160</v>
      </c>
      <c r="C123" s="5" t="n">
        <f aca="false">MONTH(B123)</f>
        <v>5</v>
      </c>
      <c r="D123" s="5" t="n">
        <f aca="false">IF(C123&lt;&gt;C122,1,0)</f>
        <v>0</v>
      </c>
      <c r="E123" s="17" t="n">
        <f aca="false">IF(L122=1,CantPedido,0)</f>
        <v>0</v>
      </c>
      <c r="F123" s="5" t="n">
        <f aca="false">J122+E123</f>
        <v>13</v>
      </c>
      <c r="G123" s="5" t="n">
        <f aca="false">RANDBETWEEN(3,7)</f>
        <v>5</v>
      </c>
      <c r="H123" s="5" t="n">
        <f aca="false">MIN(F123,G123)</f>
        <v>5</v>
      </c>
      <c r="I123" s="5" t="n">
        <f aca="false">G123-H123</f>
        <v>0</v>
      </c>
      <c r="J123" s="5" t="n">
        <f aca="false">F123-H123</f>
        <v>8</v>
      </c>
      <c r="K123" s="5" t="n">
        <f aca="false">IF(I123&gt;0,1,0)</f>
        <v>0</v>
      </c>
      <c r="L123" s="5" t="n">
        <f aca="false">IF(J123&lt;PuntoReorden,1,0)</f>
        <v>0</v>
      </c>
      <c r="M123" s="18" t="n">
        <f aca="false">PrecioVenta*H123</f>
        <v>3400000</v>
      </c>
      <c r="N123" s="18" t="n">
        <f aca="false">CostoUnitario*E123</f>
        <v>0</v>
      </c>
      <c r="O123" s="18" t="n">
        <f aca="false">IF(E123&gt;0,CostoPedido,0)</f>
        <v>0</v>
      </c>
      <c r="P123" s="18" t="n">
        <f aca="false">CostoAlm*(F123+J123)/2</f>
        <v>840</v>
      </c>
      <c r="Q123" s="18" t="n">
        <f aca="false">CostoFijo*D123</f>
        <v>0</v>
      </c>
      <c r="R123" s="18" t="n">
        <f aca="false">M123-N123-O123-P123-Q123</f>
        <v>3399160</v>
      </c>
    </row>
    <row r="124" customFormat="false" ht="15" hidden="false" customHeight="true" outlineLevel="0" collapsed="false">
      <c r="A124" s="5" t="n">
        <f aca="false">A123+1</f>
        <v>119</v>
      </c>
      <c r="B124" s="16" t="n">
        <f aca="false">B123+IF(WEEKDAY(B123,2)=6,2,1)</f>
        <v>46161</v>
      </c>
      <c r="C124" s="5" t="n">
        <f aca="false">MONTH(B124)</f>
        <v>5</v>
      </c>
      <c r="D124" s="5" t="n">
        <f aca="false">IF(C124&lt;&gt;C123,1,0)</f>
        <v>0</v>
      </c>
      <c r="E124" s="5" t="n">
        <f aca="false">IF(L123=1,CantPedido,0)</f>
        <v>0</v>
      </c>
      <c r="F124" s="5" t="n">
        <f aca="false">J123+E124</f>
        <v>8</v>
      </c>
      <c r="G124" s="5" t="n">
        <f aca="false">RANDBETWEEN(3,7)</f>
        <v>7</v>
      </c>
      <c r="H124" s="5" t="n">
        <f aca="false">MIN(F124,G124)</f>
        <v>7</v>
      </c>
      <c r="I124" s="5" t="n">
        <f aca="false">G124-H124</f>
        <v>0</v>
      </c>
      <c r="J124" s="5" t="n">
        <f aca="false">F124-H124</f>
        <v>1</v>
      </c>
      <c r="K124" s="5" t="n">
        <f aca="false">IF(I124&gt;0,1,0)</f>
        <v>0</v>
      </c>
      <c r="L124" s="5" t="n">
        <f aca="false">IF(J124&lt;PuntoReorden,1,0)</f>
        <v>1</v>
      </c>
      <c r="M124" s="18" t="n">
        <f aca="false">PrecioVenta*H124</f>
        <v>4760000</v>
      </c>
      <c r="N124" s="18" t="n">
        <f aca="false">CostoUnitario*E124</f>
        <v>0</v>
      </c>
      <c r="O124" s="18" t="n">
        <f aca="false">IF(E124&gt;0,CostoPedido,0)</f>
        <v>0</v>
      </c>
      <c r="P124" s="18" t="n">
        <f aca="false">CostoAlm*(F124+J124)/2</f>
        <v>360</v>
      </c>
      <c r="Q124" s="18" t="n">
        <f aca="false">CostoFijo*D124</f>
        <v>0</v>
      </c>
      <c r="R124" s="18" t="n">
        <f aca="false">M124-N124-O124-P124-Q124</f>
        <v>4759640</v>
      </c>
    </row>
    <row r="125" customFormat="false" ht="15" hidden="false" customHeight="true" outlineLevel="0" collapsed="false">
      <c r="A125" s="5" t="n">
        <f aca="false">A124+1</f>
        <v>120</v>
      </c>
      <c r="B125" s="16" t="n">
        <f aca="false">B124+IF(WEEKDAY(B124,2)=6,2,1)</f>
        <v>46162</v>
      </c>
      <c r="C125" s="5" t="n">
        <f aca="false">MONTH(B125)</f>
        <v>5</v>
      </c>
      <c r="D125" s="5" t="n">
        <f aca="false">IF(C125&lt;&gt;C124,1,0)</f>
        <v>0</v>
      </c>
      <c r="E125" s="17" t="n">
        <f aca="false">IF(L124=1,CantPedido,0)</f>
        <v>15</v>
      </c>
      <c r="F125" s="5" t="n">
        <f aca="false">J124+E125</f>
        <v>16</v>
      </c>
      <c r="G125" s="5" t="n">
        <f aca="false">RANDBETWEEN(3,7)</f>
        <v>7</v>
      </c>
      <c r="H125" s="5" t="n">
        <f aca="false">MIN(F125,G125)</f>
        <v>7</v>
      </c>
      <c r="I125" s="5" t="n">
        <f aca="false">G125-H125</f>
        <v>0</v>
      </c>
      <c r="J125" s="5" t="n">
        <f aca="false">F125-H125</f>
        <v>9</v>
      </c>
      <c r="K125" s="5" t="n">
        <f aca="false">IF(I125&gt;0,1,0)</f>
        <v>0</v>
      </c>
      <c r="L125" s="5" t="n">
        <f aca="false">IF(J125&lt;PuntoReorden,1,0)</f>
        <v>0</v>
      </c>
      <c r="M125" s="18" t="n">
        <f aca="false">PrecioVenta*H125</f>
        <v>4760000</v>
      </c>
      <c r="N125" s="18" t="n">
        <f aca="false">CostoUnitario*E125</f>
        <v>9000000</v>
      </c>
      <c r="O125" s="18" t="n">
        <f aca="false">IF(E125&gt;0,CostoPedido,0)</f>
        <v>40000</v>
      </c>
      <c r="P125" s="18" t="n">
        <f aca="false">CostoAlm*(F125+J125)/2</f>
        <v>1000</v>
      </c>
      <c r="Q125" s="18" t="n">
        <f aca="false">CostoFijo*D125</f>
        <v>0</v>
      </c>
      <c r="R125" s="18" t="n">
        <f aca="false">M125-N125-O125-P125-Q125</f>
        <v>-4281000</v>
      </c>
    </row>
    <row r="126" customFormat="false" ht="15" hidden="false" customHeight="true" outlineLevel="0" collapsed="false">
      <c r="A126" s="5" t="n">
        <f aca="false">A125+1</f>
        <v>121</v>
      </c>
      <c r="B126" s="16" t="n">
        <f aca="false">B125+IF(WEEKDAY(B125,2)=6,2,1)</f>
        <v>46163</v>
      </c>
      <c r="C126" s="5" t="n">
        <f aca="false">MONTH(B126)</f>
        <v>5</v>
      </c>
      <c r="D126" s="5" t="n">
        <f aca="false">IF(C126&lt;&gt;C125,1,0)</f>
        <v>0</v>
      </c>
      <c r="E126" s="17" t="n">
        <f aca="false">IF(L125=1,CantPedido,0)</f>
        <v>0</v>
      </c>
      <c r="F126" s="5" t="n">
        <f aca="false">J125+E126</f>
        <v>9</v>
      </c>
      <c r="G126" s="5" t="n">
        <f aca="false">RANDBETWEEN(3,7)</f>
        <v>5</v>
      </c>
      <c r="H126" s="5" t="n">
        <f aca="false">MIN(F126,G126)</f>
        <v>5</v>
      </c>
      <c r="I126" s="5" t="n">
        <f aca="false">G126-H126</f>
        <v>0</v>
      </c>
      <c r="J126" s="5" t="n">
        <f aca="false">F126-H126</f>
        <v>4</v>
      </c>
      <c r="K126" s="5" t="n">
        <f aca="false">IF(I126&gt;0,1,0)</f>
        <v>0</v>
      </c>
      <c r="L126" s="5" t="n">
        <f aca="false">IF(J126&lt;PuntoReorden,1,0)</f>
        <v>1</v>
      </c>
      <c r="M126" s="18" t="n">
        <f aca="false">PrecioVenta*H126</f>
        <v>3400000</v>
      </c>
      <c r="N126" s="18" t="n">
        <f aca="false">CostoUnitario*E126</f>
        <v>0</v>
      </c>
      <c r="O126" s="18" t="n">
        <f aca="false">IF(E126&gt;0,CostoPedido,0)</f>
        <v>0</v>
      </c>
      <c r="P126" s="18" t="n">
        <f aca="false">CostoAlm*(F126+J126)/2</f>
        <v>520</v>
      </c>
      <c r="Q126" s="18" t="n">
        <f aca="false">CostoFijo*D126</f>
        <v>0</v>
      </c>
      <c r="R126" s="18" t="n">
        <f aca="false">M126-N126-O126-P126-Q126</f>
        <v>3399480</v>
      </c>
    </row>
    <row r="127" customFormat="false" ht="15" hidden="false" customHeight="true" outlineLevel="0" collapsed="false">
      <c r="A127" s="5" t="n">
        <f aca="false">A126+1</f>
        <v>122</v>
      </c>
      <c r="B127" s="16" t="n">
        <f aca="false">B126+IF(WEEKDAY(B126,2)=6,2,1)</f>
        <v>46164</v>
      </c>
      <c r="C127" s="5" t="n">
        <f aca="false">MONTH(B127)</f>
        <v>5</v>
      </c>
      <c r="D127" s="5" t="n">
        <f aca="false">IF(C127&lt;&gt;C126,1,0)</f>
        <v>0</v>
      </c>
      <c r="E127" s="17" t="n">
        <f aca="false">IF(L126=1,CantPedido,0)</f>
        <v>15</v>
      </c>
      <c r="F127" s="5" t="n">
        <f aca="false">J126+E127</f>
        <v>19</v>
      </c>
      <c r="G127" s="5" t="n">
        <f aca="false">RANDBETWEEN(3,7)</f>
        <v>7</v>
      </c>
      <c r="H127" s="5" t="n">
        <f aca="false">MIN(F127,G127)</f>
        <v>7</v>
      </c>
      <c r="I127" s="5" t="n">
        <f aca="false">G127-H127</f>
        <v>0</v>
      </c>
      <c r="J127" s="5" t="n">
        <f aca="false">F127-H127</f>
        <v>12</v>
      </c>
      <c r="K127" s="5" t="n">
        <f aca="false">IF(I127&gt;0,1,0)</f>
        <v>0</v>
      </c>
      <c r="L127" s="5" t="n">
        <f aca="false">IF(J127&lt;PuntoReorden,1,0)</f>
        <v>0</v>
      </c>
      <c r="M127" s="18" t="n">
        <f aca="false">PrecioVenta*H127</f>
        <v>4760000</v>
      </c>
      <c r="N127" s="18" t="n">
        <f aca="false">CostoUnitario*E127</f>
        <v>9000000</v>
      </c>
      <c r="O127" s="18" t="n">
        <f aca="false">IF(E127&gt;0,CostoPedido,0)</f>
        <v>40000</v>
      </c>
      <c r="P127" s="18" t="n">
        <f aca="false">CostoAlm*(F127+J127)/2</f>
        <v>1240</v>
      </c>
      <c r="Q127" s="18" t="n">
        <f aca="false">CostoFijo*D127</f>
        <v>0</v>
      </c>
      <c r="R127" s="18" t="n">
        <f aca="false">M127-N127-O127-P127-Q127</f>
        <v>-4281240</v>
      </c>
    </row>
    <row r="128" customFormat="false" ht="15" hidden="false" customHeight="true" outlineLevel="0" collapsed="false">
      <c r="A128" s="5" t="n">
        <f aca="false">A127+1</f>
        <v>123</v>
      </c>
      <c r="B128" s="16" t="n">
        <f aca="false">B127+IF(WEEKDAY(B127,2)=6,2,1)</f>
        <v>46165</v>
      </c>
      <c r="C128" s="5" t="n">
        <f aca="false">MONTH(B128)</f>
        <v>5</v>
      </c>
      <c r="D128" s="5" t="n">
        <f aca="false">IF(C128&lt;&gt;C127,1,0)</f>
        <v>0</v>
      </c>
      <c r="E128" s="5" t="n">
        <f aca="false">IF(L127=1,CantPedido,0)</f>
        <v>0</v>
      </c>
      <c r="F128" s="5" t="n">
        <f aca="false">J127+E128</f>
        <v>12</v>
      </c>
      <c r="G128" s="5" t="n">
        <f aca="false">RANDBETWEEN(3,7)</f>
        <v>7</v>
      </c>
      <c r="H128" s="5" t="n">
        <f aca="false">MIN(F128,G128)</f>
        <v>7</v>
      </c>
      <c r="I128" s="5" t="n">
        <f aca="false">G128-H128</f>
        <v>0</v>
      </c>
      <c r="J128" s="5" t="n">
        <f aca="false">F128-H128</f>
        <v>5</v>
      </c>
      <c r="K128" s="5" t="n">
        <f aca="false">IF(I128&gt;0,1,0)</f>
        <v>0</v>
      </c>
      <c r="L128" s="5" t="n">
        <f aca="false">IF(J128&lt;PuntoReorden,1,0)</f>
        <v>1</v>
      </c>
      <c r="M128" s="18" t="n">
        <f aca="false">PrecioVenta*H128</f>
        <v>4760000</v>
      </c>
      <c r="N128" s="18" t="n">
        <f aca="false">CostoUnitario*E128</f>
        <v>0</v>
      </c>
      <c r="O128" s="18" t="n">
        <f aca="false">IF(E128&gt;0,CostoPedido,0)</f>
        <v>0</v>
      </c>
      <c r="P128" s="18" t="n">
        <f aca="false">CostoAlm*(F128+J128)/2</f>
        <v>680</v>
      </c>
      <c r="Q128" s="18" t="n">
        <f aca="false">CostoFijo*D128</f>
        <v>0</v>
      </c>
      <c r="R128" s="18" t="n">
        <f aca="false">M128-N128-O128-P128-Q128</f>
        <v>4759320</v>
      </c>
    </row>
    <row r="129" customFormat="false" ht="15" hidden="false" customHeight="true" outlineLevel="0" collapsed="false">
      <c r="A129" s="5" t="n">
        <f aca="false">A128+1</f>
        <v>124</v>
      </c>
      <c r="B129" s="16" t="n">
        <f aca="false">B128+IF(WEEKDAY(B128,2)=6,2,1)</f>
        <v>46167</v>
      </c>
      <c r="C129" s="5" t="n">
        <f aca="false">MONTH(B129)</f>
        <v>5</v>
      </c>
      <c r="D129" s="5" t="n">
        <f aca="false">IF(C129&lt;&gt;C128,1,0)</f>
        <v>0</v>
      </c>
      <c r="E129" s="17" t="n">
        <f aca="false">IF(L128=1,CantPedido,0)</f>
        <v>15</v>
      </c>
      <c r="F129" s="5" t="n">
        <f aca="false">J128+E129</f>
        <v>20</v>
      </c>
      <c r="G129" s="5" t="n">
        <f aca="false">RANDBETWEEN(3,7)</f>
        <v>6</v>
      </c>
      <c r="H129" s="5" t="n">
        <f aca="false">MIN(F129,G129)</f>
        <v>6</v>
      </c>
      <c r="I129" s="5" t="n">
        <f aca="false">G129-H129</f>
        <v>0</v>
      </c>
      <c r="J129" s="5" t="n">
        <f aca="false">F129-H129</f>
        <v>14</v>
      </c>
      <c r="K129" s="5" t="n">
        <f aca="false">IF(I129&gt;0,1,0)</f>
        <v>0</v>
      </c>
      <c r="L129" s="5" t="n">
        <f aca="false">IF(J129&lt;PuntoReorden,1,0)</f>
        <v>0</v>
      </c>
      <c r="M129" s="18" t="n">
        <f aca="false">PrecioVenta*H129</f>
        <v>4080000</v>
      </c>
      <c r="N129" s="18" t="n">
        <f aca="false">CostoUnitario*E129</f>
        <v>9000000</v>
      </c>
      <c r="O129" s="18" t="n">
        <f aca="false">IF(E129&gt;0,CostoPedido,0)</f>
        <v>40000</v>
      </c>
      <c r="P129" s="18" t="n">
        <f aca="false">CostoAlm*(F129+J129)/2</f>
        <v>1360</v>
      </c>
      <c r="Q129" s="18" t="n">
        <f aca="false">CostoFijo*D129</f>
        <v>0</v>
      </c>
      <c r="R129" s="18" t="n">
        <f aca="false">M129-N129-O129-P129-Q129</f>
        <v>-4961360</v>
      </c>
    </row>
    <row r="130" customFormat="false" ht="15" hidden="false" customHeight="true" outlineLevel="0" collapsed="false">
      <c r="A130" s="5" t="n">
        <f aca="false">A129+1</f>
        <v>125</v>
      </c>
      <c r="B130" s="16" t="n">
        <f aca="false">B129+IF(WEEKDAY(B129,2)=6,2,1)</f>
        <v>46168</v>
      </c>
      <c r="C130" s="5" t="n">
        <f aca="false">MONTH(B130)</f>
        <v>5</v>
      </c>
      <c r="D130" s="5" t="n">
        <f aca="false">IF(C130&lt;&gt;C129,1,0)</f>
        <v>0</v>
      </c>
      <c r="E130" s="5" t="n">
        <f aca="false">IF(L129=1,CantPedido,0)</f>
        <v>0</v>
      </c>
      <c r="F130" s="5" t="n">
        <f aca="false">J129+E130</f>
        <v>14</v>
      </c>
      <c r="G130" s="5" t="n">
        <f aca="false">RANDBETWEEN(3,7)</f>
        <v>7</v>
      </c>
      <c r="H130" s="5" t="n">
        <f aca="false">MIN(F130,G130)</f>
        <v>7</v>
      </c>
      <c r="I130" s="5" t="n">
        <f aca="false">G130-H130</f>
        <v>0</v>
      </c>
      <c r="J130" s="5" t="n">
        <f aca="false">F130-H130</f>
        <v>7</v>
      </c>
      <c r="K130" s="5" t="n">
        <f aca="false">IF(I130&gt;0,1,0)</f>
        <v>0</v>
      </c>
      <c r="L130" s="5" t="n">
        <f aca="false">IF(J130&lt;PuntoReorden,1,0)</f>
        <v>0</v>
      </c>
      <c r="M130" s="18" t="n">
        <f aca="false">PrecioVenta*H130</f>
        <v>4760000</v>
      </c>
      <c r="N130" s="18" t="n">
        <f aca="false">CostoUnitario*E130</f>
        <v>0</v>
      </c>
      <c r="O130" s="18" t="n">
        <f aca="false">IF(E130&gt;0,CostoPedido,0)</f>
        <v>0</v>
      </c>
      <c r="P130" s="18" t="n">
        <f aca="false">CostoAlm*(F130+J130)/2</f>
        <v>840</v>
      </c>
      <c r="Q130" s="18" t="n">
        <f aca="false">CostoFijo*D130</f>
        <v>0</v>
      </c>
      <c r="R130" s="18" t="n">
        <f aca="false">M130-N130-O130-P130-Q130</f>
        <v>4759160</v>
      </c>
    </row>
    <row r="131" customFormat="false" ht="15" hidden="false" customHeight="true" outlineLevel="0" collapsed="false">
      <c r="A131" s="5" t="n">
        <f aca="false">A130+1</f>
        <v>126</v>
      </c>
      <c r="B131" s="16" t="n">
        <f aca="false">B130+IF(WEEKDAY(B130,2)=6,2,1)</f>
        <v>46169</v>
      </c>
      <c r="C131" s="5" t="n">
        <f aca="false">MONTH(B131)</f>
        <v>5</v>
      </c>
      <c r="D131" s="5" t="n">
        <f aca="false">IF(C131&lt;&gt;C130,1,0)</f>
        <v>0</v>
      </c>
      <c r="E131" s="5" t="n">
        <f aca="false">IF(L130=1,CantPedido,0)</f>
        <v>0</v>
      </c>
      <c r="F131" s="5" t="n">
        <f aca="false">J130+E131</f>
        <v>7</v>
      </c>
      <c r="G131" s="5" t="n">
        <f aca="false">RANDBETWEEN(3,7)</f>
        <v>7</v>
      </c>
      <c r="H131" s="5" t="n">
        <f aca="false">MIN(F131,G131)</f>
        <v>7</v>
      </c>
      <c r="I131" s="5" t="n">
        <f aca="false">G131-H131</f>
        <v>0</v>
      </c>
      <c r="J131" s="5" t="n">
        <f aca="false">F131-H131</f>
        <v>0</v>
      </c>
      <c r="K131" s="5" t="n">
        <f aca="false">IF(I131&gt;0,1,0)</f>
        <v>0</v>
      </c>
      <c r="L131" s="5" t="n">
        <f aca="false">IF(J131&lt;PuntoReorden,1,0)</f>
        <v>1</v>
      </c>
      <c r="M131" s="18" t="n">
        <f aca="false">PrecioVenta*H131</f>
        <v>4760000</v>
      </c>
      <c r="N131" s="18" t="n">
        <f aca="false">CostoUnitario*E131</f>
        <v>0</v>
      </c>
      <c r="O131" s="18" t="n">
        <f aca="false">IF(E131&gt;0,CostoPedido,0)</f>
        <v>0</v>
      </c>
      <c r="P131" s="18" t="n">
        <f aca="false">CostoAlm*(F131+J131)/2</f>
        <v>280</v>
      </c>
      <c r="Q131" s="18" t="n">
        <f aca="false">CostoFijo*D131</f>
        <v>0</v>
      </c>
      <c r="R131" s="18" t="n">
        <f aca="false">M131-N131-O131-P131-Q131</f>
        <v>4759720</v>
      </c>
    </row>
    <row r="132" customFormat="false" ht="15" hidden="false" customHeight="true" outlineLevel="0" collapsed="false">
      <c r="A132" s="5" t="n">
        <f aca="false">A131+1</f>
        <v>127</v>
      </c>
      <c r="B132" s="16" t="n">
        <f aca="false">B131+IF(WEEKDAY(B131,2)=6,2,1)</f>
        <v>46170</v>
      </c>
      <c r="C132" s="5" t="n">
        <f aca="false">MONTH(B132)</f>
        <v>5</v>
      </c>
      <c r="D132" s="5" t="n">
        <f aca="false">IF(C132&lt;&gt;C131,1,0)</f>
        <v>0</v>
      </c>
      <c r="E132" s="17" t="n">
        <f aca="false">IF(L131=1,CantPedido,0)</f>
        <v>15</v>
      </c>
      <c r="F132" s="5" t="n">
        <f aca="false">J131+E132</f>
        <v>15</v>
      </c>
      <c r="G132" s="5" t="n">
        <f aca="false">RANDBETWEEN(3,7)</f>
        <v>5</v>
      </c>
      <c r="H132" s="5" t="n">
        <f aca="false">MIN(F132,G132)</f>
        <v>5</v>
      </c>
      <c r="I132" s="5" t="n">
        <f aca="false">G132-H132</f>
        <v>0</v>
      </c>
      <c r="J132" s="5" t="n">
        <f aca="false">F132-H132</f>
        <v>10</v>
      </c>
      <c r="K132" s="5" t="n">
        <f aca="false">IF(I132&gt;0,1,0)</f>
        <v>0</v>
      </c>
      <c r="L132" s="5" t="n">
        <f aca="false">IF(J132&lt;PuntoReorden,1,0)</f>
        <v>0</v>
      </c>
      <c r="M132" s="18" t="n">
        <f aca="false">PrecioVenta*H132</f>
        <v>3400000</v>
      </c>
      <c r="N132" s="18" t="n">
        <f aca="false">CostoUnitario*E132</f>
        <v>9000000</v>
      </c>
      <c r="O132" s="18" t="n">
        <f aca="false">IF(E132&gt;0,CostoPedido,0)</f>
        <v>40000</v>
      </c>
      <c r="P132" s="18" t="n">
        <f aca="false">CostoAlm*(F132+J132)/2</f>
        <v>1000</v>
      </c>
      <c r="Q132" s="18" t="n">
        <f aca="false">CostoFijo*D132</f>
        <v>0</v>
      </c>
      <c r="R132" s="18" t="n">
        <f aca="false">M132-N132-O132-P132-Q132</f>
        <v>-5641000</v>
      </c>
    </row>
    <row r="133" customFormat="false" ht="15" hidden="false" customHeight="true" outlineLevel="0" collapsed="false">
      <c r="A133" s="5" t="n">
        <f aca="false">A132+1</f>
        <v>128</v>
      </c>
      <c r="B133" s="16" t="n">
        <f aca="false">B132+IF(WEEKDAY(B132,2)=6,2,1)</f>
        <v>46171</v>
      </c>
      <c r="C133" s="5" t="n">
        <f aca="false">MONTH(B133)</f>
        <v>5</v>
      </c>
      <c r="D133" s="5" t="n">
        <f aca="false">IF(C133&lt;&gt;C132,1,0)</f>
        <v>0</v>
      </c>
      <c r="E133" s="5" t="n">
        <f aca="false">IF(L132=1,CantPedido,0)</f>
        <v>0</v>
      </c>
      <c r="F133" s="5" t="n">
        <f aca="false">J132+E133</f>
        <v>10</v>
      </c>
      <c r="G133" s="5" t="n">
        <f aca="false">RANDBETWEEN(3,7)</f>
        <v>5</v>
      </c>
      <c r="H133" s="5" t="n">
        <f aca="false">MIN(F133,G133)</f>
        <v>5</v>
      </c>
      <c r="I133" s="5" t="n">
        <f aca="false">G133-H133</f>
        <v>0</v>
      </c>
      <c r="J133" s="5" t="n">
        <f aca="false">F133-H133</f>
        <v>5</v>
      </c>
      <c r="K133" s="5" t="n">
        <f aca="false">IF(I133&gt;0,1,0)</f>
        <v>0</v>
      </c>
      <c r="L133" s="5" t="n">
        <f aca="false">IF(J133&lt;PuntoReorden,1,0)</f>
        <v>1</v>
      </c>
      <c r="M133" s="18" t="n">
        <f aca="false">PrecioVenta*H133</f>
        <v>3400000</v>
      </c>
      <c r="N133" s="18" t="n">
        <f aca="false">CostoUnitario*E133</f>
        <v>0</v>
      </c>
      <c r="O133" s="18" t="n">
        <f aca="false">IF(E133&gt;0,CostoPedido,0)</f>
        <v>0</v>
      </c>
      <c r="P133" s="18" t="n">
        <f aca="false">CostoAlm*(F133+J133)/2</f>
        <v>600</v>
      </c>
      <c r="Q133" s="18" t="n">
        <f aca="false">CostoFijo*D133</f>
        <v>0</v>
      </c>
      <c r="R133" s="18" t="n">
        <f aca="false">M133-N133-O133-P133-Q133</f>
        <v>3399400</v>
      </c>
    </row>
    <row r="134" customFormat="false" ht="15" hidden="false" customHeight="true" outlineLevel="0" collapsed="false">
      <c r="A134" s="5" t="n">
        <f aca="false">A133+1</f>
        <v>129</v>
      </c>
      <c r="B134" s="16" t="n">
        <f aca="false">B133+IF(WEEKDAY(B133,2)=6,2,1)</f>
        <v>46172</v>
      </c>
      <c r="C134" s="5" t="n">
        <f aca="false">MONTH(B134)</f>
        <v>5</v>
      </c>
      <c r="D134" s="5" t="n">
        <f aca="false">IF(C134&lt;&gt;C133,1,0)</f>
        <v>0</v>
      </c>
      <c r="E134" s="17" t="n">
        <f aca="false">IF(L133=1,CantPedido,0)</f>
        <v>15</v>
      </c>
      <c r="F134" s="5" t="n">
        <f aca="false">J133+E134</f>
        <v>20</v>
      </c>
      <c r="G134" s="5" t="n">
        <f aca="false">RANDBETWEEN(3,7)</f>
        <v>3</v>
      </c>
      <c r="H134" s="5" t="n">
        <f aca="false">MIN(F134,G134)</f>
        <v>3</v>
      </c>
      <c r="I134" s="5" t="n">
        <f aca="false">G134-H134</f>
        <v>0</v>
      </c>
      <c r="J134" s="5" t="n">
        <f aca="false">F134-H134</f>
        <v>17</v>
      </c>
      <c r="K134" s="5" t="n">
        <f aca="false">IF(I134&gt;0,1,0)</f>
        <v>0</v>
      </c>
      <c r="L134" s="5" t="n">
        <f aca="false">IF(J134&lt;PuntoReorden,1,0)</f>
        <v>0</v>
      </c>
      <c r="M134" s="18" t="n">
        <f aca="false">PrecioVenta*H134</f>
        <v>2040000</v>
      </c>
      <c r="N134" s="18" t="n">
        <f aca="false">CostoUnitario*E134</f>
        <v>9000000</v>
      </c>
      <c r="O134" s="18" t="n">
        <f aca="false">IF(E134&gt;0,CostoPedido,0)</f>
        <v>40000</v>
      </c>
      <c r="P134" s="18" t="n">
        <f aca="false">CostoAlm*(F134+J134)/2</f>
        <v>1480</v>
      </c>
      <c r="Q134" s="18" t="n">
        <f aca="false">CostoFijo*D134</f>
        <v>0</v>
      </c>
      <c r="R134" s="18" t="n">
        <f aca="false">M134-N134-O134-P134-Q134</f>
        <v>-7001480</v>
      </c>
    </row>
    <row r="135" customFormat="false" ht="15" hidden="false" customHeight="true" outlineLevel="0" collapsed="false">
      <c r="A135" s="5" t="n">
        <f aca="false">A134+1</f>
        <v>130</v>
      </c>
      <c r="B135" s="16" t="n">
        <f aca="false">B134+IF(WEEKDAY(B134,2)=6,2,1)</f>
        <v>46174</v>
      </c>
      <c r="C135" s="5" t="n">
        <f aca="false">MONTH(B135)</f>
        <v>6</v>
      </c>
      <c r="D135" s="5" t="n">
        <f aca="false">IF(C135&lt;&gt;C134,1,0)</f>
        <v>1</v>
      </c>
      <c r="E135" s="17" t="n">
        <f aca="false">IF(L134=1,CantPedido,0)</f>
        <v>0</v>
      </c>
      <c r="F135" s="5" t="n">
        <f aca="false">J134+E135</f>
        <v>17</v>
      </c>
      <c r="G135" s="5" t="n">
        <f aca="false">RANDBETWEEN(3,7)</f>
        <v>5</v>
      </c>
      <c r="H135" s="5" t="n">
        <f aca="false">MIN(F135,G135)</f>
        <v>5</v>
      </c>
      <c r="I135" s="5" t="n">
        <f aca="false">G135-H135</f>
        <v>0</v>
      </c>
      <c r="J135" s="5" t="n">
        <f aca="false">F135-H135</f>
        <v>12</v>
      </c>
      <c r="K135" s="5" t="n">
        <f aca="false">IF(I135&gt;0,1,0)</f>
        <v>0</v>
      </c>
      <c r="L135" s="5" t="n">
        <f aca="false">IF(J135&lt;PuntoReorden,1,0)</f>
        <v>0</v>
      </c>
      <c r="M135" s="18" t="n">
        <f aca="false">PrecioVenta*H135</f>
        <v>3400000</v>
      </c>
      <c r="N135" s="18" t="n">
        <f aca="false">CostoUnitario*E135</f>
        <v>0</v>
      </c>
      <c r="O135" s="18" t="n">
        <f aca="false">IF(E135&gt;0,CostoPedido,0)</f>
        <v>0</v>
      </c>
      <c r="P135" s="18" t="n">
        <f aca="false">CostoAlm*(F135+J135)/2</f>
        <v>1160</v>
      </c>
      <c r="Q135" s="18" t="n">
        <f aca="false">CostoFijo*D135</f>
        <v>1000000</v>
      </c>
      <c r="R135" s="18" t="n">
        <f aca="false">M135-N135-O135-P135-Q135</f>
        <v>2398840</v>
      </c>
    </row>
    <row r="136" customFormat="false" ht="15" hidden="false" customHeight="true" outlineLevel="0" collapsed="false">
      <c r="A136" s="5" t="n">
        <f aca="false">A135+1</f>
        <v>131</v>
      </c>
      <c r="B136" s="16" t="n">
        <f aca="false">B135+IF(WEEKDAY(B135,2)=6,2,1)</f>
        <v>46175</v>
      </c>
      <c r="C136" s="5" t="n">
        <f aca="false">MONTH(B136)</f>
        <v>6</v>
      </c>
      <c r="D136" s="5" t="n">
        <f aca="false">IF(C136&lt;&gt;C135,1,0)</f>
        <v>0</v>
      </c>
      <c r="E136" s="5" t="n">
        <f aca="false">IF(L135=1,CantPedido,0)</f>
        <v>0</v>
      </c>
      <c r="F136" s="5" t="n">
        <f aca="false">J135+E136</f>
        <v>12</v>
      </c>
      <c r="G136" s="5" t="n">
        <f aca="false">RANDBETWEEN(3,7)</f>
        <v>7</v>
      </c>
      <c r="H136" s="5" t="n">
        <f aca="false">MIN(F136,G136)</f>
        <v>7</v>
      </c>
      <c r="I136" s="5" t="n">
        <f aca="false">G136-H136</f>
        <v>0</v>
      </c>
      <c r="J136" s="5" t="n">
        <f aca="false">F136-H136</f>
        <v>5</v>
      </c>
      <c r="K136" s="5" t="n">
        <f aca="false">IF(I136&gt;0,1,0)</f>
        <v>0</v>
      </c>
      <c r="L136" s="5" t="n">
        <f aca="false">IF(J136&lt;PuntoReorden,1,0)</f>
        <v>1</v>
      </c>
      <c r="M136" s="18" t="n">
        <f aca="false">PrecioVenta*H136</f>
        <v>4760000</v>
      </c>
      <c r="N136" s="18" t="n">
        <f aca="false">CostoUnitario*E136</f>
        <v>0</v>
      </c>
      <c r="O136" s="18" t="n">
        <f aca="false">IF(E136&gt;0,CostoPedido,0)</f>
        <v>0</v>
      </c>
      <c r="P136" s="18" t="n">
        <f aca="false">CostoAlm*(F136+J136)/2</f>
        <v>680</v>
      </c>
      <c r="Q136" s="18" t="n">
        <f aca="false">CostoFijo*D136</f>
        <v>0</v>
      </c>
      <c r="R136" s="18" t="n">
        <f aca="false">M136-N136-O136-P136-Q136</f>
        <v>4759320</v>
      </c>
    </row>
    <row r="137" customFormat="false" ht="15" hidden="false" customHeight="true" outlineLevel="0" collapsed="false">
      <c r="A137" s="5" t="n">
        <f aca="false">A136+1</f>
        <v>132</v>
      </c>
      <c r="B137" s="16" t="n">
        <f aca="false">B136+IF(WEEKDAY(B136,2)=6,2,1)</f>
        <v>46176</v>
      </c>
      <c r="C137" s="5" t="n">
        <f aca="false">MONTH(B137)</f>
        <v>6</v>
      </c>
      <c r="D137" s="5" t="n">
        <f aca="false">IF(C137&lt;&gt;C136,1,0)</f>
        <v>0</v>
      </c>
      <c r="E137" s="17" t="n">
        <f aca="false">IF(L136=1,CantPedido,0)</f>
        <v>15</v>
      </c>
      <c r="F137" s="5" t="n">
        <f aca="false">J136+E137</f>
        <v>20</v>
      </c>
      <c r="G137" s="5" t="n">
        <f aca="false">RANDBETWEEN(3,7)</f>
        <v>7</v>
      </c>
      <c r="H137" s="5" t="n">
        <f aca="false">MIN(F137,G137)</f>
        <v>7</v>
      </c>
      <c r="I137" s="5" t="n">
        <f aca="false">G137-H137</f>
        <v>0</v>
      </c>
      <c r="J137" s="5" t="n">
        <f aca="false">F137-H137</f>
        <v>13</v>
      </c>
      <c r="K137" s="5" t="n">
        <f aca="false">IF(I137&gt;0,1,0)</f>
        <v>0</v>
      </c>
      <c r="L137" s="5" t="n">
        <f aca="false">IF(J137&lt;PuntoReorden,1,0)</f>
        <v>0</v>
      </c>
      <c r="M137" s="18" t="n">
        <f aca="false">PrecioVenta*H137</f>
        <v>4760000</v>
      </c>
      <c r="N137" s="18" t="n">
        <f aca="false">CostoUnitario*E137</f>
        <v>9000000</v>
      </c>
      <c r="O137" s="18" t="n">
        <f aca="false">IF(E137&gt;0,CostoPedido,0)</f>
        <v>40000</v>
      </c>
      <c r="P137" s="18" t="n">
        <f aca="false">CostoAlm*(F137+J137)/2</f>
        <v>1320</v>
      </c>
      <c r="Q137" s="18" t="n">
        <f aca="false">CostoFijo*D137</f>
        <v>0</v>
      </c>
      <c r="R137" s="18" t="n">
        <f aca="false">M137-N137-O137-P137-Q137</f>
        <v>-4281320</v>
      </c>
    </row>
    <row r="138" customFormat="false" ht="15" hidden="false" customHeight="true" outlineLevel="0" collapsed="false">
      <c r="A138" s="5" t="n">
        <f aca="false">A137+1</f>
        <v>133</v>
      </c>
      <c r="B138" s="16" t="n">
        <f aca="false">B137+IF(WEEKDAY(B137,2)=6,2,1)</f>
        <v>46177</v>
      </c>
      <c r="C138" s="5" t="n">
        <f aca="false">MONTH(B138)</f>
        <v>6</v>
      </c>
      <c r="D138" s="5" t="n">
        <f aca="false">IF(C138&lt;&gt;C137,1,0)</f>
        <v>0</v>
      </c>
      <c r="E138" s="5" t="n">
        <f aca="false">IF(L137=1,CantPedido,0)</f>
        <v>0</v>
      </c>
      <c r="F138" s="5" t="n">
        <f aca="false">J137+E138</f>
        <v>13</v>
      </c>
      <c r="G138" s="5" t="n">
        <f aca="false">RANDBETWEEN(3,7)</f>
        <v>4</v>
      </c>
      <c r="H138" s="5" t="n">
        <f aca="false">MIN(F138,G138)</f>
        <v>4</v>
      </c>
      <c r="I138" s="5" t="n">
        <f aca="false">G138-H138</f>
        <v>0</v>
      </c>
      <c r="J138" s="5" t="n">
        <f aca="false">F138-H138</f>
        <v>9</v>
      </c>
      <c r="K138" s="5" t="n">
        <f aca="false">IF(I138&gt;0,1,0)</f>
        <v>0</v>
      </c>
      <c r="L138" s="5" t="n">
        <f aca="false">IF(J138&lt;PuntoReorden,1,0)</f>
        <v>0</v>
      </c>
      <c r="M138" s="18" t="n">
        <f aca="false">PrecioVenta*H138</f>
        <v>2720000</v>
      </c>
      <c r="N138" s="18" t="n">
        <f aca="false">CostoUnitario*E138</f>
        <v>0</v>
      </c>
      <c r="O138" s="18" t="n">
        <f aca="false">IF(E138&gt;0,CostoPedido,0)</f>
        <v>0</v>
      </c>
      <c r="P138" s="18" t="n">
        <f aca="false">CostoAlm*(F138+J138)/2</f>
        <v>880</v>
      </c>
      <c r="Q138" s="18" t="n">
        <f aca="false">CostoFijo*D138</f>
        <v>0</v>
      </c>
      <c r="R138" s="18" t="n">
        <f aca="false">M138-N138-O138-P138-Q138</f>
        <v>2719120</v>
      </c>
    </row>
    <row r="139" customFormat="false" ht="15" hidden="false" customHeight="true" outlineLevel="0" collapsed="false">
      <c r="A139" s="5" t="n">
        <f aca="false">A138+1</f>
        <v>134</v>
      </c>
      <c r="B139" s="16" t="n">
        <f aca="false">B138+IF(WEEKDAY(B138,2)=6,2,1)</f>
        <v>46178</v>
      </c>
      <c r="C139" s="5" t="n">
        <f aca="false">MONTH(B139)</f>
        <v>6</v>
      </c>
      <c r="D139" s="5" t="n">
        <f aca="false">IF(C139&lt;&gt;C138,1,0)</f>
        <v>0</v>
      </c>
      <c r="E139" s="5" t="n">
        <f aca="false">IF(L138=1,CantPedido,0)</f>
        <v>0</v>
      </c>
      <c r="F139" s="5" t="n">
        <f aca="false">J138+E139</f>
        <v>9</v>
      </c>
      <c r="G139" s="5" t="n">
        <f aca="false">RANDBETWEEN(3,7)</f>
        <v>5</v>
      </c>
      <c r="H139" s="5" t="n">
        <f aca="false">MIN(F139,G139)</f>
        <v>5</v>
      </c>
      <c r="I139" s="5" t="n">
        <f aca="false">G139-H139</f>
        <v>0</v>
      </c>
      <c r="J139" s="5" t="n">
        <f aca="false">F139-H139</f>
        <v>4</v>
      </c>
      <c r="K139" s="5" t="n">
        <f aca="false">IF(I139&gt;0,1,0)</f>
        <v>0</v>
      </c>
      <c r="L139" s="5" t="n">
        <f aca="false">IF(J139&lt;PuntoReorden,1,0)</f>
        <v>1</v>
      </c>
      <c r="M139" s="18" t="n">
        <f aca="false">PrecioVenta*H139</f>
        <v>3400000</v>
      </c>
      <c r="N139" s="18" t="n">
        <f aca="false">CostoUnitario*E139</f>
        <v>0</v>
      </c>
      <c r="O139" s="18" t="n">
        <f aca="false">IF(E139&gt;0,CostoPedido,0)</f>
        <v>0</v>
      </c>
      <c r="P139" s="18" t="n">
        <f aca="false">CostoAlm*(F139+J139)/2</f>
        <v>520</v>
      </c>
      <c r="Q139" s="18" t="n">
        <f aca="false">CostoFijo*D139</f>
        <v>0</v>
      </c>
      <c r="R139" s="18" t="n">
        <f aca="false">M139-N139-O139-P139-Q139</f>
        <v>3399480</v>
      </c>
    </row>
    <row r="140" customFormat="false" ht="15" hidden="false" customHeight="true" outlineLevel="0" collapsed="false">
      <c r="A140" s="5" t="n">
        <f aca="false">A139+1</f>
        <v>135</v>
      </c>
      <c r="B140" s="16" t="n">
        <f aca="false">B139+IF(WEEKDAY(B139,2)=6,2,1)</f>
        <v>46179</v>
      </c>
      <c r="C140" s="5" t="n">
        <f aca="false">MONTH(B140)</f>
        <v>6</v>
      </c>
      <c r="D140" s="5" t="n">
        <f aca="false">IF(C140&lt;&gt;C139,1,0)</f>
        <v>0</v>
      </c>
      <c r="E140" s="17" t="n">
        <f aca="false">IF(L139=1,CantPedido,0)</f>
        <v>15</v>
      </c>
      <c r="F140" s="5" t="n">
        <f aca="false">J139+E140</f>
        <v>19</v>
      </c>
      <c r="G140" s="5" t="n">
        <f aca="false">RANDBETWEEN(3,7)</f>
        <v>7</v>
      </c>
      <c r="H140" s="5" t="n">
        <f aca="false">MIN(F140,G140)</f>
        <v>7</v>
      </c>
      <c r="I140" s="5" t="n">
        <f aca="false">G140-H140</f>
        <v>0</v>
      </c>
      <c r="J140" s="5" t="n">
        <f aca="false">F140-H140</f>
        <v>12</v>
      </c>
      <c r="K140" s="5" t="n">
        <f aca="false">IF(I140&gt;0,1,0)</f>
        <v>0</v>
      </c>
      <c r="L140" s="5" t="n">
        <f aca="false">IF(J140&lt;PuntoReorden,1,0)</f>
        <v>0</v>
      </c>
      <c r="M140" s="18" t="n">
        <f aca="false">PrecioVenta*H140</f>
        <v>4760000</v>
      </c>
      <c r="N140" s="18" t="n">
        <f aca="false">CostoUnitario*E140</f>
        <v>9000000</v>
      </c>
      <c r="O140" s="18" t="n">
        <f aca="false">IF(E140&gt;0,CostoPedido,0)</f>
        <v>40000</v>
      </c>
      <c r="P140" s="18" t="n">
        <f aca="false">CostoAlm*(F140+J140)/2</f>
        <v>1240</v>
      </c>
      <c r="Q140" s="18" t="n">
        <f aca="false">CostoFijo*D140</f>
        <v>0</v>
      </c>
      <c r="R140" s="18" t="n">
        <f aca="false">M140-N140-O140-P140-Q140</f>
        <v>-4281240</v>
      </c>
    </row>
    <row r="141" customFormat="false" ht="15" hidden="false" customHeight="true" outlineLevel="0" collapsed="false">
      <c r="A141" s="5" t="n">
        <f aca="false">A140+1</f>
        <v>136</v>
      </c>
      <c r="B141" s="16" t="n">
        <f aca="false">B140+IF(WEEKDAY(B140,2)=6,2,1)</f>
        <v>46181</v>
      </c>
      <c r="C141" s="5" t="n">
        <f aca="false">MONTH(B141)</f>
        <v>6</v>
      </c>
      <c r="D141" s="5" t="n">
        <f aca="false">IF(C141&lt;&gt;C140,1,0)</f>
        <v>0</v>
      </c>
      <c r="E141" s="5" t="n">
        <f aca="false">IF(L140=1,CantPedido,0)</f>
        <v>0</v>
      </c>
      <c r="F141" s="5" t="n">
        <f aca="false">J140+E141</f>
        <v>12</v>
      </c>
      <c r="G141" s="5" t="n">
        <f aca="false">RANDBETWEEN(3,7)</f>
        <v>7</v>
      </c>
      <c r="H141" s="5" t="n">
        <f aca="false">MIN(F141,G141)</f>
        <v>7</v>
      </c>
      <c r="I141" s="5" t="n">
        <f aca="false">G141-H141</f>
        <v>0</v>
      </c>
      <c r="J141" s="5" t="n">
        <f aca="false">F141-H141</f>
        <v>5</v>
      </c>
      <c r="K141" s="5" t="n">
        <f aca="false">IF(I141&gt;0,1,0)</f>
        <v>0</v>
      </c>
      <c r="L141" s="5" t="n">
        <f aca="false">IF(J141&lt;PuntoReorden,1,0)</f>
        <v>1</v>
      </c>
      <c r="M141" s="18" t="n">
        <f aca="false">PrecioVenta*H141</f>
        <v>4760000</v>
      </c>
      <c r="N141" s="18" t="n">
        <f aca="false">CostoUnitario*E141</f>
        <v>0</v>
      </c>
      <c r="O141" s="18" t="n">
        <f aca="false">IF(E141&gt;0,CostoPedido,0)</f>
        <v>0</v>
      </c>
      <c r="P141" s="18" t="n">
        <f aca="false">CostoAlm*(F141+J141)/2</f>
        <v>680</v>
      </c>
      <c r="Q141" s="18" t="n">
        <f aca="false">CostoFijo*D141</f>
        <v>0</v>
      </c>
      <c r="R141" s="18" t="n">
        <f aca="false">M141-N141-O141-P141-Q141</f>
        <v>4759320</v>
      </c>
    </row>
    <row r="142" customFormat="false" ht="15" hidden="false" customHeight="true" outlineLevel="0" collapsed="false">
      <c r="A142" s="5" t="n">
        <f aca="false">A141+1</f>
        <v>137</v>
      </c>
      <c r="B142" s="16" t="n">
        <f aca="false">B141+IF(WEEKDAY(B141,2)=6,2,1)</f>
        <v>46182</v>
      </c>
      <c r="C142" s="5" t="n">
        <f aca="false">MONTH(B142)</f>
        <v>6</v>
      </c>
      <c r="D142" s="5" t="n">
        <f aca="false">IF(C142&lt;&gt;C141,1,0)</f>
        <v>0</v>
      </c>
      <c r="E142" s="17" t="n">
        <f aca="false">IF(L141=1,CantPedido,0)</f>
        <v>15</v>
      </c>
      <c r="F142" s="5" t="n">
        <f aca="false">J141+E142</f>
        <v>20</v>
      </c>
      <c r="G142" s="5" t="n">
        <f aca="false">RANDBETWEEN(3,7)</f>
        <v>3</v>
      </c>
      <c r="H142" s="5" t="n">
        <f aca="false">MIN(F142,G142)</f>
        <v>3</v>
      </c>
      <c r="I142" s="5" t="n">
        <f aca="false">G142-H142</f>
        <v>0</v>
      </c>
      <c r="J142" s="5" t="n">
        <f aca="false">F142-H142</f>
        <v>17</v>
      </c>
      <c r="K142" s="5" t="n">
        <f aca="false">IF(I142&gt;0,1,0)</f>
        <v>0</v>
      </c>
      <c r="L142" s="5" t="n">
        <f aca="false">IF(J142&lt;PuntoReorden,1,0)</f>
        <v>0</v>
      </c>
      <c r="M142" s="18" t="n">
        <f aca="false">PrecioVenta*H142</f>
        <v>2040000</v>
      </c>
      <c r="N142" s="18" t="n">
        <f aca="false">CostoUnitario*E142</f>
        <v>9000000</v>
      </c>
      <c r="O142" s="18" t="n">
        <f aca="false">IF(E142&gt;0,CostoPedido,0)</f>
        <v>40000</v>
      </c>
      <c r="P142" s="18" t="n">
        <f aca="false">CostoAlm*(F142+J142)/2</f>
        <v>1480</v>
      </c>
      <c r="Q142" s="18" t="n">
        <f aca="false">CostoFijo*D142</f>
        <v>0</v>
      </c>
      <c r="R142" s="18" t="n">
        <f aca="false">M142-N142-O142-P142-Q142</f>
        <v>-7001480</v>
      </c>
    </row>
    <row r="143" customFormat="false" ht="15" hidden="false" customHeight="true" outlineLevel="0" collapsed="false">
      <c r="A143" s="5" t="n">
        <f aca="false">A142+1</f>
        <v>138</v>
      </c>
      <c r="B143" s="16" t="n">
        <f aca="false">B142+IF(WEEKDAY(B142,2)=6,2,1)</f>
        <v>46183</v>
      </c>
      <c r="C143" s="5" t="n">
        <f aca="false">MONTH(B143)</f>
        <v>6</v>
      </c>
      <c r="D143" s="5" t="n">
        <f aca="false">IF(C143&lt;&gt;C142,1,0)</f>
        <v>0</v>
      </c>
      <c r="E143" s="17" t="n">
        <f aca="false">IF(L142=1,CantPedido,0)</f>
        <v>0</v>
      </c>
      <c r="F143" s="5" t="n">
        <f aca="false">J142+E143</f>
        <v>17</v>
      </c>
      <c r="G143" s="5" t="n">
        <f aca="false">RANDBETWEEN(3,7)</f>
        <v>6</v>
      </c>
      <c r="H143" s="5" t="n">
        <f aca="false">MIN(F143,G143)</f>
        <v>6</v>
      </c>
      <c r="I143" s="5" t="n">
        <f aca="false">G143-H143</f>
        <v>0</v>
      </c>
      <c r="J143" s="5" t="n">
        <f aca="false">F143-H143</f>
        <v>11</v>
      </c>
      <c r="K143" s="5" t="n">
        <f aca="false">IF(I143&gt;0,1,0)</f>
        <v>0</v>
      </c>
      <c r="L143" s="5" t="n">
        <f aca="false">IF(J143&lt;PuntoReorden,1,0)</f>
        <v>0</v>
      </c>
      <c r="M143" s="18" t="n">
        <f aca="false">PrecioVenta*H143</f>
        <v>4080000</v>
      </c>
      <c r="N143" s="18" t="n">
        <f aca="false">CostoUnitario*E143</f>
        <v>0</v>
      </c>
      <c r="O143" s="18" t="n">
        <f aca="false">IF(E143&gt;0,CostoPedido,0)</f>
        <v>0</v>
      </c>
      <c r="P143" s="18" t="n">
        <f aca="false">CostoAlm*(F143+J143)/2</f>
        <v>1120</v>
      </c>
      <c r="Q143" s="18" t="n">
        <f aca="false">CostoFijo*D143</f>
        <v>0</v>
      </c>
      <c r="R143" s="18" t="n">
        <f aca="false">M143-N143-O143-P143-Q143</f>
        <v>4078880</v>
      </c>
    </row>
    <row r="144" customFormat="false" ht="15" hidden="false" customHeight="true" outlineLevel="0" collapsed="false">
      <c r="A144" s="5" t="n">
        <f aca="false">A143+1</f>
        <v>139</v>
      </c>
      <c r="B144" s="16" t="n">
        <f aca="false">B143+IF(WEEKDAY(B143,2)=6,2,1)</f>
        <v>46184</v>
      </c>
      <c r="C144" s="5" t="n">
        <f aca="false">MONTH(B144)</f>
        <v>6</v>
      </c>
      <c r="D144" s="5" t="n">
        <f aca="false">IF(C144&lt;&gt;C143,1,0)</f>
        <v>0</v>
      </c>
      <c r="E144" s="5" t="n">
        <f aca="false">IF(L143=1,CantPedido,0)</f>
        <v>0</v>
      </c>
      <c r="F144" s="5" t="n">
        <f aca="false">J143+E144</f>
        <v>11</v>
      </c>
      <c r="G144" s="5" t="n">
        <f aca="false">RANDBETWEEN(3,7)</f>
        <v>4</v>
      </c>
      <c r="H144" s="5" t="n">
        <f aca="false">MIN(F144,G144)</f>
        <v>4</v>
      </c>
      <c r="I144" s="5" t="n">
        <f aca="false">G144-H144</f>
        <v>0</v>
      </c>
      <c r="J144" s="5" t="n">
        <f aca="false">F144-H144</f>
        <v>7</v>
      </c>
      <c r="K144" s="5" t="n">
        <f aca="false">IF(I144&gt;0,1,0)</f>
        <v>0</v>
      </c>
      <c r="L144" s="5" t="n">
        <f aca="false">IF(J144&lt;PuntoReorden,1,0)</f>
        <v>0</v>
      </c>
      <c r="M144" s="18" t="n">
        <f aca="false">PrecioVenta*H144</f>
        <v>2720000</v>
      </c>
      <c r="N144" s="18" t="n">
        <f aca="false">CostoUnitario*E144</f>
        <v>0</v>
      </c>
      <c r="O144" s="18" t="n">
        <f aca="false">IF(E144&gt;0,CostoPedido,0)</f>
        <v>0</v>
      </c>
      <c r="P144" s="18" t="n">
        <f aca="false">CostoAlm*(F144+J144)/2</f>
        <v>720</v>
      </c>
      <c r="Q144" s="18" t="n">
        <f aca="false">CostoFijo*D144</f>
        <v>0</v>
      </c>
      <c r="R144" s="18" t="n">
        <f aca="false">M144-N144-O144-P144-Q144</f>
        <v>2719280</v>
      </c>
    </row>
    <row r="145" customFormat="false" ht="15" hidden="false" customHeight="true" outlineLevel="0" collapsed="false">
      <c r="A145" s="5" t="n">
        <f aca="false">A144+1</f>
        <v>140</v>
      </c>
      <c r="B145" s="16" t="n">
        <f aca="false">B144+IF(WEEKDAY(B144,2)=6,2,1)</f>
        <v>46185</v>
      </c>
      <c r="C145" s="5" t="n">
        <f aca="false">MONTH(B145)</f>
        <v>6</v>
      </c>
      <c r="D145" s="5" t="n">
        <f aca="false">IF(C145&lt;&gt;C144,1,0)</f>
        <v>0</v>
      </c>
      <c r="E145" s="17" t="n">
        <f aca="false">IF(L144=1,CantPedido,0)</f>
        <v>0</v>
      </c>
      <c r="F145" s="5" t="n">
        <f aca="false">J144+E145</f>
        <v>7</v>
      </c>
      <c r="G145" s="5" t="n">
        <f aca="false">RANDBETWEEN(3,7)</f>
        <v>4</v>
      </c>
      <c r="H145" s="5" t="n">
        <f aca="false">MIN(F145,G145)</f>
        <v>4</v>
      </c>
      <c r="I145" s="5" t="n">
        <f aca="false">G145-H145</f>
        <v>0</v>
      </c>
      <c r="J145" s="5" t="n">
        <f aca="false">F145-H145</f>
        <v>3</v>
      </c>
      <c r="K145" s="5" t="n">
        <f aca="false">IF(I145&gt;0,1,0)</f>
        <v>0</v>
      </c>
      <c r="L145" s="5" t="n">
        <f aca="false">IF(J145&lt;PuntoReorden,1,0)</f>
        <v>1</v>
      </c>
      <c r="M145" s="18" t="n">
        <f aca="false">PrecioVenta*H145</f>
        <v>2720000</v>
      </c>
      <c r="N145" s="18" t="n">
        <f aca="false">CostoUnitario*E145</f>
        <v>0</v>
      </c>
      <c r="O145" s="18" t="n">
        <f aca="false">IF(E145&gt;0,CostoPedido,0)</f>
        <v>0</v>
      </c>
      <c r="P145" s="18" t="n">
        <f aca="false">CostoAlm*(F145+J145)/2</f>
        <v>400</v>
      </c>
      <c r="Q145" s="18" t="n">
        <f aca="false">CostoFijo*D145</f>
        <v>0</v>
      </c>
      <c r="R145" s="18" t="n">
        <f aca="false">M145-N145-O145-P145-Q145</f>
        <v>2719600</v>
      </c>
    </row>
    <row r="146" customFormat="false" ht="15" hidden="false" customHeight="true" outlineLevel="0" collapsed="false">
      <c r="A146" s="5" t="n">
        <f aca="false">A145+1</f>
        <v>141</v>
      </c>
      <c r="B146" s="16" t="n">
        <f aca="false">B145+IF(WEEKDAY(B145,2)=6,2,1)</f>
        <v>46186</v>
      </c>
      <c r="C146" s="5" t="n">
        <f aca="false">MONTH(B146)</f>
        <v>6</v>
      </c>
      <c r="D146" s="5" t="n">
        <f aca="false">IF(C146&lt;&gt;C145,1,0)</f>
        <v>0</v>
      </c>
      <c r="E146" s="17" t="n">
        <f aca="false">IF(L145=1,CantPedido,0)</f>
        <v>15</v>
      </c>
      <c r="F146" s="5" t="n">
        <f aca="false">J145+E146</f>
        <v>18</v>
      </c>
      <c r="G146" s="5" t="n">
        <f aca="false">RANDBETWEEN(3,7)</f>
        <v>5</v>
      </c>
      <c r="H146" s="5" t="n">
        <f aca="false">MIN(F146,G146)</f>
        <v>5</v>
      </c>
      <c r="I146" s="5" t="n">
        <f aca="false">G146-H146</f>
        <v>0</v>
      </c>
      <c r="J146" s="5" t="n">
        <f aca="false">F146-H146</f>
        <v>13</v>
      </c>
      <c r="K146" s="5" t="n">
        <f aca="false">IF(I146&gt;0,1,0)</f>
        <v>0</v>
      </c>
      <c r="L146" s="5" t="n">
        <f aca="false">IF(J146&lt;PuntoReorden,1,0)</f>
        <v>0</v>
      </c>
      <c r="M146" s="18" t="n">
        <f aca="false">PrecioVenta*H146</f>
        <v>3400000</v>
      </c>
      <c r="N146" s="18" t="n">
        <f aca="false">CostoUnitario*E146</f>
        <v>9000000</v>
      </c>
      <c r="O146" s="18" t="n">
        <f aca="false">IF(E146&gt;0,CostoPedido,0)</f>
        <v>40000</v>
      </c>
      <c r="P146" s="18" t="n">
        <f aca="false">CostoAlm*(F146+J146)/2</f>
        <v>1240</v>
      </c>
      <c r="Q146" s="18" t="n">
        <f aca="false">CostoFijo*D146</f>
        <v>0</v>
      </c>
      <c r="R146" s="18" t="n">
        <f aca="false">M146-N146-O146-P146-Q146</f>
        <v>-5641240</v>
      </c>
    </row>
    <row r="147" customFormat="false" ht="15" hidden="false" customHeight="true" outlineLevel="0" collapsed="false">
      <c r="A147" s="5" t="n">
        <f aca="false">A146+1</f>
        <v>142</v>
      </c>
      <c r="B147" s="16" t="n">
        <f aca="false">B146+IF(WEEKDAY(B146,2)=6,2,1)</f>
        <v>46188</v>
      </c>
      <c r="C147" s="5" t="n">
        <f aca="false">MONTH(B147)</f>
        <v>6</v>
      </c>
      <c r="D147" s="5" t="n">
        <f aca="false">IF(C147&lt;&gt;C146,1,0)</f>
        <v>0</v>
      </c>
      <c r="E147" s="5" t="n">
        <f aca="false">IF(L146=1,CantPedido,0)</f>
        <v>0</v>
      </c>
      <c r="F147" s="5" t="n">
        <f aca="false">J146+E147</f>
        <v>13</v>
      </c>
      <c r="G147" s="5" t="n">
        <f aca="false">RANDBETWEEN(3,7)</f>
        <v>7</v>
      </c>
      <c r="H147" s="5" t="n">
        <f aca="false">MIN(F147,G147)</f>
        <v>7</v>
      </c>
      <c r="I147" s="5" t="n">
        <f aca="false">G147-H147</f>
        <v>0</v>
      </c>
      <c r="J147" s="5" t="n">
        <f aca="false">F147-H147</f>
        <v>6</v>
      </c>
      <c r="K147" s="5" t="n">
        <f aca="false">IF(I147&gt;0,1,0)</f>
        <v>0</v>
      </c>
      <c r="L147" s="5" t="n">
        <f aca="false">IF(J147&lt;PuntoReorden,1,0)</f>
        <v>1</v>
      </c>
      <c r="M147" s="18" t="n">
        <f aca="false">PrecioVenta*H147</f>
        <v>4760000</v>
      </c>
      <c r="N147" s="18" t="n">
        <f aca="false">CostoUnitario*E147</f>
        <v>0</v>
      </c>
      <c r="O147" s="18" t="n">
        <f aca="false">IF(E147&gt;0,CostoPedido,0)</f>
        <v>0</v>
      </c>
      <c r="P147" s="18" t="n">
        <f aca="false">CostoAlm*(F147+J147)/2</f>
        <v>760</v>
      </c>
      <c r="Q147" s="18" t="n">
        <f aca="false">CostoFijo*D147</f>
        <v>0</v>
      </c>
      <c r="R147" s="18" t="n">
        <f aca="false">M147-N147-O147-P147-Q147</f>
        <v>4759240</v>
      </c>
    </row>
    <row r="148" customFormat="false" ht="15" hidden="false" customHeight="true" outlineLevel="0" collapsed="false">
      <c r="A148" s="5" t="n">
        <f aca="false">A147+1</f>
        <v>143</v>
      </c>
      <c r="B148" s="16" t="n">
        <f aca="false">B147+IF(WEEKDAY(B147,2)=6,2,1)</f>
        <v>46189</v>
      </c>
      <c r="C148" s="5" t="n">
        <f aca="false">MONTH(B148)</f>
        <v>6</v>
      </c>
      <c r="D148" s="5" t="n">
        <f aca="false">IF(C148&lt;&gt;C147,1,0)</f>
        <v>0</v>
      </c>
      <c r="E148" s="17" t="n">
        <f aca="false">IF(L147=1,CantPedido,0)</f>
        <v>15</v>
      </c>
      <c r="F148" s="5" t="n">
        <f aca="false">J147+E148</f>
        <v>21</v>
      </c>
      <c r="G148" s="5" t="n">
        <f aca="false">RANDBETWEEN(3,7)</f>
        <v>5</v>
      </c>
      <c r="H148" s="5" t="n">
        <f aca="false">MIN(F148,G148)</f>
        <v>5</v>
      </c>
      <c r="I148" s="5" t="n">
        <f aca="false">G148-H148</f>
        <v>0</v>
      </c>
      <c r="J148" s="5" t="n">
        <f aca="false">F148-H148</f>
        <v>16</v>
      </c>
      <c r="K148" s="5" t="n">
        <f aca="false">IF(I148&gt;0,1,0)</f>
        <v>0</v>
      </c>
      <c r="L148" s="5" t="n">
        <f aca="false">IF(J148&lt;PuntoReorden,1,0)</f>
        <v>0</v>
      </c>
      <c r="M148" s="18" t="n">
        <f aca="false">PrecioVenta*H148</f>
        <v>3400000</v>
      </c>
      <c r="N148" s="18" t="n">
        <f aca="false">CostoUnitario*E148</f>
        <v>9000000</v>
      </c>
      <c r="O148" s="18" t="n">
        <f aca="false">IF(E148&gt;0,CostoPedido,0)</f>
        <v>40000</v>
      </c>
      <c r="P148" s="18" t="n">
        <f aca="false">CostoAlm*(F148+J148)/2</f>
        <v>1480</v>
      </c>
      <c r="Q148" s="18" t="n">
        <f aca="false">CostoFijo*D148</f>
        <v>0</v>
      </c>
      <c r="R148" s="18" t="n">
        <f aca="false">M148-N148-O148-P148-Q148</f>
        <v>-5641480</v>
      </c>
    </row>
    <row r="149" customFormat="false" ht="15" hidden="false" customHeight="true" outlineLevel="0" collapsed="false">
      <c r="A149" s="5" t="n">
        <f aca="false">A148+1</f>
        <v>144</v>
      </c>
      <c r="B149" s="16" t="n">
        <f aca="false">B148+IF(WEEKDAY(B148,2)=6,2,1)</f>
        <v>46190</v>
      </c>
      <c r="C149" s="5" t="n">
        <f aca="false">MONTH(B149)</f>
        <v>6</v>
      </c>
      <c r="D149" s="5" t="n">
        <f aca="false">IF(C149&lt;&gt;C148,1,0)</f>
        <v>0</v>
      </c>
      <c r="E149" s="5" t="n">
        <f aca="false">IF(L148=1,CantPedido,0)</f>
        <v>0</v>
      </c>
      <c r="F149" s="5" t="n">
        <f aca="false">J148+E149</f>
        <v>16</v>
      </c>
      <c r="G149" s="5" t="n">
        <f aca="false">RANDBETWEEN(3,7)</f>
        <v>7</v>
      </c>
      <c r="H149" s="5" t="n">
        <f aca="false">MIN(F149,G149)</f>
        <v>7</v>
      </c>
      <c r="I149" s="5" t="n">
        <f aca="false">G149-H149</f>
        <v>0</v>
      </c>
      <c r="J149" s="5" t="n">
        <f aca="false">F149-H149</f>
        <v>9</v>
      </c>
      <c r="K149" s="5" t="n">
        <f aca="false">IF(I149&gt;0,1,0)</f>
        <v>0</v>
      </c>
      <c r="L149" s="5" t="n">
        <f aca="false">IF(J149&lt;PuntoReorden,1,0)</f>
        <v>0</v>
      </c>
      <c r="M149" s="18" t="n">
        <f aca="false">PrecioVenta*H149</f>
        <v>4760000</v>
      </c>
      <c r="N149" s="18" t="n">
        <f aca="false">CostoUnitario*E149</f>
        <v>0</v>
      </c>
      <c r="O149" s="18" t="n">
        <f aca="false">IF(E149&gt;0,CostoPedido,0)</f>
        <v>0</v>
      </c>
      <c r="P149" s="18" t="n">
        <f aca="false">CostoAlm*(F149+J149)/2</f>
        <v>1000</v>
      </c>
      <c r="Q149" s="18" t="n">
        <f aca="false">CostoFijo*D149</f>
        <v>0</v>
      </c>
      <c r="R149" s="18" t="n">
        <f aca="false">M149-N149-O149-P149-Q149</f>
        <v>4759000</v>
      </c>
    </row>
    <row r="150" customFormat="false" ht="15" hidden="false" customHeight="true" outlineLevel="0" collapsed="false">
      <c r="A150" s="5" t="n">
        <f aca="false">A149+1</f>
        <v>145</v>
      </c>
      <c r="B150" s="16" t="n">
        <f aca="false">B149+IF(WEEKDAY(B149,2)=6,2,1)</f>
        <v>46191</v>
      </c>
      <c r="C150" s="5" t="n">
        <f aca="false">MONTH(B150)</f>
        <v>6</v>
      </c>
      <c r="D150" s="5" t="n">
        <f aca="false">IF(C150&lt;&gt;C149,1,0)</f>
        <v>0</v>
      </c>
      <c r="E150" s="5" t="n">
        <f aca="false">IF(L149=1,CantPedido,0)</f>
        <v>0</v>
      </c>
      <c r="F150" s="5" t="n">
        <f aca="false">J149+E150</f>
        <v>9</v>
      </c>
      <c r="G150" s="5" t="n">
        <f aca="false">RANDBETWEEN(3,7)</f>
        <v>6</v>
      </c>
      <c r="H150" s="5" t="n">
        <f aca="false">MIN(F150,G150)</f>
        <v>6</v>
      </c>
      <c r="I150" s="5" t="n">
        <f aca="false">G150-H150</f>
        <v>0</v>
      </c>
      <c r="J150" s="5" t="n">
        <f aca="false">F150-H150</f>
        <v>3</v>
      </c>
      <c r="K150" s="5" t="n">
        <f aca="false">IF(I150&gt;0,1,0)</f>
        <v>0</v>
      </c>
      <c r="L150" s="5" t="n">
        <f aca="false">IF(J150&lt;PuntoReorden,1,0)</f>
        <v>1</v>
      </c>
      <c r="M150" s="18" t="n">
        <f aca="false">PrecioVenta*H150</f>
        <v>4080000</v>
      </c>
      <c r="N150" s="18" t="n">
        <f aca="false">CostoUnitario*E150</f>
        <v>0</v>
      </c>
      <c r="O150" s="18" t="n">
        <f aca="false">IF(E150&gt;0,CostoPedido,0)</f>
        <v>0</v>
      </c>
      <c r="P150" s="18" t="n">
        <f aca="false">CostoAlm*(F150+J150)/2</f>
        <v>480</v>
      </c>
      <c r="Q150" s="18" t="n">
        <f aca="false">CostoFijo*D150</f>
        <v>0</v>
      </c>
      <c r="R150" s="18" t="n">
        <f aca="false">M150-N150-O150-P150-Q150</f>
        <v>4079520</v>
      </c>
    </row>
    <row r="151" customFormat="false" ht="15" hidden="false" customHeight="true" outlineLevel="0" collapsed="false">
      <c r="A151" s="5" t="n">
        <f aca="false">A150+1</f>
        <v>146</v>
      </c>
      <c r="B151" s="16" t="n">
        <f aca="false">B150+IF(WEEKDAY(B150,2)=6,2,1)</f>
        <v>46192</v>
      </c>
      <c r="C151" s="5" t="n">
        <f aca="false">MONTH(B151)</f>
        <v>6</v>
      </c>
      <c r="D151" s="5" t="n">
        <f aca="false">IF(C151&lt;&gt;C150,1,0)</f>
        <v>0</v>
      </c>
      <c r="E151" s="17" t="n">
        <f aca="false">IF(L150=1,CantPedido,0)</f>
        <v>15</v>
      </c>
      <c r="F151" s="5" t="n">
        <f aca="false">J150+E151</f>
        <v>18</v>
      </c>
      <c r="G151" s="5" t="n">
        <f aca="false">RANDBETWEEN(3,7)</f>
        <v>5</v>
      </c>
      <c r="H151" s="5" t="n">
        <f aca="false">MIN(F151,G151)</f>
        <v>5</v>
      </c>
      <c r="I151" s="5" t="n">
        <f aca="false">G151-H151</f>
        <v>0</v>
      </c>
      <c r="J151" s="5" t="n">
        <f aca="false">F151-H151</f>
        <v>13</v>
      </c>
      <c r="K151" s="5" t="n">
        <f aca="false">IF(I151&gt;0,1,0)</f>
        <v>0</v>
      </c>
      <c r="L151" s="5" t="n">
        <f aca="false">IF(J151&lt;PuntoReorden,1,0)</f>
        <v>0</v>
      </c>
      <c r="M151" s="18" t="n">
        <f aca="false">PrecioVenta*H151</f>
        <v>3400000</v>
      </c>
      <c r="N151" s="18" t="n">
        <f aca="false">CostoUnitario*E151</f>
        <v>9000000</v>
      </c>
      <c r="O151" s="18" t="n">
        <f aca="false">IF(E151&gt;0,CostoPedido,0)</f>
        <v>40000</v>
      </c>
      <c r="P151" s="18" t="n">
        <f aca="false">CostoAlm*(F151+J151)/2</f>
        <v>1240</v>
      </c>
      <c r="Q151" s="18" t="n">
        <f aca="false">CostoFijo*D151</f>
        <v>0</v>
      </c>
      <c r="R151" s="18" t="n">
        <f aca="false">M151-N151-O151-P151-Q151</f>
        <v>-5641240</v>
      </c>
    </row>
    <row r="152" customFormat="false" ht="15" hidden="false" customHeight="true" outlineLevel="0" collapsed="false">
      <c r="A152" s="5" t="n">
        <f aca="false">A151+1</f>
        <v>147</v>
      </c>
      <c r="B152" s="16" t="n">
        <f aca="false">B151+IF(WEEKDAY(B151,2)=6,2,1)</f>
        <v>46193</v>
      </c>
      <c r="C152" s="5" t="n">
        <f aca="false">MONTH(B152)</f>
        <v>6</v>
      </c>
      <c r="D152" s="5" t="n">
        <f aca="false">IF(C152&lt;&gt;C151,1,0)</f>
        <v>0</v>
      </c>
      <c r="E152" s="5" t="n">
        <f aca="false">IF(L151=1,CantPedido,0)</f>
        <v>0</v>
      </c>
      <c r="F152" s="5" t="n">
        <f aca="false">J151+E152</f>
        <v>13</v>
      </c>
      <c r="G152" s="5" t="n">
        <f aca="false">RANDBETWEEN(3,7)</f>
        <v>5</v>
      </c>
      <c r="H152" s="5" t="n">
        <f aca="false">MIN(F152,G152)</f>
        <v>5</v>
      </c>
      <c r="I152" s="5" t="n">
        <f aca="false">G152-H152</f>
        <v>0</v>
      </c>
      <c r="J152" s="5" t="n">
        <f aca="false">F152-H152</f>
        <v>8</v>
      </c>
      <c r="K152" s="5" t="n">
        <f aca="false">IF(I152&gt;0,1,0)</f>
        <v>0</v>
      </c>
      <c r="L152" s="5" t="n">
        <f aca="false">IF(J152&lt;PuntoReorden,1,0)</f>
        <v>0</v>
      </c>
      <c r="M152" s="18" t="n">
        <f aca="false">PrecioVenta*H152</f>
        <v>3400000</v>
      </c>
      <c r="N152" s="18" t="n">
        <f aca="false">CostoUnitario*E152</f>
        <v>0</v>
      </c>
      <c r="O152" s="18" t="n">
        <f aca="false">IF(E152&gt;0,CostoPedido,0)</f>
        <v>0</v>
      </c>
      <c r="P152" s="18" t="n">
        <f aca="false">CostoAlm*(F152+J152)/2</f>
        <v>840</v>
      </c>
      <c r="Q152" s="18" t="n">
        <f aca="false">CostoFijo*D152</f>
        <v>0</v>
      </c>
      <c r="R152" s="18" t="n">
        <f aca="false">M152-N152-O152-P152-Q152</f>
        <v>3399160</v>
      </c>
    </row>
    <row r="153" customFormat="false" ht="15" hidden="false" customHeight="true" outlineLevel="0" collapsed="false">
      <c r="A153" s="5" t="n">
        <f aca="false">A152+1</f>
        <v>148</v>
      </c>
      <c r="B153" s="16" t="n">
        <f aca="false">B152+IF(WEEKDAY(B152,2)=6,2,1)</f>
        <v>46195</v>
      </c>
      <c r="C153" s="5" t="n">
        <f aca="false">MONTH(B153)</f>
        <v>6</v>
      </c>
      <c r="D153" s="5" t="n">
        <f aca="false">IF(C153&lt;&gt;C152,1,0)</f>
        <v>0</v>
      </c>
      <c r="E153" s="17" t="n">
        <f aca="false">IF(L152=1,CantPedido,0)</f>
        <v>0</v>
      </c>
      <c r="F153" s="5" t="n">
        <f aca="false">J152+E153</f>
        <v>8</v>
      </c>
      <c r="G153" s="5" t="n">
        <f aca="false">RANDBETWEEN(3,7)</f>
        <v>7</v>
      </c>
      <c r="H153" s="5" t="n">
        <f aca="false">MIN(F153,G153)</f>
        <v>7</v>
      </c>
      <c r="I153" s="5" t="n">
        <f aca="false">G153-H153</f>
        <v>0</v>
      </c>
      <c r="J153" s="5" t="n">
        <f aca="false">F153-H153</f>
        <v>1</v>
      </c>
      <c r="K153" s="5" t="n">
        <f aca="false">IF(I153&gt;0,1,0)</f>
        <v>0</v>
      </c>
      <c r="L153" s="5" t="n">
        <f aca="false">IF(J153&lt;PuntoReorden,1,0)</f>
        <v>1</v>
      </c>
      <c r="M153" s="18" t="n">
        <f aca="false">PrecioVenta*H153</f>
        <v>4760000</v>
      </c>
      <c r="N153" s="18" t="n">
        <f aca="false">CostoUnitario*E153</f>
        <v>0</v>
      </c>
      <c r="O153" s="18" t="n">
        <f aca="false">IF(E153&gt;0,CostoPedido,0)</f>
        <v>0</v>
      </c>
      <c r="P153" s="18" t="n">
        <f aca="false">CostoAlm*(F153+J153)/2</f>
        <v>360</v>
      </c>
      <c r="Q153" s="18" t="n">
        <f aca="false">CostoFijo*D153</f>
        <v>0</v>
      </c>
      <c r="R153" s="18" t="n">
        <f aca="false">M153-N153-O153-P153-Q153</f>
        <v>4759640</v>
      </c>
    </row>
    <row r="154" customFormat="false" ht="15" hidden="false" customHeight="true" outlineLevel="0" collapsed="false">
      <c r="A154" s="5" t="n">
        <f aca="false">A153+1</f>
        <v>149</v>
      </c>
      <c r="B154" s="16" t="n">
        <f aca="false">B153+IF(WEEKDAY(B153,2)=6,2,1)</f>
        <v>46196</v>
      </c>
      <c r="C154" s="5" t="n">
        <f aca="false">MONTH(B154)</f>
        <v>6</v>
      </c>
      <c r="D154" s="5" t="n">
        <f aca="false">IF(C154&lt;&gt;C153,1,0)</f>
        <v>0</v>
      </c>
      <c r="E154" s="17" t="n">
        <f aca="false">IF(L153=1,CantPedido,0)</f>
        <v>15</v>
      </c>
      <c r="F154" s="5" t="n">
        <f aca="false">J153+E154</f>
        <v>16</v>
      </c>
      <c r="G154" s="5" t="n">
        <f aca="false">RANDBETWEEN(3,7)</f>
        <v>6</v>
      </c>
      <c r="H154" s="5" t="n">
        <f aca="false">MIN(F154,G154)</f>
        <v>6</v>
      </c>
      <c r="I154" s="5" t="n">
        <f aca="false">G154-H154</f>
        <v>0</v>
      </c>
      <c r="J154" s="5" t="n">
        <f aca="false">F154-H154</f>
        <v>10</v>
      </c>
      <c r="K154" s="5" t="n">
        <f aca="false">IF(I154&gt;0,1,0)</f>
        <v>0</v>
      </c>
      <c r="L154" s="5" t="n">
        <f aca="false">IF(J154&lt;PuntoReorden,1,0)</f>
        <v>0</v>
      </c>
      <c r="M154" s="18" t="n">
        <f aca="false">PrecioVenta*H154</f>
        <v>4080000</v>
      </c>
      <c r="N154" s="18" t="n">
        <f aca="false">CostoUnitario*E154</f>
        <v>9000000</v>
      </c>
      <c r="O154" s="18" t="n">
        <f aca="false">IF(E154&gt;0,CostoPedido,0)</f>
        <v>40000</v>
      </c>
      <c r="P154" s="18" t="n">
        <f aca="false">CostoAlm*(F154+J154)/2</f>
        <v>1040</v>
      </c>
      <c r="Q154" s="18" t="n">
        <f aca="false">CostoFijo*D154</f>
        <v>0</v>
      </c>
      <c r="R154" s="18" t="n">
        <f aca="false">M154-N154-O154-P154-Q154</f>
        <v>-4961040</v>
      </c>
    </row>
    <row r="155" customFormat="false" ht="15" hidden="false" customHeight="true" outlineLevel="0" collapsed="false">
      <c r="A155" s="5" t="n">
        <f aca="false">A154+1</f>
        <v>150</v>
      </c>
      <c r="B155" s="16" t="n">
        <f aca="false">B154+IF(WEEKDAY(B154,2)=6,2,1)</f>
        <v>46197</v>
      </c>
      <c r="C155" s="5" t="n">
        <f aca="false">MONTH(B155)</f>
        <v>6</v>
      </c>
      <c r="D155" s="5" t="n">
        <f aca="false">IF(C155&lt;&gt;C154,1,0)</f>
        <v>0</v>
      </c>
      <c r="E155" s="5" t="n">
        <f aca="false">IF(L154=1,CantPedido,0)</f>
        <v>0</v>
      </c>
      <c r="F155" s="5" t="n">
        <f aca="false">J154+E155</f>
        <v>10</v>
      </c>
      <c r="G155" s="5" t="n">
        <f aca="false">RANDBETWEEN(3,7)</f>
        <v>5</v>
      </c>
      <c r="H155" s="5" t="n">
        <f aca="false">MIN(F155,G155)</f>
        <v>5</v>
      </c>
      <c r="I155" s="5" t="n">
        <f aca="false">G155-H155</f>
        <v>0</v>
      </c>
      <c r="J155" s="5" t="n">
        <f aca="false">F155-H155</f>
        <v>5</v>
      </c>
      <c r="K155" s="5" t="n">
        <f aca="false">IF(I155&gt;0,1,0)</f>
        <v>0</v>
      </c>
      <c r="L155" s="5" t="n">
        <f aca="false">IF(J155&lt;PuntoReorden,1,0)</f>
        <v>1</v>
      </c>
      <c r="M155" s="18" t="n">
        <f aca="false">PrecioVenta*H155</f>
        <v>3400000</v>
      </c>
      <c r="N155" s="18" t="n">
        <f aca="false">CostoUnitario*E155</f>
        <v>0</v>
      </c>
      <c r="O155" s="18" t="n">
        <f aca="false">IF(E155&gt;0,CostoPedido,0)</f>
        <v>0</v>
      </c>
      <c r="P155" s="18" t="n">
        <f aca="false">CostoAlm*(F155+J155)/2</f>
        <v>600</v>
      </c>
      <c r="Q155" s="18" t="n">
        <f aca="false">CostoFijo*D155</f>
        <v>0</v>
      </c>
      <c r="R155" s="18" t="n">
        <f aca="false">M155-N155-O155-P155-Q155</f>
        <v>3399400</v>
      </c>
    </row>
    <row r="156" customFormat="false" ht="15" hidden="false" customHeight="true" outlineLevel="0" collapsed="false">
      <c r="A156" s="5" t="n">
        <f aca="false">A155+1</f>
        <v>151</v>
      </c>
      <c r="B156" s="16" t="n">
        <f aca="false">B155+IF(WEEKDAY(B155,2)=6,2,1)</f>
        <v>46198</v>
      </c>
      <c r="C156" s="5" t="n">
        <f aca="false">MONTH(B156)</f>
        <v>6</v>
      </c>
      <c r="D156" s="5" t="n">
        <f aca="false">IF(C156&lt;&gt;C155,1,0)</f>
        <v>0</v>
      </c>
      <c r="E156" s="17" t="n">
        <f aca="false">IF(L155=1,CantPedido,0)</f>
        <v>15</v>
      </c>
      <c r="F156" s="5" t="n">
        <f aca="false">J155+E156</f>
        <v>20</v>
      </c>
      <c r="G156" s="5" t="n">
        <f aca="false">RANDBETWEEN(3,7)</f>
        <v>7</v>
      </c>
      <c r="H156" s="5" t="n">
        <f aca="false">MIN(F156,G156)</f>
        <v>7</v>
      </c>
      <c r="I156" s="5" t="n">
        <f aca="false">G156-H156</f>
        <v>0</v>
      </c>
      <c r="J156" s="5" t="n">
        <f aca="false">F156-H156</f>
        <v>13</v>
      </c>
      <c r="K156" s="5" t="n">
        <f aca="false">IF(I156&gt;0,1,0)</f>
        <v>0</v>
      </c>
      <c r="L156" s="5" t="n">
        <f aca="false">IF(J156&lt;PuntoReorden,1,0)</f>
        <v>0</v>
      </c>
      <c r="M156" s="18" t="n">
        <f aca="false">PrecioVenta*H156</f>
        <v>4760000</v>
      </c>
      <c r="N156" s="18" t="n">
        <f aca="false">CostoUnitario*E156</f>
        <v>9000000</v>
      </c>
      <c r="O156" s="18" t="n">
        <f aca="false">IF(E156&gt;0,CostoPedido,0)</f>
        <v>40000</v>
      </c>
      <c r="P156" s="18" t="n">
        <f aca="false">CostoAlm*(F156+J156)/2</f>
        <v>1320</v>
      </c>
      <c r="Q156" s="18" t="n">
        <f aca="false">CostoFijo*D156</f>
        <v>0</v>
      </c>
      <c r="R156" s="18" t="n">
        <f aca="false">M156-N156-O156-P156-Q156</f>
        <v>-4281320</v>
      </c>
    </row>
    <row r="157" customFormat="false" ht="15" hidden="false" customHeight="true" outlineLevel="0" collapsed="false">
      <c r="A157" s="5" t="n">
        <f aca="false">A156+1</f>
        <v>152</v>
      </c>
      <c r="B157" s="16" t="n">
        <f aca="false">B156+IF(WEEKDAY(B156,2)=6,2,1)</f>
        <v>46199</v>
      </c>
      <c r="C157" s="5" t="n">
        <f aca="false">MONTH(B157)</f>
        <v>6</v>
      </c>
      <c r="D157" s="5" t="n">
        <f aca="false">IF(C157&lt;&gt;C156,1,0)</f>
        <v>0</v>
      </c>
      <c r="E157" s="5" t="n">
        <f aca="false">IF(L156=1,CantPedido,0)</f>
        <v>0</v>
      </c>
      <c r="F157" s="5" t="n">
        <f aca="false">J156+E157</f>
        <v>13</v>
      </c>
      <c r="G157" s="5" t="n">
        <f aca="false">RANDBETWEEN(3,7)</f>
        <v>7</v>
      </c>
      <c r="H157" s="5" t="n">
        <f aca="false">MIN(F157,G157)</f>
        <v>7</v>
      </c>
      <c r="I157" s="5" t="n">
        <f aca="false">G157-H157</f>
        <v>0</v>
      </c>
      <c r="J157" s="5" t="n">
        <f aca="false">F157-H157</f>
        <v>6</v>
      </c>
      <c r="K157" s="5" t="n">
        <f aca="false">IF(I157&gt;0,1,0)</f>
        <v>0</v>
      </c>
      <c r="L157" s="5" t="n">
        <f aca="false">IF(J157&lt;PuntoReorden,1,0)</f>
        <v>1</v>
      </c>
      <c r="M157" s="18" t="n">
        <f aca="false">PrecioVenta*H157</f>
        <v>4760000</v>
      </c>
      <c r="N157" s="18" t="n">
        <f aca="false">CostoUnitario*E157</f>
        <v>0</v>
      </c>
      <c r="O157" s="18" t="n">
        <f aca="false">IF(E157&gt;0,CostoPedido,0)</f>
        <v>0</v>
      </c>
      <c r="P157" s="18" t="n">
        <f aca="false">CostoAlm*(F157+J157)/2</f>
        <v>760</v>
      </c>
      <c r="Q157" s="18" t="n">
        <f aca="false">CostoFijo*D157</f>
        <v>0</v>
      </c>
      <c r="R157" s="18" t="n">
        <f aca="false">M157-N157-O157-P157-Q157</f>
        <v>4759240</v>
      </c>
    </row>
    <row r="158" customFormat="false" ht="15" hidden="false" customHeight="true" outlineLevel="0" collapsed="false">
      <c r="A158" s="5" t="n">
        <f aca="false">A157+1</f>
        <v>153</v>
      </c>
      <c r="B158" s="16" t="n">
        <f aca="false">B157+IF(WEEKDAY(B157,2)=6,2,1)</f>
        <v>46200</v>
      </c>
      <c r="C158" s="5" t="n">
        <f aca="false">MONTH(B158)</f>
        <v>6</v>
      </c>
      <c r="D158" s="5" t="n">
        <f aca="false">IF(C158&lt;&gt;C157,1,0)</f>
        <v>0</v>
      </c>
      <c r="E158" s="17" t="n">
        <f aca="false">IF(L157=1,CantPedido,0)</f>
        <v>15</v>
      </c>
      <c r="F158" s="5" t="n">
        <f aca="false">J157+E158</f>
        <v>21</v>
      </c>
      <c r="G158" s="5" t="n">
        <f aca="false">RANDBETWEEN(3,7)</f>
        <v>7</v>
      </c>
      <c r="H158" s="5" t="n">
        <f aca="false">MIN(F158,G158)</f>
        <v>7</v>
      </c>
      <c r="I158" s="5" t="n">
        <f aca="false">G158-H158</f>
        <v>0</v>
      </c>
      <c r="J158" s="5" t="n">
        <f aca="false">F158-H158</f>
        <v>14</v>
      </c>
      <c r="K158" s="5" t="n">
        <f aca="false">IF(I158&gt;0,1,0)</f>
        <v>0</v>
      </c>
      <c r="L158" s="5" t="n">
        <f aca="false">IF(J158&lt;PuntoReorden,1,0)</f>
        <v>0</v>
      </c>
      <c r="M158" s="18" t="n">
        <f aca="false">PrecioVenta*H158</f>
        <v>4760000</v>
      </c>
      <c r="N158" s="18" t="n">
        <f aca="false">CostoUnitario*E158</f>
        <v>9000000</v>
      </c>
      <c r="O158" s="18" t="n">
        <f aca="false">IF(E158&gt;0,CostoPedido,0)</f>
        <v>40000</v>
      </c>
      <c r="P158" s="18" t="n">
        <f aca="false">CostoAlm*(F158+J158)/2</f>
        <v>1400</v>
      </c>
      <c r="Q158" s="18" t="n">
        <f aca="false">CostoFijo*D158</f>
        <v>0</v>
      </c>
      <c r="R158" s="18" t="n">
        <f aca="false">M158-N158-O158-P158-Q158</f>
        <v>-4281400</v>
      </c>
    </row>
    <row r="159" customFormat="false" ht="15" hidden="false" customHeight="true" outlineLevel="0" collapsed="false">
      <c r="A159" s="5" t="n">
        <f aca="false">A158+1</f>
        <v>154</v>
      </c>
      <c r="B159" s="16" t="n">
        <f aca="false">B158+IF(WEEKDAY(B158,2)=6,2,1)</f>
        <v>46202</v>
      </c>
      <c r="C159" s="5" t="n">
        <f aca="false">MONTH(B159)</f>
        <v>6</v>
      </c>
      <c r="D159" s="5" t="n">
        <f aca="false">IF(C159&lt;&gt;C158,1,0)</f>
        <v>0</v>
      </c>
      <c r="E159" s="5" t="n">
        <f aca="false">IF(L158=1,CantPedido,0)</f>
        <v>0</v>
      </c>
      <c r="F159" s="5" t="n">
        <f aca="false">J158+E159</f>
        <v>14</v>
      </c>
      <c r="G159" s="5" t="n">
        <f aca="false">RANDBETWEEN(3,7)</f>
        <v>5</v>
      </c>
      <c r="H159" s="5" t="n">
        <f aca="false">MIN(F159,G159)</f>
        <v>5</v>
      </c>
      <c r="I159" s="5" t="n">
        <f aca="false">G159-H159</f>
        <v>0</v>
      </c>
      <c r="J159" s="5" t="n">
        <f aca="false">F159-H159</f>
        <v>9</v>
      </c>
      <c r="K159" s="5" t="n">
        <f aca="false">IF(I159&gt;0,1,0)</f>
        <v>0</v>
      </c>
      <c r="L159" s="5" t="n">
        <f aca="false">IF(J159&lt;PuntoReorden,1,0)</f>
        <v>0</v>
      </c>
      <c r="M159" s="18" t="n">
        <f aca="false">PrecioVenta*H159</f>
        <v>3400000</v>
      </c>
      <c r="N159" s="18" t="n">
        <f aca="false">CostoUnitario*E159</f>
        <v>0</v>
      </c>
      <c r="O159" s="18" t="n">
        <f aca="false">IF(E159&gt;0,CostoPedido,0)</f>
        <v>0</v>
      </c>
      <c r="P159" s="18" t="n">
        <f aca="false">CostoAlm*(F159+J159)/2</f>
        <v>920</v>
      </c>
      <c r="Q159" s="18" t="n">
        <f aca="false">CostoFijo*D159</f>
        <v>0</v>
      </c>
      <c r="R159" s="18" t="n">
        <f aca="false">M159-N159-O159-P159-Q159</f>
        <v>3399080</v>
      </c>
    </row>
    <row r="160" customFormat="false" ht="15" hidden="false" customHeight="true" outlineLevel="0" collapsed="false">
      <c r="A160" s="5" t="n">
        <f aca="false">A159+1</f>
        <v>155</v>
      </c>
      <c r="B160" s="16" t="n">
        <f aca="false">B159+IF(WEEKDAY(B159,2)=6,2,1)</f>
        <v>46203</v>
      </c>
      <c r="C160" s="5" t="n">
        <f aca="false">MONTH(B160)</f>
        <v>6</v>
      </c>
      <c r="D160" s="5" t="n">
        <f aca="false">IF(C160&lt;&gt;C159,1,0)</f>
        <v>0</v>
      </c>
      <c r="E160" s="17" t="n">
        <f aca="false">IF(L159=1,CantPedido,0)</f>
        <v>0</v>
      </c>
      <c r="F160" s="5" t="n">
        <f aca="false">J159+E160</f>
        <v>9</v>
      </c>
      <c r="G160" s="5" t="n">
        <f aca="false">RANDBETWEEN(3,7)</f>
        <v>4</v>
      </c>
      <c r="H160" s="5" t="n">
        <f aca="false">MIN(F160,G160)</f>
        <v>4</v>
      </c>
      <c r="I160" s="5" t="n">
        <f aca="false">G160-H160</f>
        <v>0</v>
      </c>
      <c r="J160" s="5" t="n">
        <f aca="false">F160-H160</f>
        <v>5</v>
      </c>
      <c r="K160" s="5" t="n">
        <f aca="false">IF(I160&gt;0,1,0)</f>
        <v>0</v>
      </c>
      <c r="L160" s="5" t="n">
        <f aca="false">IF(J160&lt;PuntoReorden,1,0)</f>
        <v>1</v>
      </c>
      <c r="M160" s="18" t="n">
        <f aca="false">PrecioVenta*H160</f>
        <v>2720000</v>
      </c>
      <c r="N160" s="18" t="n">
        <f aca="false">CostoUnitario*E160</f>
        <v>0</v>
      </c>
      <c r="O160" s="18" t="n">
        <f aca="false">IF(E160&gt;0,CostoPedido,0)</f>
        <v>0</v>
      </c>
      <c r="P160" s="18" t="n">
        <f aca="false">CostoAlm*(F160+J160)/2</f>
        <v>560</v>
      </c>
      <c r="Q160" s="18" t="n">
        <f aca="false">CostoFijo*D160</f>
        <v>0</v>
      </c>
      <c r="R160" s="18" t="n">
        <f aca="false">M160-N160-O160-P160-Q160</f>
        <v>2719440</v>
      </c>
    </row>
    <row r="161" customFormat="false" ht="15" hidden="false" customHeight="true" outlineLevel="0" collapsed="false">
      <c r="A161" s="5" t="n">
        <f aca="false">A160+1</f>
        <v>156</v>
      </c>
      <c r="B161" s="16" t="n">
        <f aca="false">B160+IF(WEEKDAY(B160,2)=6,2,1)</f>
        <v>46204</v>
      </c>
      <c r="C161" s="5" t="n">
        <f aca="false">MONTH(B161)</f>
        <v>7</v>
      </c>
      <c r="D161" s="5" t="n">
        <f aca="false">IF(C161&lt;&gt;C160,1,0)</f>
        <v>1</v>
      </c>
      <c r="E161" s="17" t="n">
        <f aca="false">IF(L160=1,CantPedido,0)</f>
        <v>15</v>
      </c>
      <c r="F161" s="5" t="n">
        <f aca="false">J160+E161</f>
        <v>20</v>
      </c>
      <c r="G161" s="5" t="n">
        <f aca="false">RANDBETWEEN(3,7)</f>
        <v>3</v>
      </c>
      <c r="H161" s="5" t="n">
        <f aca="false">MIN(F161,G161)</f>
        <v>3</v>
      </c>
      <c r="I161" s="5" t="n">
        <f aca="false">G161-H161</f>
        <v>0</v>
      </c>
      <c r="J161" s="5" t="n">
        <f aca="false">F161-H161</f>
        <v>17</v>
      </c>
      <c r="K161" s="5" t="n">
        <f aca="false">IF(I161&gt;0,1,0)</f>
        <v>0</v>
      </c>
      <c r="L161" s="5" t="n">
        <f aca="false">IF(J161&lt;PuntoReorden,1,0)</f>
        <v>0</v>
      </c>
      <c r="M161" s="18" t="n">
        <f aca="false">PrecioVenta*H161</f>
        <v>2040000</v>
      </c>
      <c r="N161" s="18" t="n">
        <f aca="false">CostoUnitario*E161</f>
        <v>9000000</v>
      </c>
      <c r="O161" s="18" t="n">
        <f aca="false">IF(E161&gt;0,CostoPedido,0)</f>
        <v>40000</v>
      </c>
      <c r="P161" s="18" t="n">
        <f aca="false">CostoAlm*(F161+J161)/2</f>
        <v>1480</v>
      </c>
      <c r="Q161" s="18" t="n">
        <f aca="false">CostoFijo*D161</f>
        <v>1000000</v>
      </c>
      <c r="R161" s="18" t="n">
        <f aca="false">M161-N161-O161-P161-Q161</f>
        <v>-8001480</v>
      </c>
    </row>
    <row r="162" customFormat="false" ht="15" hidden="false" customHeight="true" outlineLevel="0" collapsed="false">
      <c r="A162" s="5" t="n">
        <f aca="false">A161+1</f>
        <v>157</v>
      </c>
      <c r="B162" s="16" t="n">
        <f aca="false">B161+IF(WEEKDAY(B161,2)=6,2,1)</f>
        <v>46205</v>
      </c>
      <c r="C162" s="5" t="n">
        <f aca="false">MONTH(B162)</f>
        <v>7</v>
      </c>
      <c r="D162" s="5" t="n">
        <f aca="false">IF(C162&lt;&gt;C161,1,0)</f>
        <v>0</v>
      </c>
      <c r="E162" s="5" t="n">
        <f aca="false">IF(L161=1,CantPedido,0)</f>
        <v>0</v>
      </c>
      <c r="F162" s="5" t="n">
        <f aca="false">J161+E162</f>
        <v>17</v>
      </c>
      <c r="G162" s="5" t="n">
        <f aca="false">RANDBETWEEN(3,7)</f>
        <v>5</v>
      </c>
      <c r="H162" s="5" t="n">
        <f aca="false">MIN(F162,G162)</f>
        <v>5</v>
      </c>
      <c r="I162" s="5" t="n">
        <f aca="false">G162-H162</f>
        <v>0</v>
      </c>
      <c r="J162" s="5" t="n">
        <f aca="false">F162-H162</f>
        <v>12</v>
      </c>
      <c r="K162" s="5" t="n">
        <f aca="false">IF(I162&gt;0,1,0)</f>
        <v>0</v>
      </c>
      <c r="L162" s="5" t="n">
        <f aca="false">IF(J162&lt;PuntoReorden,1,0)</f>
        <v>0</v>
      </c>
      <c r="M162" s="18" t="n">
        <f aca="false">PrecioVenta*H162</f>
        <v>3400000</v>
      </c>
      <c r="N162" s="18" t="n">
        <f aca="false">CostoUnitario*E162</f>
        <v>0</v>
      </c>
      <c r="O162" s="18" t="n">
        <f aca="false">IF(E162&gt;0,CostoPedido,0)</f>
        <v>0</v>
      </c>
      <c r="P162" s="18" t="n">
        <f aca="false">CostoAlm*(F162+J162)/2</f>
        <v>1160</v>
      </c>
      <c r="Q162" s="18" t="n">
        <f aca="false">CostoFijo*D162</f>
        <v>0</v>
      </c>
      <c r="R162" s="18" t="n">
        <f aca="false">M162-N162-O162-P162-Q162</f>
        <v>3398840</v>
      </c>
    </row>
    <row r="163" customFormat="false" ht="15" hidden="false" customHeight="true" outlineLevel="0" collapsed="false">
      <c r="A163" s="5" t="n">
        <f aca="false">A162+1</f>
        <v>158</v>
      </c>
      <c r="B163" s="16" t="n">
        <f aca="false">B162+IF(WEEKDAY(B162,2)=6,2,1)</f>
        <v>46206</v>
      </c>
      <c r="C163" s="5" t="n">
        <f aca="false">MONTH(B163)</f>
        <v>7</v>
      </c>
      <c r="D163" s="5" t="n">
        <f aca="false">IF(C163&lt;&gt;C162,1,0)</f>
        <v>0</v>
      </c>
      <c r="E163" s="17" t="n">
        <f aca="false">IF(L162=1,CantPedido,0)</f>
        <v>0</v>
      </c>
      <c r="F163" s="5" t="n">
        <f aca="false">J162+E163</f>
        <v>12</v>
      </c>
      <c r="G163" s="5" t="n">
        <f aca="false">RANDBETWEEN(3,7)</f>
        <v>6</v>
      </c>
      <c r="H163" s="5" t="n">
        <f aca="false">MIN(F163,G163)</f>
        <v>6</v>
      </c>
      <c r="I163" s="5" t="n">
        <f aca="false">G163-H163</f>
        <v>0</v>
      </c>
      <c r="J163" s="5" t="n">
        <f aca="false">F163-H163</f>
        <v>6</v>
      </c>
      <c r="K163" s="5" t="n">
        <f aca="false">IF(I163&gt;0,1,0)</f>
        <v>0</v>
      </c>
      <c r="L163" s="5" t="n">
        <f aca="false">IF(J163&lt;PuntoReorden,1,0)</f>
        <v>1</v>
      </c>
      <c r="M163" s="18" t="n">
        <f aca="false">PrecioVenta*H163</f>
        <v>4080000</v>
      </c>
      <c r="N163" s="18" t="n">
        <f aca="false">CostoUnitario*E163</f>
        <v>0</v>
      </c>
      <c r="O163" s="18" t="n">
        <f aca="false">IF(E163&gt;0,CostoPedido,0)</f>
        <v>0</v>
      </c>
      <c r="P163" s="18" t="n">
        <f aca="false">CostoAlm*(F163+J163)/2</f>
        <v>720</v>
      </c>
      <c r="Q163" s="18" t="n">
        <f aca="false">CostoFijo*D163</f>
        <v>0</v>
      </c>
      <c r="R163" s="18" t="n">
        <f aca="false">M163-N163-O163-P163-Q163</f>
        <v>4079280</v>
      </c>
    </row>
    <row r="164" customFormat="false" ht="15" hidden="false" customHeight="true" outlineLevel="0" collapsed="false">
      <c r="A164" s="5" t="n">
        <f aca="false">A163+1</f>
        <v>159</v>
      </c>
      <c r="B164" s="16" t="n">
        <f aca="false">B163+IF(WEEKDAY(B163,2)=6,2,1)</f>
        <v>46207</v>
      </c>
      <c r="C164" s="5" t="n">
        <f aca="false">MONTH(B164)</f>
        <v>7</v>
      </c>
      <c r="D164" s="5" t="n">
        <f aca="false">IF(C164&lt;&gt;C163,1,0)</f>
        <v>0</v>
      </c>
      <c r="E164" s="17" t="n">
        <f aca="false">IF(L163=1,CantPedido,0)</f>
        <v>15</v>
      </c>
      <c r="F164" s="5" t="n">
        <f aca="false">J163+E164</f>
        <v>21</v>
      </c>
      <c r="G164" s="5" t="n">
        <f aca="false">RANDBETWEEN(3,7)</f>
        <v>5</v>
      </c>
      <c r="H164" s="5" t="n">
        <f aca="false">MIN(F164,G164)</f>
        <v>5</v>
      </c>
      <c r="I164" s="5" t="n">
        <f aca="false">G164-H164</f>
        <v>0</v>
      </c>
      <c r="J164" s="5" t="n">
        <f aca="false">F164-H164</f>
        <v>16</v>
      </c>
      <c r="K164" s="5" t="n">
        <f aca="false">IF(I164&gt;0,1,0)</f>
        <v>0</v>
      </c>
      <c r="L164" s="5" t="n">
        <f aca="false">IF(J164&lt;PuntoReorden,1,0)</f>
        <v>0</v>
      </c>
      <c r="M164" s="18" t="n">
        <f aca="false">PrecioVenta*H164</f>
        <v>3400000</v>
      </c>
      <c r="N164" s="18" t="n">
        <f aca="false">CostoUnitario*E164</f>
        <v>9000000</v>
      </c>
      <c r="O164" s="18" t="n">
        <f aca="false">IF(E164&gt;0,CostoPedido,0)</f>
        <v>40000</v>
      </c>
      <c r="P164" s="18" t="n">
        <f aca="false">CostoAlm*(F164+J164)/2</f>
        <v>1480</v>
      </c>
      <c r="Q164" s="18" t="n">
        <f aca="false">CostoFijo*D164</f>
        <v>0</v>
      </c>
      <c r="R164" s="18" t="n">
        <f aca="false">M164-N164-O164-P164-Q164</f>
        <v>-5641480</v>
      </c>
    </row>
    <row r="165" customFormat="false" ht="15" hidden="false" customHeight="true" outlineLevel="0" collapsed="false">
      <c r="A165" s="5" t="n">
        <f aca="false">A164+1</f>
        <v>160</v>
      </c>
      <c r="B165" s="16" t="n">
        <f aca="false">B164+IF(WEEKDAY(B164,2)=6,2,1)</f>
        <v>46209</v>
      </c>
      <c r="C165" s="5" t="n">
        <f aca="false">MONTH(B165)</f>
        <v>7</v>
      </c>
      <c r="D165" s="5" t="n">
        <f aca="false">IF(C165&lt;&gt;C164,1,0)</f>
        <v>0</v>
      </c>
      <c r="E165" s="5" t="n">
        <f aca="false">IF(L164=1,CantPedido,0)</f>
        <v>0</v>
      </c>
      <c r="F165" s="5" t="n">
        <f aca="false">J164+E165</f>
        <v>16</v>
      </c>
      <c r="G165" s="5" t="n">
        <f aca="false">RANDBETWEEN(3,7)</f>
        <v>3</v>
      </c>
      <c r="H165" s="5" t="n">
        <f aca="false">MIN(F165,G165)</f>
        <v>3</v>
      </c>
      <c r="I165" s="5" t="n">
        <f aca="false">G165-H165</f>
        <v>0</v>
      </c>
      <c r="J165" s="5" t="n">
        <f aca="false">F165-H165</f>
        <v>13</v>
      </c>
      <c r="K165" s="5" t="n">
        <f aca="false">IF(I165&gt;0,1,0)</f>
        <v>0</v>
      </c>
      <c r="L165" s="5" t="n">
        <f aca="false">IF(J165&lt;PuntoReorden,1,0)</f>
        <v>0</v>
      </c>
      <c r="M165" s="18" t="n">
        <f aca="false">PrecioVenta*H165</f>
        <v>2040000</v>
      </c>
      <c r="N165" s="18" t="n">
        <f aca="false">CostoUnitario*E165</f>
        <v>0</v>
      </c>
      <c r="O165" s="18" t="n">
        <f aca="false">IF(E165&gt;0,CostoPedido,0)</f>
        <v>0</v>
      </c>
      <c r="P165" s="18" t="n">
        <f aca="false">CostoAlm*(F165+J165)/2</f>
        <v>1160</v>
      </c>
      <c r="Q165" s="18" t="n">
        <f aca="false">CostoFijo*D165</f>
        <v>0</v>
      </c>
      <c r="R165" s="18" t="n">
        <f aca="false">M165-N165-O165-P165-Q165</f>
        <v>2038840</v>
      </c>
    </row>
    <row r="166" customFormat="false" ht="15" hidden="false" customHeight="true" outlineLevel="0" collapsed="false">
      <c r="A166" s="5" t="n">
        <f aca="false">A165+1</f>
        <v>161</v>
      </c>
      <c r="B166" s="16" t="n">
        <f aca="false">B165+IF(WEEKDAY(B165,2)=6,2,1)</f>
        <v>46210</v>
      </c>
      <c r="C166" s="5" t="n">
        <f aca="false">MONTH(B166)</f>
        <v>7</v>
      </c>
      <c r="D166" s="5" t="n">
        <f aca="false">IF(C166&lt;&gt;C165,1,0)</f>
        <v>0</v>
      </c>
      <c r="E166" s="17" t="n">
        <f aca="false">IF(L165=1,CantPedido,0)</f>
        <v>0</v>
      </c>
      <c r="F166" s="5" t="n">
        <f aca="false">J165+E166</f>
        <v>13</v>
      </c>
      <c r="G166" s="5" t="n">
        <f aca="false">RANDBETWEEN(3,7)</f>
        <v>5</v>
      </c>
      <c r="H166" s="5" t="n">
        <f aca="false">MIN(F166,G166)</f>
        <v>5</v>
      </c>
      <c r="I166" s="5" t="n">
        <f aca="false">G166-H166</f>
        <v>0</v>
      </c>
      <c r="J166" s="5" t="n">
        <f aca="false">F166-H166</f>
        <v>8</v>
      </c>
      <c r="K166" s="5" t="n">
        <f aca="false">IF(I166&gt;0,1,0)</f>
        <v>0</v>
      </c>
      <c r="L166" s="5" t="n">
        <f aca="false">IF(J166&lt;PuntoReorden,1,0)</f>
        <v>0</v>
      </c>
      <c r="M166" s="18" t="n">
        <f aca="false">PrecioVenta*H166</f>
        <v>3400000</v>
      </c>
      <c r="N166" s="18" t="n">
        <f aca="false">CostoUnitario*E166</f>
        <v>0</v>
      </c>
      <c r="O166" s="18" t="n">
        <f aca="false">IF(E166&gt;0,CostoPedido,0)</f>
        <v>0</v>
      </c>
      <c r="P166" s="18" t="n">
        <f aca="false">CostoAlm*(F166+J166)/2</f>
        <v>840</v>
      </c>
      <c r="Q166" s="18" t="n">
        <f aca="false">CostoFijo*D166</f>
        <v>0</v>
      </c>
      <c r="R166" s="18" t="n">
        <f aca="false">M166-N166-O166-P166-Q166</f>
        <v>3399160</v>
      </c>
    </row>
    <row r="167" customFormat="false" ht="15" hidden="false" customHeight="true" outlineLevel="0" collapsed="false">
      <c r="A167" s="5" t="n">
        <f aca="false">A166+1</f>
        <v>162</v>
      </c>
      <c r="B167" s="16" t="n">
        <f aca="false">B166+IF(WEEKDAY(B166,2)=6,2,1)</f>
        <v>46211</v>
      </c>
      <c r="C167" s="5" t="n">
        <f aca="false">MONTH(B167)</f>
        <v>7</v>
      </c>
      <c r="D167" s="5" t="n">
        <f aca="false">IF(C167&lt;&gt;C166,1,0)</f>
        <v>0</v>
      </c>
      <c r="E167" s="5" t="n">
        <f aca="false">IF(L166=1,CantPedido,0)</f>
        <v>0</v>
      </c>
      <c r="F167" s="5" t="n">
        <f aca="false">J166+E167</f>
        <v>8</v>
      </c>
      <c r="G167" s="5" t="n">
        <f aca="false">RANDBETWEEN(3,7)</f>
        <v>3</v>
      </c>
      <c r="H167" s="5" t="n">
        <f aca="false">MIN(F167,G167)</f>
        <v>3</v>
      </c>
      <c r="I167" s="5" t="n">
        <f aca="false">G167-H167</f>
        <v>0</v>
      </c>
      <c r="J167" s="5" t="n">
        <f aca="false">F167-H167</f>
        <v>5</v>
      </c>
      <c r="K167" s="5" t="n">
        <f aca="false">IF(I167&gt;0,1,0)</f>
        <v>0</v>
      </c>
      <c r="L167" s="5" t="n">
        <f aca="false">IF(J167&lt;PuntoReorden,1,0)</f>
        <v>1</v>
      </c>
      <c r="M167" s="18" t="n">
        <f aca="false">PrecioVenta*H167</f>
        <v>2040000</v>
      </c>
      <c r="N167" s="18" t="n">
        <f aca="false">CostoUnitario*E167</f>
        <v>0</v>
      </c>
      <c r="O167" s="18" t="n">
        <f aca="false">IF(E167&gt;0,CostoPedido,0)</f>
        <v>0</v>
      </c>
      <c r="P167" s="18" t="n">
        <f aca="false">CostoAlm*(F167+J167)/2</f>
        <v>520</v>
      </c>
      <c r="Q167" s="18" t="n">
        <f aca="false">CostoFijo*D167</f>
        <v>0</v>
      </c>
      <c r="R167" s="18" t="n">
        <f aca="false">M167-N167-O167-P167-Q167</f>
        <v>2039480</v>
      </c>
    </row>
    <row r="168" customFormat="false" ht="15" hidden="false" customHeight="true" outlineLevel="0" collapsed="false">
      <c r="A168" s="5" t="n">
        <f aca="false">A167+1</f>
        <v>163</v>
      </c>
      <c r="B168" s="16" t="n">
        <f aca="false">B167+IF(WEEKDAY(B167,2)=6,2,1)</f>
        <v>46212</v>
      </c>
      <c r="C168" s="5" t="n">
        <f aca="false">MONTH(B168)</f>
        <v>7</v>
      </c>
      <c r="D168" s="5" t="n">
        <f aca="false">IF(C168&lt;&gt;C167,1,0)</f>
        <v>0</v>
      </c>
      <c r="E168" s="17" t="n">
        <f aca="false">IF(L167=1,CantPedido,0)</f>
        <v>15</v>
      </c>
      <c r="F168" s="5" t="n">
        <f aca="false">J167+E168</f>
        <v>20</v>
      </c>
      <c r="G168" s="5" t="n">
        <f aca="false">RANDBETWEEN(3,7)</f>
        <v>5</v>
      </c>
      <c r="H168" s="5" t="n">
        <f aca="false">MIN(F168,G168)</f>
        <v>5</v>
      </c>
      <c r="I168" s="5" t="n">
        <f aca="false">G168-H168</f>
        <v>0</v>
      </c>
      <c r="J168" s="5" t="n">
        <f aca="false">F168-H168</f>
        <v>15</v>
      </c>
      <c r="K168" s="5" t="n">
        <f aca="false">IF(I168&gt;0,1,0)</f>
        <v>0</v>
      </c>
      <c r="L168" s="5" t="n">
        <f aca="false">IF(J168&lt;PuntoReorden,1,0)</f>
        <v>0</v>
      </c>
      <c r="M168" s="18" t="n">
        <f aca="false">PrecioVenta*H168</f>
        <v>3400000</v>
      </c>
      <c r="N168" s="18" t="n">
        <f aca="false">CostoUnitario*E168</f>
        <v>9000000</v>
      </c>
      <c r="O168" s="18" t="n">
        <f aca="false">IF(E168&gt;0,CostoPedido,0)</f>
        <v>40000</v>
      </c>
      <c r="P168" s="18" t="n">
        <f aca="false">CostoAlm*(F168+J168)/2</f>
        <v>1400</v>
      </c>
      <c r="Q168" s="18" t="n">
        <f aca="false">CostoFijo*D168</f>
        <v>0</v>
      </c>
      <c r="R168" s="18" t="n">
        <f aca="false">M168-N168-O168-P168-Q168</f>
        <v>-5641400</v>
      </c>
    </row>
    <row r="169" customFormat="false" ht="15" hidden="false" customHeight="true" outlineLevel="0" collapsed="false">
      <c r="A169" s="5" t="n">
        <f aca="false">A168+1</f>
        <v>164</v>
      </c>
      <c r="B169" s="16" t="n">
        <f aca="false">B168+IF(WEEKDAY(B168,2)=6,2,1)</f>
        <v>46213</v>
      </c>
      <c r="C169" s="5" t="n">
        <f aca="false">MONTH(B169)</f>
        <v>7</v>
      </c>
      <c r="D169" s="5" t="n">
        <f aca="false">IF(C169&lt;&gt;C168,1,0)</f>
        <v>0</v>
      </c>
      <c r="E169" s="5" t="n">
        <f aca="false">IF(L168=1,CantPedido,0)</f>
        <v>0</v>
      </c>
      <c r="F169" s="5" t="n">
        <f aca="false">J168+E169</f>
        <v>15</v>
      </c>
      <c r="G169" s="5" t="n">
        <f aca="false">RANDBETWEEN(3,7)</f>
        <v>4</v>
      </c>
      <c r="H169" s="5" t="n">
        <f aca="false">MIN(F169,G169)</f>
        <v>4</v>
      </c>
      <c r="I169" s="5" t="n">
        <f aca="false">G169-H169</f>
        <v>0</v>
      </c>
      <c r="J169" s="5" t="n">
        <f aca="false">F169-H169</f>
        <v>11</v>
      </c>
      <c r="K169" s="5" t="n">
        <f aca="false">IF(I169&gt;0,1,0)</f>
        <v>0</v>
      </c>
      <c r="L169" s="5" t="n">
        <f aca="false">IF(J169&lt;PuntoReorden,1,0)</f>
        <v>0</v>
      </c>
      <c r="M169" s="18" t="n">
        <f aca="false">PrecioVenta*H169</f>
        <v>2720000</v>
      </c>
      <c r="N169" s="18" t="n">
        <f aca="false">CostoUnitario*E169</f>
        <v>0</v>
      </c>
      <c r="O169" s="18" t="n">
        <f aca="false">IF(E169&gt;0,CostoPedido,0)</f>
        <v>0</v>
      </c>
      <c r="P169" s="18" t="n">
        <f aca="false">CostoAlm*(F169+J169)/2</f>
        <v>1040</v>
      </c>
      <c r="Q169" s="18" t="n">
        <f aca="false">CostoFijo*D169</f>
        <v>0</v>
      </c>
      <c r="R169" s="18" t="n">
        <f aca="false">M169-N169-O169-P169-Q169</f>
        <v>2718960</v>
      </c>
    </row>
    <row r="170" customFormat="false" ht="15" hidden="false" customHeight="true" outlineLevel="0" collapsed="false">
      <c r="A170" s="5" t="n">
        <f aca="false">A169+1</f>
        <v>165</v>
      </c>
      <c r="B170" s="16" t="n">
        <f aca="false">B169+IF(WEEKDAY(B169,2)=6,2,1)</f>
        <v>46214</v>
      </c>
      <c r="C170" s="5" t="n">
        <f aca="false">MONTH(B170)</f>
        <v>7</v>
      </c>
      <c r="D170" s="5" t="n">
        <f aca="false">IF(C170&lt;&gt;C169,1,0)</f>
        <v>0</v>
      </c>
      <c r="E170" s="17" t="n">
        <f aca="false">IF(L169=1,CantPedido,0)</f>
        <v>0</v>
      </c>
      <c r="F170" s="5" t="n">
        <f aca="false">J169+E170</f>
        <v>11</v>
      </c>
      <c r="G170" s="5" t="n">
        <f aca="false">RANDBETWEEN(3,7)</f>
        <v>3</v>
      </c>
      <c r="H170" s="5" t="n">
        <f aca="false">MIN(F170,G170)</f>
        <v>3</v>
      </c>
      <c r="I170" s="5" t="n">
        <f aca="false">G170-H170</f>
        <v>0</v>
      </c>
      <c r="J170" s="5" t="n">
        <f aca="false">F170-H170</f>
        <v>8</v>
      </c>
      <c r="K170" s="5" t="n">
        <f aca="false">IF(I170&gt;0,1,0)</f>
        <v>0</v>
      </c>
      <c r="L170" s="5" t="n">
        <f aca="false">IF(J170&lt;PuntoReorden,1,0)</f>
        <v>0</v>
      </c>
      <c r="M170" s="18" t="n">
        <f aca="false">PrecioVenta*H170</f>
        <v>2040000</v>
      </c>
      <c r="N170" s="18" t="n">
        <f aca="false">CostoUnitario*E170</f>
        <v>0</v>
      </c>
      <c r="O170" s="18" t="n">
        <f aca="false">IF(E170&gt;0,CostoPedido,0)</f>
        <v>0</v>
      </c>
      <c r="P170" s="18" t="n">
        <f aca="false">CostoAlm*(F170+J170)/2</f>
        <v>760</v>
      </c>
      <c r="Q170" s="18" t="n">
        <f aca="false">CostoFijo*D170</f>
        <v>0</v>
      </c>
      <c r="R170" s="18" t="n">
        <f aca="false">M170-N170-O170-P170-Q170</f>
        <v>2039240</v>
      </c>
    </row>
    <row r="171" customFormat="false" ht="15" hidden="false" customHeight="true" outlineLevel="0" collapsed="false">
      <c r="A171" s="5" t="n">
        <f aca="false">A170+1</f>
        <v>166</v>
      </c>
      <c r="B171" s="16" t="n">
        <f aca="false">B170+IF(WEEKDAY(B170,2)=6,2,1)</f>
        <v>46216</v>
      </c>
      <c r="C171" s="5" t="n">
        <f aca="false">MONTH(B171)</f>
        <v>7</v>
      </c>
      <c r="D171" s="5" t="n">
        <f aca="false">IF(C171&lt;&gt;C170,1,0)</f>
        <v>0</v>
      </c>
      <c r="E171" s="5" t="n">
        <f aca="false">IF(L170=1,CantPedido,0)</f>
        <v>0</v>
      </c>
      <c r="F171" s="5" t="n">
        <f aca="false">J170+E171</f>
        <v>8</v>
      </c>
      <c r="G171" s="5" t="n">
        <f aca="false">RANDBETWEEN(3,7)</f>
        <v>6</v>
      </c>
      <c r="H171" s="5" t="n">
        <f aca="false">MIN(F171,G171)</f>
        <v>6</v>
      </c>
      <c r="I171" s="5" t="n">
        <f aca="false">G171-H171</f>
        <v>0</v>
      </c>
      <c r="J171" s="5" t="n">
        <f aca="false">F171-H171</f>
        <v>2</v>
      </c>
      <c r="K171" s="5" t="n">
        <f aca="false">IF(I171&gt;0,1,0)</f>
        <v>0</v>
      </c>
      <c r="L171" s="5" t="n">
        <f aca="false">IF(J171&lt;PuntoReorden,1,0)</f>
        <v>1</v>
      </c>
      <c r="M171" s="18" t="n">
        <f aca="false">PrecioVenta*H171</f>
        <v>4080000</v>
      </c>
      <c r="N171" s="18" t="n">
        <f aca="false">CostoUnitario*E171</f>
        <v>0</v>
      </c>
      <c r="O171" s="18" t="n">
        <f aca="false">IF(E171&gt;0,CostoPedido,0)</f>
        <v>0</v>
      </c>
      <c r="P171" s="18" t="n">
        <f aca="false">CostoAlm*(F171+J171)/2</f>
        <v>400</v>
      </c>
      <c r="Q171" s="18" t="n">
        <f aca="false">CostoFijo*D171</f>
        <v>0</v>
      </c>
      <c r="R171" s="18" t="n">
        <f aca="false">M171-N171-O171-P171-Q171</f>
        <v>4079600</v>
      </c>
    </row>
    <row r="172" customFormat="false" ht="15" hidden="false" customHeight="true" outlineLevel="0" collapsed="false">
      <c r="A172" s="5" t="n">
        <f aca="false">A171+1</f>
        <v>167</v>
      </c>
      <c r="B172" s="16" t="n">
        <f aca="false">B171+IF(WEEKDAY(B171,2)=6,2,1)</f>
        <v>46217</v>
      </c>
      <c r="C172" s="5" t="n">
        <f aca="false">MONTH(B172)</f>
        <v>7</v>
      </c>
      <c r="D172" s="5" t="n">
        <f aca="false">IF(C172&lt;&gt;C171,1,0)</f>
        <v>0</v>
      </c>
      <c r="E172" s="17" t="n">
        <f aca="false">IF(L171=1,CantPedido,0)</f>
        <v>15</v>
      </c>
      <c r="F172" s="5" t="n">
        <f aca="false">J171+E172</f>
        <v>17</v>
      </c>
      <c r="G172" s="5" t="n">
        <f aca="false">RANDBETWEEN(3,7)</f>
        <v>4</v>
      </c>
      <c r="H172" s="5" t="n">
        <f aca="false">MIN(F172,G172)</f>
        <v>4</v>
      </c>
      <c r="I172" s="5" t="n">
        <f aca="false">G172-H172</f>
        <v>0</v>
      </c>
      <c r="J172" s="5" t="n">
        <f aca="false">F172-H172</f>
        <v>13</v>
      </c>
      <c r="K172" s="5" t="n">
        <f aca="false">IF(I172&gt;0,1,0)</f>
        <v>0</v>
      </c>
      <c r="L172" s="5" t="n">
        <f aca="false">IF(J172&lt;PuntoReorden,1,0)</f>
        <v>0</v>
      </c>
      <c r="M172" s="18" t="n">
        <f aca="false">PrecioVenta*H172</f>
        <v>2720000</v>
      </c>
      <c r="N172" s="18" t="n">
        <f aca="false">CostoUnitario*E172</f>
        <v>9000000</v>
      </c>
      <c r="O172" s="18" t="n">
        <f aca="false">IF(E172&gt;0,CostoPedido,0)</f>
        <v>40000</v>
      </c>
      <c r="P172" s="18" t="n">
        <f aca="false">CostoAlm*(F172+J172)/2</f>
        <v>1200</v>
      </c>
      <c r="Q172" s="18" t="n">
        <f aca="false">CostoFijo*D172</f>
        <v>0</v>
      </c>
      <c r="R172" s="18" t="n">
        <f aca="false">M172-N172-O172-P172-Q172</f>
        <v>-6321200</v>
      </c>
    </row>
    <row r="173" customFormat="false" ht="15" hidden="false" customHeight="true" outlineLevel="0" collapsed="false">
      <c r="A173" s="5" t="n">
        <f aca="false">A172+1</f>
        <v>168</v>
      </c>
      <c r="B173" s="16" t="n">
        <f aca="false">B172+IF(WEEKDAY(B172,2)=6,2,1)</f>
        <v>46218</v>
      </c>
      <c r="C173" s="5" t="n">
        <f aca="false">MONTH(B173)</f>
        <v>7</v>
      </c>
      <c r="D173" s="5" t="n">
        <f aca="false">IF(C173&lt;&gt;C172,1,0)</f>
        <v>0</v>
      </c>
      <c r="E173" s="17" t="n">
        <f aca="false">IF(L172=1,CantPedido,0)</f>
        <v>0</v>
      </c>
      <c r="F173" s="5" t="n">
        <f aca="false">J172+E173</f>
        <v>13</v>
      </c>
      <c r="G173" s="5" t="n">
        <f aca="false">RANDBETWEEN(3,7)</f>
        <v>7</v>
      </c>
      <c r="H173" s="5" t="n">
        <f aca="false">MIN(F173,G173)</f>
        <v>7</v>
      </c>
      <c r="I173" s="5" t="n">
        <f aca="false">G173-H173</f>
        <v>0</v>
      </c>
      <c r="J173" s="5" t="n">
        <f aca="false">F173-H173</f>
        <v>6</v>
      </c>
      <c r="K173" s="5" t="n">
        <f aca="false">IF(I173&gt;0,1,0)</f>
        <v>0</v>
      </c>
      <c r="L173" s="5" t="n">
        <f aca="false">IF(J173&lt;PuntoReorden,1,0)</f>
        <v>1</v>
      </c>
      <c r="M173" s="18" t="n">
        <f aca="false">PrecioVenta*H173</f>
        <v>4760000</v>
      </c>
      <c r="N173" s="18" t="n">
        <f aca="false">CostoUnitario*E173</f>
        <v>0</v>
      </c>
      <c r="O173" s="18" t="n">
        <f aca="false">IF(E173&gt;0,CostoPedido,0)</f>
        <v>0</v>
      </c>
      <c r="P173" s="18" t="n">
        <f aca="false">CostoAlm*(F173+J173)/2</f>
        <v>760</v>
      </c>
      <c r="Q173" s="18" t="n">
        <f aca="false">CostoFijo*D173</f>
        <v>0</v>
      </c>
      <c r="R173" s="18" t="n">
        <f aca="false">M173-N173-O173-P173-Q173</f>
        <v>4759240</v>
      </c>
    </row>
    <row r="174" customFormat="false" ht="15" hidden="false" customHeight="true" outlineLevel="0" collapsed="false">
      <c r="A174" s="5" t="n">
        <f aca="false">A173+1</f>
        <v>169</v>
      </c>
      <c r="B174" s="16" t="n">
        <f aca="false">B173+IF(WEEKDAY(B173,2)=6,2,1)</f>
        <v>46219</v>
      </c>
      <c r="C174" s="5" t="n">
        <f aca="false">MONTH(B174)</f>
        <v>7</v>
      </c>
      <c r="D174" s="5" t="n">
        <f aca="false">IF(C174&lt;&gt;C173,1,0)</f>
        <v>0</v>
      </c>
      <c r="E174" s="17" t="n">
        <f aca="false">IF(L173=1,CantPedido,0)</f>
        <v>15</v>
      </c>
      <c r="F174" s="5" t="n">
        <f aca="false">J173+E174</f>
        <v>21</v>
      </c>
      <c r="G174" s="5" t="n">
        <f aca="false">RANDBETWEEN(3,7)</f>
        <v>6</v>
      </c>
      <c r="H174" s="5" t="n">
        <f aca="false">MIN(F174,G174)</f>
        <v>6</v>
      </c>
      <c r="I174" s="5" t="n">
        <f aca="false">G174-H174</f>
        <v>0</v>
      </c>
      <c r="J174" s="5" t="n">
        <f aca="false">F174-H174</f>
        <v>15</v>
      </c>
      <c r="K174" s="5" t="n">
        <f aca="false">IF(I174&gt;0,1,0)</f>
        <v>0</v>
      </c>
      <c r="L174" s="5" t="n">
        <f aca="false">IF(J174&lt;PuntoReorden,1,0)</f>
        <v>0</v>
      </c>
      <c r="M174" s="18" t="n">
        <f aca="false">PrecioVenta*H174</f>
        <v>4080000</v>
      </c>
      <c r="N174" s="18" t="n">
        <f aca="false">CostoUnitario*E174</f>
        <v>9000000</v>
      </c>
      <c r="O174" s="18" t="n">
        <f aca="false">IF(E174&gt;0,CostoPedido,0)</f>
        <v>40000</v>
      </c>
      <c r="P174" s="18" t="n">
        <f aca="false">CostoAlm*(F174+J174)/2</f>
        <v>1440</v>
      </c>
      <c r="Q174" s="18" t="n">
        <f aca="false">CostoFijo*D174</f>
        <v>0</v>
      </c>
      <c r="R174" s="18" t="n">
        <f aca="false">M174-N174-O174-P174-Q174</f>
        <v>-4961440</v>
      </c>
    </row>
    <row r="175" customFormat="false" ht="15" hidden="false" customHeight="true" outlineLevel="0" collapsed="false">
      <c r="A175" s="5" t="n">
        <f aca="false">A174+1</f>
        <v>170</v>
      </c>
      <c r="B175" s="16" t="n">
        <f aca="false">B174+IF(WEEKDAY(B174,2)=6,2,1)</f>
        <v>46220</v>
      </c>
      <c r="C175" s="5" t="n">
        <f aca="false">MONTH(B175)</f>
        <v>7</v>
      </c>
      <c r="D175" s="5" t="n">
        <f aca="false">IF(C175&lt;&gt;C174,1,0)</f>
        <v>0</v>
      </c>
      <c r="E175" s="17" t="n">
        <f aca="false">IF(L174=1,CantPedido,0)</f>
        <v>0</v>
      </c>
      <c r="F175" s="5" t="n">
        <f aca="false">J174+E175</f>
        <v>15</v>
      </c>
      <c r="G175" s="5" t="n">
        <f aca="false">RANDBETWEEN(3,7)</f>
        <v>6</v>
      </c>
      <c r="H175" s="5" t="n">
        <f aca="false">MIN(F175,G175)</f>
        <v>6</v>
      </c>
      <c r="I175" s="5" t="n">
        <f aca="false">G175-H175</f>
        <v>0</v>
      </c>
      <c r="J175" s="5" t="n">
        <f aca="false">F175-H175</f>
        <v>9</v>
      </c>
      <c r="K175" s="5" t="n">
        <f aca="false">IF(I175&gt;0,1,0)</f>
        <v>0</v>
      </c>
      <c r="L175" s="5" t="n">
        <f aca="false">IF(J175&lt;PuntoReorden,1,0)</f>
        <v>0</v>
      </c>
      <c r="M175" s="18" t="n">
        <f aca="false">PrecioVenta*H175</f>
        <v>4080000</v>
      </c>
      <c r="N175" s="18" t="n">
        <f aca="false">CostoUnitario*E175</f>
        <v>0</v>
      </c>
      <c r="O175" s="18" t="n">
        <f aca="false">IF(E175&gt;0,CostoPedido,0)</f>
        <v>0</v>
      </c>
      <c r="P175" s="18" t="n">
        <f aca="false">CostoAlm*(F175+J175)/2</f>
        <v>960</v>
      </c>
      <c r="Q175" s="18" t="n">
        <f aca="false">CostoFijo*D175</f>
        <v>0</v>
      </c>
      <c r="R175" s="18" t="n">
        <f aca="false">M175-N175-O175-P175-Q175</f>
        <v>4079040</v>
      </c>
    </row>
    <row r="176" customFormat="false" ht="15" hidden="false" customHeight="true" outlineLevel="0" collapsed="false">
      <c r="A176" s="5" t="n">
        <f aca="false">A175+1</f>
        <v>171</v>
      </c>
      <c r="B176" s="16" t="n">
        <f aca="false">B175+IF(WEEKDAY(B175,2)=6,2,1)</f>
        <v>46221</v>
      </c>
      <c r="C176" s="5" t="n">
        <f aca="false">MONTH(B176)</f>
        <v>7</v>
      </c>
      <c r="D176" s="5" t="n">
        <f aca="false">IF(C176&lt;&gt;C175,1,0)</f>
        <v>0</v>
      </c>
      <c r="E176" s="5" t="n">
        <f aca="false">IF(L175=1,CantPedido,0)</f>
        <v>0</v>
      </c>
      <c r="F176" s="5" t="n">
        <f aca="false">J175+E176</f>
        <v>9</v>
      </c>
      <c r="G176" s="5" t="n">
        <f aca="false">RANDBETWEEN(3,7)</f>
        <v>5</v>
      </c>
      <c r="H176" s="5" t="n">
        <f aca="false">MIN(F176,G176)</f>
        <v>5</v>
      </c>
      <c r="I176" s="5" t="n">
        <f aca="false">G176-H176</f>
        <v>0</v>
      </c>
      <c r="J176" s="5" t="n">
        <f aca="false">F176-H176</f>
        <v>4</v>
      </c>
      <c r="K176" s="5" t="n">
        <f aca="false">IF(I176&gt;0,1,0)</f>
        <v>0</v>
      </c>
      <c r="L176" s="5" t="n">
        <f aca="false">IF(J176&lt;PuntoReorden,1,0)</f>
        <v>1</v>
      </c>
      <c r="M176" s="18" t="n">
        <f aca="false">PrecioVenta*H176</f>
        <v>3400000</v>
      </c>
      <c r="N176" s="18" t="n">
        <f aca="false">CostoUnitario*E176</f>
        <v>0</v>
      </c>
      <c r="O176" s="18" t="n">
        <f aca="false">IF(E176&gt;0,CostoPedido,0)</f>
        <v>0</v>
      </c>
      <c r="P176" s="18" t="n">
        <f aca="false">CostoAlm*(F176+J176)/2</f>
        <v>520</v>
      </c>
      <c r="Q176" s="18" t="n">
        <f aca="false">CostoFijo*D176</f>
        <v>0</v>
      </c>
      <c r="R176" s="18" t="n">
        <f aca="false">M176-N176-O176-P176-Q176</f>
        <v>3399480</v>
      </c>
    </row>
    <row r="177" customFormat="false" ht="15" hidden="false" customHeight="true" outlineLevel="0" collapsed="false">
      <c r="A177" s="5" t="n">
        <f aca="false">A176+1</f>
        <v>172</v>
      </c>
      <c r="B177" s="16" t="n">
        <f aca="false">B176+IF(WEEKDAY(B176,2)=6,2,1)</f>
        <v>46223</v>
      </c>
      <c r="C177" s="5" t="n">
        <f aca="false">MONTH(B177)</f>
        <v>7</v>
      </c>
      <c r="D177" s="5" t="n">
        <f aca="false">IF(C177&lt;&gt;C176,1,0)</f>
        <v>0</v>
      </c>
      <c r="E177" s="17" t="n">
        <f aca="false">IF(L176=1,CantPedido,0)</f>
        <v>15</v>
      </c>
      <c r="F177" s="5" t="n">
        <f aca="false">J176+E177</f>
        <v>19</v>
      </c>
      <c r="G177" s="5" t="n">
        <f aca="false">RANDBETWEEN(3,7)</f>
        <v>6</v>
      </c>
      <c r="H177" s="5" t="n">
        <f aca="false">MIN(F177,G177)</f>
        <v>6</v>
      </c>
      <c r="I177" s="5" t="n">
        <f aca="false">G177-H177</f>
        <v>0</v>
      </c>
      <c r="J177" s="5" t="n">
        <f aca="false">F177-H177</f>
        <v>13</v>
      </c>
      <c r="K177" s="5" t="n">
        <f aca="false">IF(I177&gt;0,1,0)</f>
        <v>0</v>
      </c>
      <c r="L177" s="5" t="n">
        <f aca="false">IF(J177&lt;PuntoReorden,1,0)</f>
        <v>0</v>
      </c>
      <c r="M177" s="18" t="n">
        <f aca="false">PrecioVenta*H177</f>
        <v>4080000</v>
      </c>
      <c r="N177" s="18" t="n">
        <f aca="false">CostoUnitario*E177</f>
        <v>9000000</v>
      </c>
      <c r="O177" s="18" t="n">
        <f aca="false">IF(E177&gt;0,CostoPedido,0)</f>
        <v>40000</v>
      </c>
      <c r="P177" s="18" t="n">
        <f aca="false">CostoAlm*(F177+J177)/2</f>
        <v>1280</v>
      </c>
      <c r="Q177" s="18" t="n">
        <f aca="false">CostoFijo*D177</f>
        <v>0</v>
      </c>
      <c r="R177" s="18" t="n">
        <f aca="false">M177-N177-O177-P177-Q177</f>
        <v>-4961280</v>
      </c>
    </row>
    <row r="178" customFormat="false" ht="15" hidden="false" customHeight="true" outlineLevel="0" collapsed="false">
      <c r="A178" s="5" t="n">
        <f aca="false">A177+1</f>
        <v>173</v>
      </c>
      <c r="B178" s="16" t="n">
        <f aca="false">B177+IF(WEEKDAY(B177,2)=6,2,1)</f>
        <v>46224</v>
      </c>
      <c r="C178" s="5" t="n">
        <f aca="false">MONTH(B178)</f>
        <v>7</v>
      </c>
      <c r="D178" s="5" t="n">
        <f aca="false">IF(C178&lt;&gt;C177,1,0)</f>
        <v>0</v>
      </c>
      <c r="E178" s="17" t="n">
        <f aca="false">IF(L177=1,CantPedido,0)</f>
        <v>0</v>
      </c>
      <c r="F178" s="5" t="n">
        <f aca="false">J177+E178</f>
        <v>13</v>
      </c>
      <c r="G178" s="5" t="n">
        <f aca="false">RANDBETWEEN(3,7)</f>
        <v>3</v>
      </c>
      <c r="H178" s="5" t="n">
        <f aca="false">MIN(F178,G178)</f>
        <v>3</v>
      </c>
      <c r="I178" s="5" t="n">
        <f aca="false">G178-H178</f>
        <v>0</v>
      </c>
      <c r="J178" s="5" t="n">
        <f aca="false">F178-H178</f>
        <v>10</v>
      </c>
      <c r="K178" s="5" t="n">
        <f aca="false">IF(I178&gt;0,1,0)</f>
        <v>0</v>
      </c>
      <c r="L178" s="5" t="n">
        <f aca="false">IF(J178&lt;PuntoReorden,1,0)</f>
        <v>0</v>
      </c>
      <c r="M178" s="18" t="n">
        <f aca="false">PrecioVenta*H178</f>
        <v>2040000</v>
      </c>
      <c r="N178" s="18" t="n">
        <f aca="false">CostoUnitario*E178</f>
        <v>0</v>
      </c>
      <c r="O178" s="18" t="n">
        <f aca="false">IF(E178&gt;0,CostoPedido,0)</f>
        <v>0</v>
      </c>
      <c r="P178" s="18" t="n">
        <f aca="false">CostoAlm*(F178+J178)/2</f>
        <v>920</v>
      </c>
      <c r="Q178" s="18" t="n">
        <f aca="false">CostoFijo*D178</f>
        <v>0</v>
      </c>
      <c r="R178" s="18" t="n">
        <f aca="false">M178-N178-O178-P178-Q178</f>
        <v>2039080</v>
      </c>
    </row>
    <row r="179" customFormat="false" ht="15" hidden="false" customHeight="true" outlineLevel="0" collapsed="false">
      <c r="A179" s="5" t="n">
        <f aca="false">A178+1</f>
        <v>174</v>
      </c>
      <c r="B179" s="16" t="n">
        <f aca="false">B178+IF(WEEKDAY(B178,2)=6,2,1)</f>
        <v>46225</v>
      </c>
      <c r="C179" s="5" t="n">
        <f aca="false">MONTH(B179)</f>
        <v>7</v>
      </c>
      <c r="D179" s="5" t="n">
        <f aca="false">IF(C179&lt;&gt;C178,1,0)</f>
        <v>0</v>
      </c>
      <c r="E179" s="5" t="n">
        <f aca="false">IF(L178=1,CantPedido,0)</f>
        <v>0</v>
      </c>
      <c r="F179" s="5" t="n">
        <f aca="false">J178+E179</f>
        <v>10</v>
      </c>
      <c r="G179" s="5" t="n">
        <f aca="false">RANDBETWEEN(3,7)</f>
        <v>7</v>
      </c>
      <c r="H179" s="5" t="n">
        <f aca="false">MIN(F179,G179)</f>
        <v>7</v>
      </c>
      <c r="I179" s="5" t="n">
        <f aca="false">G179-H179</f>
        <v>0</v>
      </c>
      <c r="J179" s="5" t="n">
        <f aca="false">F179-H179</f>
        <v>3</v>
      </c>
      <c r="K179" s="5" t="n">
        <f aca="false">IF(I179&gt;0,1,0)</f>
        <v>0</v>
      </c>
      <c r="L179" s="5" t="n">
        <f aca="false">IF(J179&lt;PuntoReorden,1,0)</f>
        <v>1</v>
      </c>
      <c r="M179" s="18" t="n">
        <f aca="false">PrecioVenta*H179</f>
        <v>4760000</v>
      </c>
      <c r="N179" s="18" t="n">
        <f aca="false">CostoUnitario*E179</f>
        <v>0</v>
      </c>
      <c r="O179" s="18" t="n">
        <f aca="false">IF(E179&gt;0,CostoPedido,0)</f>
        <v>0</v>
      </c>
      <c r="P179" s="18" t="n">
        <f aca="false">CostoAlm*(F179+J179)/2</f>
        <v>520</v>
      </c>
      <c r="Q179" s="18" t="n">
        <f aca="false">CostoFijo*D179</f>
        <v>0</v>
      </c>
      <c r="R179" s="18" t="n">
        <f aca="false">M179-N179-O179-P179-Q179</f>
        <v>4759480</v>
      </c>
    </row>
    <row r="180" customFormat="false" ht="15" hidden="false" customHeight="true" outlineLevel="0" collapsed="false">
      <c r="A180" s="5" t="n">
        <f aca="false">A179+1</f>
        <v>175</v>
      </c>
      <c r="B180" s="16" t="n">
        <f aca="false">B179+IF(WEEKDAY(B179,2)=6,2,1)</f>
        <v>46226</v>
      </c>
      <c r="C180" s="5" t="n">
        <f aca="false">MONTH(B180)</f>
        <v>7</v>
      </c>
      <c r="D180" s="5" t="n">
        <f aca="false">IF(C180&lt;&gt;C179,1,0)</f>
        <v>0</v>
      </c>
      <c r="E180" s="17" t="n">
        <f aca="false">IF(L179=1,CantPedido,0)</f>
        <v>15</v>
      </c>
      <c r="F180" s="5" t="n">
        <f aca="false">J179+E180</f>
        <v>18</v>
      </c>
      <c r="G180" s="5" t="n">
        <f aca="false">RANDBETWEEN(3,7)</f>
        <v>3</v>
      </c>
      <c r="H180" s="5" t="n">
        <f aca="false">MIN(F180,G180)</f>
        <v>3</v>
      </c>
      <c r="I180" s="5" t="n">
        <f aca="false">G180-H180</f>
        <v>0</v>
      </c>
      <c r="J180" s="5" t="n">
        <f aca="false">F180-H180</f>
        <v>15</v>
      </c>
      <c r="K180" s="5" t="n">
        <f aca="false">IF(I180&gt;0,1,0)</f>
        <v>0</v>
      </c>
      <c r="L180" s="5" t="n">
        <f aca="false">IF(J180&lt;PuntoReorden,1,0)</f>
        <v>0</v>
      </c>
      <c r="M180" s="18" t="n">
        <f aca="false">PrecioVenta*H180</f>
        <v>2040000</v>
      </c>
      <c r="N180" s="18" t="n">
        <f aca="false">CostoUnitario*E180</f>
        <v>9000000</v>
      </c>
      <c r="O180" s="18" t="n">
        <f aca="false">IF(E180&gt;0,CostoPedido,0)</f>
        <v>40000</v>
      </c>
      <c r="P180" s="18" t="n">
        <f aca="false">CostoAlm*(F180+J180)/2</f>
        <v>1320</v>
      </c>
      <c r="Q180" s="18" t="n">
        <f aca="false">CostoFijo*D180</f>
        <v>0</v>
      </c>
      <c r="R180" s="18" t="n">
        <f aca="false">M180-N180-O180-P180-Q180</f>
        <v>-7001320</v>
      </c>
    </row>
    <row r="181" customFormat="false" ht="15" hidden="false" customHeight="true" outlineLevel="0" collapsed="false">
      <c r="A181" s="5" t="n">
        <f aca="false">A180+1</f>
        <v>176</v>
      </c>
      <c r="B181" s="16" t="n">
        <f aca="false">B180+IF(WEEKDAY(B180,2)=6,2,1)</f>
        <v>46227</v>
      </c>
      <c r="C181" s="5" t="n">
        <f aca="false">MONTH(B181)</f>
        <v>7</v>
      </c>
      <c r="D181" s="5" t="n">
        <f aca="false">IF(C181&lt;&gt;C180,1,0)</f>
        <v>0</v>
      </c>
      <c r="E181" s="5" t="n">
        <f aca="false">IF(L180=1,CantPedido,0)</f>
        <v>0</v>
      </c>
      <c r="F181" s="5" t="n">
        <f aca="false">J180+E181</f>
        <v>15</v>
      </c>
      <c r="G181" s="5" t="n">
        <f aca="false">RANDBETWEEN(3,7)</f>
        <v>4</v>
      </c>
      <c r="H181" s="5" t="n">
        <f aca="false">MIN(F181,G181)</f>
        <v>4</v>
      </c>
      <c r="I181" s="5" t="n">
        <f aca="false">G181-H181</f>
        <v>0</v>
      </c>
      <c r="J181" s="5" t="n">
        <f aca="false">F181-H181</f>
        <v>11</v>
      </c>
      <c r="K181" s="5" t="n">
        <f aca="false">IF(I181&gt;0,1,0)</f>
        <v>0</v>
      </c>
      <c r="L181" s="5" t="n">
        <f aca="false">IF(J181&lt;PuntoReorden,1,0)</f>
        <v>0</v>
      </c>
      <c r="M181" s="18" t="n">
        <f aca="false">PrecioVenta*H181</f>
        <v>2720000</v>
      </c>
      <c r="N181" s="18" t="n">
        <f aca="false">CostoUnitario*E181</f>
        <v>0</v>
      </c>
      <c r="O181" s="18" t="n">
        <f aca="false">IF(E181&gt;0,CostoPedido,0)</f>
        <v>0</v>
      </c>
      <c r="P181" s="18" t="n">
        <f aca="false">CostoAlm*(F181+J181)/2</f>
        <v>1040</v>
      </c>
      <c r="Q181" s="18" t="n">
        <f aca="false">CostoFijo*D181</f>
        <v>0</v>
      </c>
      <c r="R181" s="18" t="n">
        <f aca="false">M181-N181-O181-P181-Q181</f>
        <v>2718960</v>
      </c>
    </row>
    <row r="182" customFormat="false" ht="15" hidden="false" customHeight="true" outlineLevel="0" collapsed="false">
      <c r="A182" s="5" t="n">
        <f aca="false">A181+1</f>
        <v>177</v>
      </c>
      <c r="B182" s="16" t="n">
        <f aca="false">B181+IF(WEEKDAY(B181,2)=6,2,1)</f>
        <v>46228</v>
      </c>
      <c r="C182" s="5" t="n">
        <f aca="false">MONTH(B182)</f>
        <v>7</v>
      </c>
      <c r="D182" s="5" t="n">
        <f aca="false">IF(C182&lt;&gt;C181,1,0)</f>
        <v>0</v>
      </c>
      <c r="E182" s="5" t="n">
        <f aca="false">IF(L181=1,CantPedido,0)</f>
        <v>0</v>
      </c>
      <c r="F182" s="5" t="n">
        <f aca="false">J181+E182</f>
        <v>11</v>
      </c>
      <c r="G182" s="5" t="n">
        <f aca="false">RANDBETWEEN(3,7)</f>
        <v>3</v>
      </c>
      <c r="H182" s="5" t="n">
        <f aca="false">MIN(F182,G182)</f>
        <v>3</v>
      </c>
      <c r="I182" s="5" t="n">
        <f aca="false">G182-H182</f>
        <v>0</v>
      </c>
      <c r="J182" s="5" t="n">
        <f aca="false">F182-H182</f>
        <v>8</v>
      </c>
      <c r="K182" s="5" t="n">
        <f aca="false">IF(I182&gt;0,1,0)</f>
        <v>0</v>
      </c>
      <c r="L182" s="5" t="n">
        <f aca="false">IF(J182&lt;PuntoReorden,1,0)</f>
        <v>0</v>
      </c>
      <c r="M182" s="18" t="n">
        <f aca="false">PrecioVenta*H182</f>
        <v>2040000</v>
      </c>
      <c r="N182" s="18" t="n">
        <f aca="false">CostoUnitario*E182</f>
        <v>0</v>
      </c>
      <c r="O182" s="18" t="n">
        <f aca="false">IF(E182&gt;0,CostoPedido,0)</f>
        <v>0</v>
      </c>
      <c r="P182" s="18" t="n">
        <f aca="false">CostoAlm*(F182+J182)/2</f>
        <v>760</v>
      </c>
      <c r="Q182" s="18" t="n">
        <f aca="false">CostoFijo*D182</f>
        <v>0</v>
      </c>
      <c r="R182" s="18" t="n">
        <f aca="false">M182-N182-O182-P182-Q182</f>
        <v>2039240</v>
      </c>
    </row>
    <row r="183" customFormat="false" ht="15" hidden="false" customHeight="true" outlineLevel="0" collapsed="false">
      <c r="A183" s="5" t="n">
        <f aca="false">A182+1</f>
        <v>178</v>
      </c>
      <c r="B183" s="16" t="n">
        <f aca="false">B182+IF(WEEKDAY(B182,2)=6,2,1)</f>
        <v>46230</v>
      </c>
      <c r="C183" s="5" t="n">
        <f aca="false">MONTH(B183)</f>
        <v>7</v>
      </c>
      <c r="D183" s="5" t="n">
        <f aca="false">IF(C183&lt;&gt;C182,1,0)</f>
        <v>0</v>
      </c>
      <c r="E183" s="17" t="n">
        <f aca="false">IF(L182=1,CantPedido,0)</f>
        <v>0</v>
      </c>
      <c r="F183" s="5" t="n">
        <f aca="false">J182+E183</f>
        <v>8</v>
      </c>
      <c r="G183" s="5" t="n">
        <f aca="false">RANDBETWEEN(3,7)</f>
        <v>6</v>
      </c>
      <c r="H183" s="5" t="n">
        <f aca="false">MIN(F183,G183)</f>
        <v>6</v>
      </c>
      <c r="I183" s="5" t="n">
        <f aca="false">G183-H183</f>
        <v>0</v>
      </c>
      <c r="J183" s="5" t="n">
        <f aca="false">F183-H183</f>
        <v>2</v>
      </c>
      <c r="K183" s="5" t="n">
        <f aca="false">IF(I183&gt;0,1,0)</f>
        <v>0</v>
      </c>
      <c r="L183" s="5" t="n">
        <f aca="false">IF(J183&lt;PuntoReorden,1,0)</f>
        <v>1</v>
      </c>
      <c r="M183" s="18" t="n">
        <f aca="false">PrecioVenta*H183</f>
        <v>4080000</v>
      </c>
      <c r="N183" s="18" t="n">
        <f aca="false">CostoUnitario*E183</f>
        <v>0</v>
      </c>
      <c r="O183" s="18" t="n">
        <f aca="false">IF(E183&gt;0,CostoPedido,0)</f>
        <v>0</v>
      </c>
      <c r="P183" s="18" t="n">
        <f aca="false">CostoAlm*(F183+J183)/2</f>
        <v>400</v>
      </c>
      <c r="Q183" s="18" t="n">
        <f aca="false">CostoFijo*D183</f>
        <v>0</v>
      </c>
      <c r="R183" s="18" t="n">
        <f aca="false">M183-N183-O183-P183-Q183</f>
        <v>4079600</v>
      </c>
    </row>
    <row r="184" customFormat="false" ht="15" hidden="false" customHeight="true" outlineLevel="0" collapsed="false">
      <c r="A184" s="5" t="n">
        <f aca="false">A183+1</f>
        <v>179</v>
      </c>
      <c r="B184" s="16" t="n">
        <f aca="false">B183+IF(WEEKDAY(B183,2)=6,2,1)</f>
        <v>46231</v>
      </c>
      <c r="C184" s="5" t="n">
        <f aca="false">MONTH(B184)</f>
        <v>7</v>
      </c>
      <c r="D184" s="5" t="n">
        <f aca="false">IF(C184&lt;&gt;C183,1,0)</f>
        <v>0</v>
      </c>
      <c r="E184" s="17" t="n">
        <f aca="false">IF(L183=1,CantPedido,0)</f>
        <v>15</v>
      </c>
      <c r="F184" s="5" t="n">
        <f aca="false">J183+E184</f>
        <v>17</v>
      </c>
      <c r="G184" s="5" t="n">
        <f aca="false">RANDBETWEEN(3,7)</f>
        <v>6</v>
      </c>
      <c r="H184" s="5" t="n">
        <f aca="false">MIN(F184,G184)</f>
        <v>6</v>
      </c>
      <c r="I184" s="5" t="n">
        <f aca="false">G184-H184</f>
        <v>0</v>
      </c>
      <c r="J184" s="5" t="n">
        <f aca="false">F184-H184</f>
        <v>11</v>
      </c>
      <c r="K184" s="5" t="n">
        <f aca="false">IF(I184&gt;0,1,0)</f>
        <v>0</v>
      </c>
      <c r="L184" s="5" t="n">
        <f aca="false">IF(J184&lt;PuntoReorden,1,0)</f>
        <v>0</v>
      </c>
      <c r="M184" s="18" t="n">
        <f aca="false">PrecioVenta*H184</f>
        <v>4080000</v>
      </c>
      <c r="N184" s="18" t="n">
        <f aca="false">CostoUnitario*E184</f>
        <v>9000000</v>
      </c>
      <c r="O184" s="18" t="n">
        <f aca="false">IF(E184&gt;0,CostoPedido,0)</f>
        <v>40000</v>
      </c>
      <c r="P184" s="18" t="n">
        <f aca="false">CostoAlm*(F184+J184)/2</f>
        <v>1120</v>
      </c>
      <c r="Q184" s="18" t="n">
        <f aca="false">CostoFijo*D184</f>
        <v>0</v>
      </c>
      <c r="R184" s="18" t="n">
        <f aca="false">M184-N184-O184-P184-Q184</f>
        <v>-4961120</v>
      </c>
    </row>
    <row r="185" customFormat="false" ht="15" hidden="false" customHeight="true" outlineLevel="0" collapsed="false">
      <c r="A185" s="5" t="n">
        <f aca="false">A184+1</f>
        <v>180</v>
      </c>
      <c r="B185" s="16" t="n">
        <f aca="false">B184+IF(WEEKDAY(B184,2)=6,2,1)</f>
        <v>46232</v>
      </c>
      <c r="C185" s="5" t="n">
        <f aca="false">MONTH(B185)</f>
        <v>7</v>
      </c>
      <c r="D185" s="5" t="n">
        <f aca="false">IF(C185&lt;&gt;C184,1,0)</f>
        <v>0</v>
      </c>
      <c r="E185" s="5" t="n">
        <f aca="false">IF(L184=1,CantPedido,0)</f>
        <v>0</v>
      </c>
      <c r="F185" s="5" t="n">
        <f aca="false">J184+E185</f>
        <v>11</v>
      </c>
      <c r="G185" s="5" t="n">
        <f aca="false">RANDBETWEEN(3,7)</f>
        <v>3</v>
      </c>
      <c r="H185" s="5" t="n">
        <f aca="false">MIN(F185,G185)</f>
        <v>3</v>
      </c>
      <c r="I185" s="5" t="n">
        <f aca="false">G185-H185</f>
        <v>0</v>
      </c>
      <c r="J185" s="5" t="n">
        <f aca="false">F185-H185</f>
        <v>8</v>
      </c>
      <c r="K185" s="5" t="n">
        <f aca="false">IF(I185&gt;0,1,0)</f>
        <v>0</v>
      </c>
      <c r="L185" s="5" t="n">
        <f aca="false">IF(J185&lt;PuntoReorden,1,0)</f>
        <v>0</v>
      </c>
      <c r="M185" s="18" t="n">
        <f aca="false">PrecioVenta*H185</f>
        <v>2040000</v>
      </c>
      <c r="N185" s="18" t="n">
        <f aca="false">CostoUnitario*E185</f>
        <v>0</v>
      </c>
      <c r="O185" s="18" t="n">
        <f aca="false">IF(E185&gt;0,CostoPedido,0)</f>
        <v>0</v>
      </c>
      <c r="P185" s="18" t="n">
        <f aca="false">CostoAlm*(F185+J185)/2</f>
        <v>760</v>
      </c>
      <c r="Q185" s="18" t="n">
        <f aca="false">CostoFijo*D185</f>
        <v>0</v>
      </c>
      <c r="R185" s="18" t="n">
        <f aca="false">M185-N185-O185-P185-Q185</f>
        <v>2039240</v>
      </c>
    </row>
    <row r="186" customFormat="false" ht="15" hidden="false" customHeight="true" outlineLevel="0" collapsed="false">
      <c r="A186" s="5" t="n">
        <f aca="false">A185+1</f>
        <v>181</v>
      </c>
      <c r="B186" s="16" t="n">
        <f aca="false">B185+IF(WEEKDAY(B185,2)=6,2,1)</f>
        <v>46233</v>
      </c>
      <c r="C186" s="5" t="n">
        <f aca="false">MONTH(B186)</f>
        <v>7</v>
      </c>
      <c r="D186" s="5" t="n">
        <f aca="false">IF(C186&lt;&gt;C185,1,0)</f>
        <v>0</v>
      </c>
      <c r="E186" s="17" t="n">
        <f aca="false">IF(L185=1,CantPedido,0)</f>
        <v>0</v>
      </c>
      <c r="F186" s="5" t="n">
        <f aca="false">J185+E186</f>
        <v>8</v>
      </c>
      <c r="G186" s="5" t="n">
        <f aca="false">RANDBETWEEN(3,7)</f>
        <v>5</v>
      </c>
      <c r="H186" s="5" t="n">
        <f aca="false">MIN(F186,G186)</f>
        <v>5</v>
      </c>
      <c r="I186" s="5" t="n">
        <f aca="false">G186-H186</f>
        <v>0</v>
      </c>
      <c r="J186" s="5" t="n">
        <f aca="false">F186-H186</f>
        <v>3</v>
      </c>
      <c r="K186" s="5" t="n">
        <f aca="false">IF(I186&gt;0,1,0)</f>
        <v>0</v>
      </c>
      <c r="L186" s="5" t="n">
        <f aca="false">IF(J186&lt;PuntoReorden,1,0)</f>
        <v>1</v>
      </c>
      <c r="M186" s="18" t="n">
        <f aca="false">PrecioVenta*H186</f>
        <v>3400000</v>
      </c>
      <c r="N186" s="18" t="n">
        <f aca="false">CostoUnitario*E186</f>
        <v>0</v>
      </c>
      <c r="O186" s="18" t="n">
        <f aca="false">IF(E186&gt;0,CostoPedido,0)</f>
        <v>0</v>
      </c>
      <c r="P186" s="18" t="n">
        <f aca="false">CostoAlm*(F186+J186)/2</f>
        <v>440</v>
      </c>
      <c r="Q186" s="18" t="n">
        <f aca="false">CostoFijo*D186</f>
        <v>0</v>
      </c>
      <c r="R186" s="18" t="n">
        <f aca="false">M186-N186-O186-P186-Q186</f>
        <v>3399560</v>
      </c>
    </row>
    <row r="187" customFormat="false" ht="15" hidden="false" customHeight="true" outlineLevel="0" collapsed="false">
      <c r="A187" s="5" t="n">
        <f aca="false">A186+1</f>
        <v>182</v>
      </c>
      <c r="B187" s="16" t="n">
        <f aca="false">B186+IF(WEEKDAY(B186,2)=6,2,1)</f>
        <v>46234</v>
      </c>
      <c r="C187" s="5" t="n">
        <f aca="false">MONTH(B187)</f>
        <v>7</v>
      </c>
      <c r="D187" s="5" t="n">
        <f aca="false">IF(C187&lt;&gt;C186,1,0)</f>
        <v>0</v>
      </c>
      <c r="E187" s="17" t="n">
        <f aca="false">IF(L186=1,CantPedido,0)</f>
        <v>15</v>
      </c>
      <c r="F187" s="5" t="n">
        <f aca="false">J186+E187</f>
        <v>18</v>
      </c>
      <c r="G187" s="5" t="n">
        <f aca="false">RANDBETWEEN(3,7)</f>
        <v>4</v>
      </c>
      <c r="H187" s="5" t="n">
        <f aca="false">MIN(F187,G187)</f>
        <v>4</v>
      </c>
      <c r="I187" s="5" t="n">
        <f aca="false">G187-H187</f>
        <v>0</v>
      </c>
      <c r="J187" s="5" t="n">
        <f aca="false">F187-H187</f>
        <v>14</v>
      </c>
      <c r="K187" s="5" t="n">
        <f aca="false">IF(I187&gt;0,1,0)</f>
        <v>0</v>
      </c>
      <c r="L187" s="5" t="n">
        <f aca="false">IF(J187&lt;PuntoReorden,1,0)</f>
        <v>0</v>
      </c>
      <c r="M187" s="18" t="n">
        <f aca="false">PrecioVenta*H187</f>
        <v>2720000</v>
      </c>
      <c r="N187" s="18" t="n">
        <f aca="false">CostoUnitario*E187</f>
        <v>9000000</v>
      </c>
      <c r="O187" s="18" t="n">
        <f aca="false">IF(E187&gt;0,CostoPedido,0)</f>
        <v>40000</v>
      </c>
      <c r="P187" s="18" t="n">
        <f aca="false">CostoAlm*(F187+J187)/2</f>
        <v>1280</v>
      </c>
      <c r="Q187" s="18" t="n">
        <f aca="false">CostoFijo*D187</f>
        <v>0</v>
      </c>
      <c r="R187" s="18" t="n">
        <f aca="false">M187-N187-O187-P187-Q187</f>
        <v>-6321280</v>
      </c>
    </row>
    <row r="188" customFormat="false" ht="15" hidden="false" customHeight="true" outlineLevel="0" collapsed="false">
      <c r="A188" s="5" t="n">
        <f aca="false">A187+1</f>
        <v>183</v>
      </c>
      <c r="B188" s="16" t="n">
        <f aca="false">B187+IF(WEEKDAY(B187,2)=6,2,1)</f>
        <v>46235</v>
      </c>
      <c r="C188" s="5" t="n">
        <f aca="false">MONTH(B188)</f>
        <v>8</v>
      </c>
      <c r="D188" s="5" t="n">
        <f aca="false">IF(C188&lt;&gt;C187,1,0)</f>
        <v>1</v>
      </c>
      <c r="E188" s="5" t="n">
        <f aca="false">IF(L187=1,CantPedido,0)</f>
        <v>0</v>
      </c>
      <c r="F188" s="5" t="n">
        <f aca="false">J187+E188</f>
        <v>14</v>
      </c>
      <c r="G188" s="5" t="n">
        <f aca="false">RANDBETWEEN(3,7)</f>
        <v>6</v>
      </c>
      <c r="H188" s="5" t="n">
        <f aca="false">MIN(F188,G188)</f>
        <v>6</v>
      </c>
      <c r="I188" s="5" t="n">
        <f aca="false">G188-H188</f>
        <v>0</v>
      </c>
      <c r="J188" s="5" t="n">
        <f aca="false">F188-H188</f>
        <v>8</v>
      </c>
      <c r="K188" s="5" t="n">
        <f aca="false">IF(I188&gt;0,1,0)</f>
        <v>0</v>
      </c>
      <c r="L188" s="5" t="n">
        <f aca="false">IF(J188&lt;PuntoReorden,1,0)</f>
        <v>0</v>
      </c>
      <c r="M188" s="18" t="n">
        <f aca="false">PrecioVenta*H188</f>
        <v>4080000</v>
      </c>
      <c r="N188" s="18" t="n">
        <f aca="false">CostoUnitario*E188</f>
        <v>0</v>
      </c>
      <c r="O188" s="18" t="n">
        <f aca="false">IF(E188&gt;0,CostoPedido,0)</f>
        <v>0</v>
      </c>
      <c r="P188" s="18" t="n">
        <f aca="false">CostoAlm*(F188+J188)/2</f>
        <v>880</v>
      </c>
      <c r="Q188" s="18" t="n">
        <f aca="false">CostoFijo*D188</f>
        <v>1000000</v>
      </c>
      <c r="R188" s="18" t="n">
        <f aca="false">M188-N188-O188-P188-Q188</f>
        <v>3079120</v>
      </c>
    </row>
    <row r="189" customFormat="false" ht="15" hidden="false" customHeight="true" outlineLevel="0" collapsed="false">
      <c r="A189" s="5" t="n">
        <f aca="false">A188+1</f>
        <v>184</v>
      </c>
      <c r="B189" s="16" t="n">
        <f aca="false">B188+IF(WEEKDAY(B188,2)=6,2,1)</f>
        <v>46237</v>
      </c>
      <c r="C189" s="5" t="n">
        <f aca="false">MONTH(B189)</f>
        <v>8</v>
      </c>
      <c r="D189" s="5" t="n">
        <f aca="false">IF(C189&lt;&gt;C188,1,0)</f>
        <v>0</v>
      </c>
      <c r="E189" s="17" t="n">
        <f aca="false">IF(L188=1,CantPedido,0)</f>
        <v>0</v>
      </c>
      <c r="F189" s="5" t="n">
        <f aca="false">J188+E189</f>
        <v>8</v>
      </c>
      <c r="G189" s="5" t="n">
        <f aca="false">RANDBETWEEN(3,7)</f>
        <v>6</v>
      </c>
      <c r="H189" s="5" t="n">
        <f aca="false">MIN(F189,G189)</f>
        <v>6</v>
      </c>
      <c r="I189" s="5" t="n">
        <f aca="false">G189-H189</f>
        <v>0</v>
      </c>
      <c r="J189" s="5" t="n">
        <f aca="false">F189-H189</f>
        <v>2</v>
      </c>
      <c r="K189" s="5" t="n">
        <f aca="false">IF(I189&gt;0,1,0)</f>
        <v>0</v>
      </c>
      <c r="L189" s="5" t="n">
        <f aca="false">IF(J189&lt;PuntoReorden,1,0)</f>
        <v>1</v>
      </c>
      <c r="M189" s="18" t="n">
        <f aca="false">PrecioVenta*H189</f>
        <v>4080000</v>
      </c>
      <c r="N189" s="18" t="n">
        <f aca="false">CostoUnitario*E189</f>
        <v>0</v>
      </c>
      <c r="O189" s="18" t="n">
        <f aca="false">IF(E189&gt;0,CostoPedido,0)</f>
        <v>0</v>
      </c>
      <c r="P189" s="18" t="n">
        <f aca="false">CostoAlm*(F189+J189)/2</f>
        <v>400</v>
      </c>
      <c r="Q189" s="18" t="n">
        <f aca="false">CostoFijo*D189</f>
        <v>0</v>
      </c>
      <c r="R189" s="18" t="n">
        <f aca="false">M189-N189-O189-P189-Q189</f>
        <v>4079600</v>
      </c>
    </row>
    <row r="190" customFormat="false" ht="15" hidden="false" customHeight="true" outlineLevel="0" collapsed="false">
      <c r="A190" s="5" t="n">
        <f aca="false">A189+1</f>
        <v>185</v>
      </c>
      <c r="B190" s="16" t="n">
        <f aca="false">B189+IF(WEEKDAY(B189,2)=6,2,1)</f>
        <v>46238</v>
      </c>
      <c r="C190" s="5" t="n">
        <f aca="false">MONTH(B190)</f>
        <v>8</v>
      </c>
      <c r="D190" s="5" t="n">
        <f aca="false">IF(C190&lt;&gt;C189,1,0)</f>
        <v>0</v>
      </c>
      <c r="E190" s="17" t="n">
        <f aca="false">IF(L189=1,CantPedido,0)</f>
        <v>15</v>
      </c>
      <c r="F190" s="5" t="n">
        <f aca="false">J189+E190</f>
        <v>17</v>
      </c>
      <c r="G190" s="5" t="n">
        <f aca="false">RANDBETWEEN(3,7)</f>
        <v>5</v>
      </c>
      <c r="H190" s="5" t="n">
        <f aca="false">MIN(F190,G190)</f>
        <v>5</v>
      </c>
      <c r="I190" s="5" t="n">
        <f aca="false">G190-H190</f>
        <v>0</v>
      </c>
      <c r="J190" s="5" t="n">
        <f aca="false">F190-H190</f>
        <v>12</v>
      </c>
      <c r="K190" s="5" t="n">
        <f aca="false">IF(I190&gt;0,1,0)</f>
        <v>0</v>
      </c>
      <c r="L190" s="5" t="n">
        <f aca="false">IF(J190&lt;PuntoReorden,1,0)</f>
        <v>0</v>
      </c>
      <c r="M190" s="18" t="n">
        <f aca="false">PrecioVenta*H190</f>
        <v>3400000</v>
      </c>
      <c r="N190" s="18" t="n">
        <f aca="false">CostoUnitario*E190</f>
        <v>9000000</v>
      </c>
      <c r="O190" s="18" t="n">
        <f aca="false">IF(E190&gt;0,CostoPedido,0)</f>
        <v>40000</v>
      </c>
      <c r="P190" s="18" t="n">
        <f aca="false">CostoAlm*(F190+J190)/2</f>
        <v>1160</v>
      </c>
      <c r="Q190" s="18" t="n">
        <f aca="false">CostoFijo*D190</f>
        <v>0</v>
      </c>
      <c r="R190" s="18" t="n">
        <f aca="false">M190-N190-O190-P190-Q190</f>
        <v>-5641160</v>
      </c>
    </row>
    <row r="191" customFormat="false" ht="15" hidden="false" customHeight="true" outlineLevel="0" collapsed="false">
      <c r="A191" s="5" t="n">
        <f aca="false">A190+1</f>
        <v>186</v>
      </c>
      <c r="B191" s="16" t="n">
        <f aca="false">B190+IF(WEEKDAY(B190,2)=6,2,1)</f>
        <v>46239</v>
      </c>
      <c r="C191" s="5" t="n">
        <f aca="false">MONTH(B191)</f>
        <v>8</v>
      </c>
      <c r="D191" s="5" t="n">
        <f aca="false">IF(C191&lt;&gt;C190,1,0)</f>
        <v>0</v>
      </c>
      <c r="E191" s="5" t="n">
        <f aca="false">IF(L190=1,CantPedido,0)</f>
        <v>0</v>
      </c>
      <c r="F191" s="5" t="n">
        <f aca="false">J190+E191</f>
        <v>12</v>
      </c>
      <c r="G191" s="5" t="n">
        <f aca="false">RANDBETWEEN(3,7)</f>
        <v>7</v>
      </c>
      <c r="H191" s="5" t="n">
        <f aca="false">MIN(F191,G191)</f>
        <v>7</v>
      </c>
      <c r="I191" s="5" t="n">
        <f aca="false">G191-H191</f>
        <v>0</v>
      </c>
      <c r="J191" s="5" t="n">
        <f aca="false">F191-H191</f>
        <v>5</v>
      </c>
      <c r="K191" s="5" t="n">
        <f aca="false">IF(I191&gt;0,1,0)</f>
        <v>0</v>
      </c>
      <c r="L191" s="5" t="n">
        <f aca="false">IF(J191&lt;PuntoReorden,1,0)</f>
        <v>1</v>
      </c>
      <c r="M191" s="18" t="n">
        <f aca="false">PrecioVenta*H191</f>
        <v>4760000</v>
      </c>
      <c r="N191" s="18" t="n">
        <f aca="false">CostoUnitario*E191</f>
        <v>0</v>
      </c>
      <c r="O191" s="18" t="n">
        <f aca="false">IF(E191&gt;0,CostoPedido,0)</f>
        <v>0</v>
      </c>
      <c r="P191" s="18" t="n">
        <f aca="false">CostoAlm*(F191+J191)/2</f>
        <v>680</v>
      </c>
      <c r="Q191" s="18" t="n">
        <f aca="false">CostoFijo*D191</f>
        <v>0</v>
      </c>
      <c r="R191" s="18" t="n">
        <f aca="false">M191-N191-O191-P191-Q191</f>
        <v>4759320</v>
      </c>
    </row>
    <row r="192" customFormat="false" ht="15" hidden="false" customHeight="true" outlineLevel="0" collapsed="false">
      <c r="A192" s="5" t="n">
        <f aca="false">A191+1</f>
        <v>187</v>
      </c>
      <c r="B192" s="16" t="n">
        <f aca="false">B191+IF(WEEKDAY(B191,2)=6,2,1)</f>
        <v>46240</v>
      </c>
      <c r="C192" s="5" t="n">
        <f aca="false">MONTH(B192)</f>
        <v>8</v>
      </c>
      <c r="D192" s="5" t="n">
        <f aca="false">IF(C192&lt;&gt;C191,1,0)</f>
        <v>0</v>
      </c>
      <c r="E192" s="17" t="n">
        <f aca="false">IF(L191=1,CantPedido,0)</f>
        <v>15</v>
      </c>
      <c r="F192" s="5" t="n">
        <f aca="false">J191+E192</f>
        <v>20</v>
      </c>
      <c r="G192" s="5" t="n">
        <f aca="false">RANDBETWEEN(3,7)</f>
        <v>4</v>
      </c>
      <c r="H192" s="5" t="n">
        <f aca="false">MIN(F192,G192)</f>
        <v>4</v>
      </c>
      <c r="I192" s="5" t="n">
        <f aca="false">G192-H192</f>
        <v>0</v>
      </c>
      <c r="J192" s="5" t="n">
        <f aca="false">F192-H192</f>
        <v>16</v>
      </c>
      <c r="K192" s="5" t="n">
        <f aca="false">IF(I192&gt;0,1,0)</f>
        <v>0</v>
      </c>
      <c r="L192" s="5" t="n">
        <f aca="false">IF(J192&lt;PuntoReorden,1,0)</f>
        <v>0</v>
      </c>
      <c r="M192" s="18" t="n">
        <f aca="false">PrecioVenta*H192</f>
        <v>2720000</v>
      </c>
      <c r="N192" s="18" t="n">
        <f aca="false">CostoUnitario*E192</f>
        <v>9000000</v>
      </c>
      <c r="O192" s="18" t="n">
        <f aca="false">IF(E192&gt;0,CostoPedido,0)</f>
        <v>40000</v>
      </c>
      <c r="P192" s="18" t="n">
        <f aca="false">CostoAlm*(F192+J192)/2</f>
        <v>1440</v>
      </c>
      <c r="Q192" s="18" t="n">
        <f aca="false">CostoFijo*D192</f>
        <v>0</v>
      </c>
      <c r="R192" s="18" t="n">
        <f aca="false">M192-N192-O192-P192-Q192</f>
        <v>-6321440</v>
      </c>
    </row>
    <row r="193" customFormat="false" ht="15" hidden="false" customHeight="true" outlineLevel="0" collapsed="false">
      <c r="A193" s="5" t="n">
        <f aca="false">A192+1</f>
        <v>188</v>
      </c>
      <c r="B193" s="16" t="n">
        <f aca="false">B192+IF(WEEKDAY(B192,2)=6,2,1)</f>
        <v>46241</v>
      </c>
      <c r="C193" s="5" t="n">
        <f aca="false">MONTH(B193)</f>
        <v>8</v>
      </c>
      <c r="D193" s="5" t="n">
        <f aca="false">IF(C193&lt;&gt;C192,1,0)</f>
        <v>0</v>
      </c>
      <c r="E193" s="5" t="n">
        <f aca="false">IF(L192=1,CantPedido,0)</f>
        <v>0</v>
      </c>
      <c r="F193" s="5" t="n">
        <f aca="false">J192+E193</f>
        <v>16</v>
      </c>
      <c r="G193" s="5" t="n">
        <f aca="false">RANDBETWEEN(3,7)</f>
        <v>3</v>
      </c>
      <c r="H193" s="5" t="n">
        <f aca="false">MIN(F193,G193)</f>
        <v>3</v>
      </c>
      <c r="I193" s="5" t="n">
        <f aca="false">G193-H193</f>
        <v>0</v>
      </c>
      <c r="J193" s="5" t="n">
        <f aca="false">F193-H193</f>
        <v>13</v>
      </c>
      <c r="K193" s="5" t="n">
        <f aca="false">IF(I193&gt;0,1,0)</f>
        <v>0</v>
      </c>
      <c r="L193" s="5" t="n">
        <f aca="false">IF(J193&lt;PuntoReorden,1,0)</f>
        <v>0</v>
      </c>
      <c r="M193" s="18" t="n">
        <f aca="false">PrecioVenta*H193</f>
        <v>2040000</v>
      </c>
      <c r="N193" s="18" t="n">
        <f aca="false">CostoUnitario*E193</f>
        <v>0</v>
      </c>
      <c r="O193" s="18" t="n">
        <f aca="false">IF(E193&gt;0,CostoPedido,0)</f>
        <v>0</v>
      </c>
      <c r="P193" s="18" t="n">
        <f aca="false">CostoAlm*(F193+J193)/2</f>
        <v>1160</v>
      </c>
      <c r="Q193" s="18" t="n">
        <f aca="false">CostoFijo*D193</f>
        <v>0</v>
      </c>
      <c r="R193" s="18" t="n">
        <f aca="false">M193-N193-O193-P193-Q193</f>
        <v>2038840</v>
      </c>
    </row>
    <row r="194" customFormat="false" ht="15" hidden="false" customHeight="true" outlineLevel="0" collapsed="false">
      <c r="A194" s="5" t="n">
        <f aca="false">A193+1</f>
        <v>189</v>
      </c>
      <c r="B194" s="16" t="n">
        <f aca="false">B193+IF(WEEKDAY(B193,2)=6,2,1)</f>
        <v>46242</v>
      </c>
      <c r="C194" s="5" t="n">
        <f aca="false">MONTH(B194)</f>
        <v>8</v>
      </c>
      <c r="D194" s="5" t="n">
        <f aca="false">IF(C194&lt;&gt;C193,1,0)</f>
        <v>0</v>
      </c>
      <c r="E194" s="17" t="n">
        <f aca="false">IF(L193=1,CantPedido,0)</f>
        <v>0</v>
      </c>
      <c r="F194" s="5" t="n">
        <f aca="false">J193+E194</f>
        <v>13</v>
      </c>
      <c r="G194" s="5" t="n">
        <f aca="false">RANDBETWEEN(3,7)</f>
        <v>6</v>
      </c>
      <c r="H194" s="5" t="n">
        <f aca="false">MIN(F194,G194)</f>
        <v>6</v>
      </c>
      <c r="I194" s="5" t="n">
        <f aca="false">G194-H194</f>
        <v>0</v>
      </c>
      <c r="J194" s="5" t="n">
        <f aca="false">F194-H194</f>
        <v>7</v>
      </c>
      <c r="K194" s="5" t="n">
        <f aca="false">IF(I194&gt;0,1,0)</f>
        <v>0</v>
      </c>
      <c r="L194" s="5" t="n">
        <f aca="false">IF(J194&lt;PuntoReorden,1,0)</f>
        <v>0</v>
      </c>
      <c r="M194" s="18" t="n">
        <f aca="false">PrecioVenta*H194</f>
        <v>4080000</v>
      </c>
      <c r="N194" s="18" t="n">
        <f aca="false">CostoUnitario*E194</f>
        <v>0</v>
      </c>
      <c r="O194" s="18" t="n">
        <f aca="false">IF(E194&gt;0,CostoPedido,0)</f>
        <v>0</v>
      </c>
      <c r="P194" s="18" t="n">
        <f aca="false">CostoAlm*(F194+J194)/2</f>
        <v>800</v>
      </c>
      <c r="Q194" s="18" t="n">
        <f aca="false">CostoFijo*D194</f>
        <v>0</v>
      </c>
      <c r="R194" s="18" t="n">
        <f aca="false">M194-N194-O194-P194-Q194</f>
        <v>4079200</v>
      </c>
    </row>
    <row r="195" customFormat="false" ht="15" hidden="false" customHeight="true" outlineLevel="0" collapsed="false">
      <c r="A195" s="5" t="n">
        <f aca="false">A194+1</f>
        <v>190</v>
      </c>
      <c r="B195" s="16" t="n">
        <f aca="false">B194+IF(WEEKDAY(B194,2)=6,2,1)</f>
        <v>46244</v>
      </c>
      <c r="C195" s="5" t="n">
        <f aca="false">MONTH(B195)</f>
        <v>8</v>
      </c>
      <c r="D195" s="5" t="n">
        <f aca="false">IF(C195&lt;&gt;C194,1,0)</f>
        <v>0</v>
      </c>
      <c r="E195" s="5" t="n">
        <f aca="false">IF(L194=1,CantPedido,0)</f>
        <v>0</v>
      </c>
      <c r="F195" s="5" t="n">
        <f aca="false">J194+E195</f>
        <v>7</v>
      </c>
      <c r="G195" s="5" t="n">
        <f aca="false">RANDBETWEEN(3,7)</f>
        <v>6</v>
      </c>
      <c r="H195" s="5" t="n">
        <f aca="false">MIN(F195,G195)</f>
        <v>6</v>
      </c>
      <c r="I195" s="5" t="n">
        <f aca="false">G195-H195</f>
        <v>0</v>
      </c>
      <c r="J195" s="5" t="n">
        <f aca="false">F195-H195</f>
        <v>1</v>
      </c>
      <c r="K195" s="5" t="n">
        <f aca="false">IF(I195&gt;0,1,0)</f>
        <v>0</v>
      </c>
      <c r="L195" s="5" t="n">
        <f aca="false">IF(J195&lt;PuntoReorden,1,0)</f>
        <v>1</v>
      </c>
      <c r="M195" s="18" t="n">
        <f aca="false">PrecioVenta*H195</f>
        <v>4080000</v>
      </c>
      <c r="N195" s="18" t="n">
        <f aca="false">CostoUnitario*E195</f>
        <v>0</v>
      </c>
      <c r="O195" s="18" t="n">
        <f aca="false">IF(E195&gt;0,CostoPedido,0)</f>
        <v>0</v>
      </c>
      <c r="P195" s="18" t="n">
        <f aca="false">CostoAlm*(F195+J195)/2</f>
        <v>320</v>
      </c>
      <c r="Q195" s="18" t="n">
        <f aca="false">CostoFijo*D195</f>
        <v>0</v>
      </c>
      <c r="R195" s="18" t="n">
        <f aca="false">M195-N195-O195-P195-Q195</f>
        <v>4079680</v>
      </c>
    </row>
    <row r="196" customFormat="false" ht="15" hidden="false" customHeight="true" outlineLevel="0" collapsed="false">
      <c r="A196" s="5" t="n">
        <f aca="false">A195+1</f>
        <v>191</v>
      </c>
      <c r="B196" s="16" t="n">
        <f aca="false">B195+IF(WEEKDAY(B195,2)=6,2,1)</f>
        <v>46245</v>
      </c>
      <c r="C196" s="5" t="n">
        <f aca="false">MONTH(B196)</f>
        <v>8</v>
      </c>
      <c r="D196" s="5" t="n">
        <f aca="false">IF(C196&lt;&gt;C195,1,0)</f>
        <v>0</v>
      </c>
      <c r="E196" s="17" t="n">
        <f aca="false">IF(L195=1,CantPedido,0)</f>
        <v>15</v>
      </c>
      <c r="F196" s="5" t="n">
        <f aca="false">J195+E196</f>
        <v>16</v>
      </c>
      <c r="G196" s="5" t="n">
        <f aca="false">RANDBETWEEN(3,7)</f>
        <v>4</v>
      </c>
      <c r="H196" s="5" t="n">
        <f aca="false">MIN(F196,G196)</f>
        <v>4</v>
      </c>
      <c r="I196" s="5" t="n">
        <f aca="false">G196-H196</f>
        <v>0</v>
      </c>
      <c r="J196" s="5" t="n">
        <f aca="false">F196-H196</f>
        <v>12</v>
      </c>
      <c r="K196" s="5" t="n">
        <f aca="false">IF(I196&gt;0,1,0)</f>
        <v>0</v>
      </c>
      <c r="L196" s="5" t="n">
        <f aca="false">IF(J196&lt;PuntoReorden,1,0)</f>
        <v>0</v>
      </c>
      <c r="M196" s="18" t="n">
        <f aca="false">PrecioVenta*H196</f>
        <v>2720000</v>
      </c>
      <c r="N196" s="18" t="n">
        <f aca="false">CostoUnitario*E196</f>
        <v>9000000</v>
      </c>
      <c r="O196" s="18" t="n">
        <f aca="false">IF(E196&gt;0,CostoPedido,0)</f>
        <v>40000</v>
      </c>
      <c r="P196" s="18" t="n">
        <f aca="false">CostoAlm*(F196+J196)/2</f>
        <v>1120</v>
      </c>
      <c r="Q196" s="18" t="n">
        <f aca="false">CostoFijo*D196</f>
        <v>0</v>
      </c>
      <c r="R196" s="18" t="n">
        <f aca="false">M196-N196-O196-P196-Q196</f>
        <v>-6321120</v>
      </c>
    </row>
    <row r="197" customFormat="false" ht="15" hidden="false" customHeight="true" outlineLevel="0" collapsed="false">
      <c r="A197" s="5" t="n">
        <f aca="false">A196+1</f>
        <v>192</v>
      </c>
      <c r="B197" s="16" t="n">
        <f aca="false">B196+IF(WEEKDAY(B196,2)=6,2,1)</f>
        <v>46246</v>
      </c>
      <c r="C197" s="5" t="n">
        <f aca="false">MONTH(B197)</f>
        <v>8</v>
      </c>
      <c r="D197" s="5" t="n">
        <f aca="false">IF(C197&lt;&gt;C196,1,0)</f>
        <v>0</v>
      </c>
      <c r="E197" s="5" t="n">
        <f aca="false">IF(L196=1,CantPedido,0)</f>
        <v>0</v>
      </c>
      <c r="F197" s="5" t="n">
        <f aca="false">J196+E197</f>
        <v>12</v>
      </c>
      <c r="G197" s="5" t="n">
        <f aca="false">RANDBETWEEN(3,7)</f>
        <v>4</v>
      </c>
      <c r="H197" s="5" t="n">
        <f aca="false">MIN(F197,G197)</f>
        <v>4</v>
      </c>
      <c r="I197" s="5" t="n">
        <f aca="false">G197-H197</f>
        <v>0</v>
      </c>
      <c r="J197" s="5" t="n">
        <f aca="false">F197-H197</f>
        <v>8</v>
      </c>
      <c r="K197" s="5" t="n">
        <f aca="false">IF(I197&gt;0,1,0)</f>
        <v>0</v>
      </c>
      <c r="L197" s="5" t="n">
        <f aca="false">IF(J197&lt;PuntoReorden,1,0)</f>
        <v>0</v>
      </c>
      <c r="M197" s="18" t="n">
        <f aca="false">PrecioVenta*H197</f>
        <v>2720000</v>
      </c>
      <c r="N197" s="18" t="n">
        <f aca="false">CostoUnitario*E197</f>
        <v>0</v>
      </c>
      <c r="O197" s="18" t="n">
        <f aca="false">IF(E197&gt;0,CostoPedido,0)</f>
        <v>0</v>
      </c>
      <c r="P197" s="18" t="n">
        <f aca="false">CostoAlm*(F197+J197)/2</f>
        <v>800</v>
      </c>
      <c r="Q197" s="18" t="n">
        <f aca="false">CostoFijo*D197</f>
        <v>0</v>
      </c>
      <c r="R197" s="18" t="n">
        <f aca="false">M197-N197-O197-P197-Q197</f>
        <v>2719200</v>
      </c>
    </row>
    <row r="198" customFormat="false" ht="15" hidden="false" customHeight="true" outlineLevel="0" collapsed="false">
      <c r="A198" s="5" t="n">
        <f aca="false">A197+1</f>
        <v>193</v>
      </c>
      <c r="B198" s="16" t="n">
        <f aca="false">B197+IF(WEEKDAY(B197,2)=6,2,1)</f>
        <v>46247</v>
      </c>
      <c r="C198" s="5" t="n">
        <f aca="false">MONTH(B198)</f>
        <v>8</v>
      </c>
      <c r="D198" s="5" t="n">
        <f aca="false">IF(C198&lt;&gt;C197,1,0)</f>
        <v>0</v>
      </c>
      <c r="E198" s="17" t="n">
        <f aca="false">IF(L197=1,CantPedido,0)</f>
        <v>0</v>
      </c>
      <c r="F198" s="5" t="n">
        <f aca="false">J197+E198</f>
        <v>8</v>
      </c>
      <c r="G198" s="5" t="n">
        <f aca="false">RANDBETWEEN(3,7)</f>
        <v>4</v>
      </c>
      <c r="H198" s="5" t="n">
        <f aca="false">MIN(F198,G198)</f>
        <v>4</v>
      </c>
      <c r="I198" s="5" t="n">
        <f aca="false">G198-H198</f>
        <v>0</v>
      </c>
      <c r="J198" s="5" t="n">
        <f aca="false">F198-H198</f>
        <v>4</v>
      </c>
      <c r="K198" s="5" t="n">
        <f aca="false">IF(I198&gt;0,1,0)</f>
        <v>0</v>
      </c>
      <c r="L198" s="5" t="n">
        <f aca="false">IF(J198&lt;PuntoReorden,1,0)</f>
        <v>1</v>
      </c>
      <c r="M198" s="18" t="n">
        <f aca="false">PrecioVenta*H198</f>
        <v>2720000</v>
      </c>
      <c r="N198" s="18" t="n">
        <f aca="false">CostoUnitario*E198</f>
        <v>0</v>
      </c>
      <c r="O198" s="18" t="n">
        <f aca="false">IF(E198&gt;0,CostoPedido,0)</f>
        <v>0</v>
      </c>
      <c r="P198" s="18" t="n">
        <f aca="false">CostoAlm*(F198+J198)/2</f>
        <v>480</v>
      </c>
      <c r="Q198" s="18" t="n">
        <f aca="false">CostoFijo*D198</f>
        <v>0</v>
      </c>
      <c r="R198" s="18" t="n">
        <f aca="false">M198-N198-O198-P198-Q198</f>
        <v>2719520</v>
      </c>
    </row>
    <row r="199" customFormat="false" ht="15" hidden="false" customHeight="true" outlineLevel="0" collapsed="false">
      <c r="A199" s="5" t="n">
        <f aca="false">A198+1</f>
        <v>194</v>
      </c>
      <c r="B199" s="16" t="n">
        <f aca="false">B198+IF(WEEKDAY(B198,2)=6,2,1)</f>
        <v>46248</v>
      </c>
      <c r="C199" s="5" t="n">
        <f aca="false">MONTH(B199)</f>
        <v>8</v>
      </c>
      <c r="D199" s="5" t="n">
        <f aca="false">IF(C199&lt;&gt;C198,1,0)</f>
        <v>0</v>
      </c>
      <c r="E199" s="17" t="n">
        <f aca="false">IF(L198=1,CantPedido,0)</f>
        <v>15</v>
      </c>
      <c r="F199" s="5" t="n">
        <f aca="false">J198+E199</f>
        <v>19</v>
      </c>
      <c r="G199" s="5" t="n">
        <f aca="false">RANDBETWEEN(3,7)</f>
        <v>6</v>
      </c>
      <c r="H199" s="5" t="n">
        <f aca="false">MIN(F199,G199)</f>
        <v>6</v>
      </c>
      <c r="I199" s="5" t="n">
        <f aca="false">G199-H199</f>
        <v>0</v>
      </c>
      <c r="J199" s="5" t="n">
        <f aca="false">F199-H199</f>
        <v>13</v>
      </c>
      <c r="K199" s="5" t="n">
        <f aca="false">IF(I199&gt;0,1,0)</f>
        <v>0</v>
      </c>
      <c r="L199" s="5" t="n">
        <f aca="false">IF(J199&lt;PuntoReorden,1,0)</f>
        <v>0</v>
      </c>
      <c r="M199" s="18" t="n">
        <f aca="false">PrecioVenta*H199</f>
        <v>4080000</v>
      </c>
      <c r="N199" s="18" t="n">
        <f aca="false">CostoUnitario*E199</f>
        <v>9000000</v>
      </c>
      <c r="O199" s="18" t="n">
        <f aca="false">IF(E199&gt;0,CostoPedido,0)</f>
        <v>40000</v>
      </c>
      <c r="P199" s="18" t="n">
        <f aca="false">CostoAlm*(F199+J199)/2</f>
        <v>1280</v>
      </c>
      <c r="Q199" s="18" t="n">
        <f aca="false">CostoFijo*D199</f>
        <v>0</v>
      </c>
      <c r="R199" s="18" t="n">
        <f aca="false">M199-N199-O199-P199-Q199</f>
        <v>-4961280</v>
      </c>
    </row>
    <row r="200" customFormat="false" ht="15" hidden="false" customHeight="true" outlineLevel="0" collapsed="false">
      <c r="A200" s="5" t="n">
        <f aca="false">A199+1</f>
        <v>195</v>
      </c>
      <c r="B200" s="16" t="n">
        <f aca="false">B199+IF(WEEKDAY(B199,2)=6,2,1)</f>
        <v>46249</v>
      </c>
      <c r="C200" s="5" t="n">
        <f aca="false">MONTH(B200)</f>
        <v>8</v>
      </c>
      <c r="D200" s="5" t="n">
        <f aca="false">IF(C200&lt;&gt;C199,1,0)</f>
        <v>0</v>
      </c>
      <c r="E200" s="5" t="n">
        <f aca="false">IF(L199=1,CantPedido,0)</f>
        <v>0</v>
      </c>
      <c r="F200" s="5" t="n">
        <f aca="false">J199+E200</f>
        <v>13</v>
      </c>
      <c r="G200" s="5" t="n">
        <f aca="false">RANDBETWEEN(3,7)</f>
        <v>4</v>
      </c>
      <c r="H200" s="5" t="n">
        <f aca="false">MIN(F200,G200)</f>
        <v>4</v>
      </c>
      <c r="I200" s="5" t="n">
        <f aca="false">G200-H200</f>
        <v>0</v>
      </c>
      <c r="J200" s="5" t="n">
        <f aca="false">F200-H200</f>
        <v>9</v>
      </c>
      <c r="K200" s="5" t="n">
        <f aca="false">IF(I200&gt;0,1,0)</f>
        <v>0</v>
      </c>
      <c r="L200" s="5" t="n">
        <f aca="false">IF(J200&lt;PuntoReorden,1,0)</f>
        <v>0</v>
      </c>
      <c r="M200" s="18" t="n">
        <f aca="false">PrecioVenta*H200</f>
        <v>2720000</v>
      </c>
      <c r="N200" s="18" t="n">
        <f aca="false">CostoUnitario*E200</f>
        <v>0</v>
      </c>
      <c r="O200" s="18" t="n">
        <f aca="false">IF(E200&gt;0,CostoPedido,0)</f>
        <v>0</v>
      </c>
      <c r="P200" s="18" t="n">
        <f aca="false">CostoAlm*(F200+J200)/2</f>
        <v>880</v>
      </c>
      <c r="Q200" s="18" t="n">
        <f aca="false">CostoFijo*D200</f>
        <v>0</v>
      </c>
      <c r="R200" s="18" t="n">
        <f aca="false">M200-N200-O200-P200-Q200</f>
        <v>2719120</v>
      </c>
    </row>
    <row r="201" customFormat="false" ht="15" hidden="false" customHeight="true" outlineLevel="0" collapsed="false">
      <c r="A201" s="5" t="n">
        <f aca="false">A200+1</f>
        <v>196</v>
      </c>
      <c r="B201" s="16" t="n">
        <f aca="false">B200+IF(WEEKDAY(B200,2)=6,2,1)</f>
        <v>46251</v>
      </c>
      <c r="C201" s="5" t="n">
        <f aca="false">MONTH(B201)</f>
        <v>8</v>
      </c>
      <c r="D201" s="5" t="n">
        <f aca="false">IF(C201&lt;&gt;C200,1,0)</f>
        <v>0</v>
      </c>
      <c r="E201" s="17" t="n">
        <f aca="false">IF(L200=1,CantPedido,0)</f>
        <v>0</v>
      </c>
      <c r="F201" s="5" t="n">
        <f aca="false">J200+E201</f>
        <v>9</v>
      </c>
      <c r="G201" s="5" t="n">
        <f aca="false">RANDBETWEEN(3,7)</f>
        <v>4</v>
      </c>
      <c r="H201" s="5" t="n">
        <f aca="false">MIN(F201,G201)</f>
        <v>4</v>
      </c>
      <c r="I201" s="5" t="n">
        <f aca="false">G201-H201</f>
        <v>0</v>
      </c>
      <c r="J201" s="5" t="n">
        <f aca="false">F201-H201</f>
        <v>5</v>
      </c>
      <c r="K201" s="5" t="n">
        <f aca="false">IF(I201&gt;0,1,0)</f>
        <v>0</v>
      </c>
      <c r="L201" s="5" t="n">
        <f aca="false">IF(J201&lt;PuntoReorden,1,0)</f>
        <v>1</v>
      </c>
      <c r="M201" s="18" t="n">
        <f aca="false">PrecioVenta*H201</f>
        <v>2720000</v>
      </c>
      <c r="N201" s="18" t="n">
        <f aca="false">CostoUnitario*E201</f>
        <v>0</v>
      </c>
      <c r="O201" s="18" t="n">
        <f aca="false">IF(E201&gt;0,CostoPedido,0)</f>
        <v>0</v>
      </c>
      <c r="P201" s="18" t="n">
        <f aca="false">CostoAlm*(F201+J201)/2</f>
        <v>560</v>
      </c>
      <c r="Q201" s="18" t="n">
        <f aca="false">CostoFijo*D201</f>
        <v>0</v>
      </c>
      <c r="R201" s="18" t="n">
        <f aca="false">M201-N201-O201-P201-Q201</f>
        <v>2719440</v>
      </c>
    </row>
    <row r="202" customFormat="false" ht="15" hidden="false" customHeight="true" outlineLevel="0" collapsed="false">
      <c r="A202" s="5" t="n">
        <f aca="false">A201+1</f>
        <v>197</v>
      </c>
      <c r="B202" s="16" t="n">
        <f aca="false">B201+IF(WEEKDAY(B201,2)=6,2,1)</f>
        <v>46252</v>
      </c>
      <c r="C202" s="5" t="n">
        <f aca="false">MONTH(B202)</f>
        <v>8</v>
      </c>
      <c r="D202" s="5" t="n">
        <f aca="false">IF(C202&lt;&gt;C201,1,0)</f>
        <v>0</v>
      </c>
      <c r="E202" s="17" t="n">
        <f aca="false">IF(L201=1,CantPedido,0)</f>
        <v>15</v>
      </c>
      <c r="F202" s="5" t="n">
        <f aca="false">J201+E202</f>
        <v>20</v>
      </c>
      <c r="G202" s="5" t="n">
        <f aca="false">RANDBETWEEN(3,7)</f>
        <v>5</v>
      </c>
      <c r="H202" s="5" t="n">
        <f aca="false">MIN(F202,G202)</f>
        <v>5</v>
      </c>
      <c r="I202" s="5" t="n">
        <f aca="false">G202-H202</f>
        <v>0</v>
      </c>
      <c r="J202" s="5" t="n">
        <f aca="false">F202-H202</f>
        <v>15</v>
      </c>
      <c r="K202" s="5" t="n">
        <f aca="false">IF(I202&gt;0,1,0)</f>
        <v>0</v>
      </c>
      <c r="L202" s="5" t="n">
        <f aca="false">IF(J202&lt;PuntoReorden,1,0)</f>
        <v>0</v>
      </c>
      <c r="M202" s="18" t="n">
        <f aca="false">PrecioVenta*H202</f>
        <v>3400000</v>
      </c>
      <c r="N202" s="18" t="n">
        <f aca="false">CostoUnitario*E202</f>
        <v>9000000</v>
      </c>
      <c r="O202" s="18" t="n">
        <f aca="false">IF(E202&gt;0,CostoPedido,0)</f>
        <v>40000</v>
      </c>
      <c r="P202" s="18" t="n">
        <f aca="false">CostoAlm*(F202+J202)/2</f>
        <v>1400</v>
      </c>
      <c r="Q202" s="18" t="n">
        <f aca="false">CostoFijo*D202</f>
        <v>0</v>
      </c>
      <c r="R202" s="18" t="n">
        <f aca="false">M202-N202-O202-P202-Q202</f>
        <v>-5641400</v>
      </c>
    </row>
    <row r="203" customFormat="false" ht="15" hidden="false" customHeight="true" outlineLevel="0" collapsed="false">
      <c r="A203" s="5" t="n">
        <f aca="false">A202+1</f>
        <v>198</v>
      </c>
      <c r="B203" s="16" t="n">
        <f aca="false">B202+IF(WEEKDAY(B202,2)=6,2,1)</f>
        <v>46253</v>
      </c>
      <c r="C203" s="5" t="n">
        <f aca="false">MONTH(B203)</f>
        <v>8</v>
      </c>
      <c r="D203" s="5" t="n">
        <f aca="false">IF(C203&lt;&gt;C202,1,0)</f>
        <v>0</v>
      </c>
      <c r="E203" s="5" t="n">
        <f aca="false">IF(L202=1,CantPedido,0)</f>
        <v>0</v>
      </c>
      <c r="F203" s="5" t="n">
        <f aca="false">J202+E203</f>
        <v>15</v>
      </c>
      <c r="G203" s="5" t="n">
        <f aca="false">RANDBETWEEN(3,7)</f>
        <v>7</v>
      </c>
      <c r="H203" s="5" t="n">
        <f aca="false">MIN(F203,G203)</f>
        <v>7</v>
      </c>
      <c r="I203" s="5" t="n">
        <f aca="false">G203-H203</f>
        <v>0</v>
      </c>
      <c r="J203" s="5" t="n">
        <f aca="false">F203-H203</f>
        <v>8</v>
      </c>
      <c r="K203" s="5" t="n">
        <f aca="false">IF(I203&gt;0,1,0)</f>
        <v>0</v>
      </c>
      <c r="L203" s="5" t="n">
        <f aca="false">IF(J203&lt;PuntoReorden,1,0)</f>
        <v>0</v>
      </c>
      <c r="M203" s="18" t="n">
        <f aca="false">PrecioVenta*H203</f>
        <v>4760000</v>
      </c>
      <c r="N203" s="18" t="n">
        <f aca="false">CostoUnitario*E203</f>
        <v>0</v>
      </c>
      <c r="O203" s="18" t="n">
        <f aca="false">IF(E203&gt;0,CostoPedido,0)</f>
        <v>0</v>
      </c>
      <c r="P203" s="18" t="n">
        <f aca="false">CostoAlm*(F203+J203)/2</f>
        <v>920</v>
      </c>
      <c r="Q203" s="18" t="n">
        <f aca="false">CostoFijo*D203</f>
        <v>0</v>
      </c>
      <c r="R203" s="18" t="n">
        <f aca="false">M203-N203-O203-P203-Q203</f>
        <v>4759080</v>
      </c>
    </row>
    <row r="204" customFormat="false" ht="15" hidden="false" customHeight="true" outlineLevel="0" collapsed="false">
      <c r="A204" s="5" t="n">
        <f aca="false">A203+1</f>
        <v>199</v>
      </c>
      <c r="B204" s="16" t="n">
        <f aca="false">B203+IF(WEEKDAY(B203,2)=6,2,1)</f>
        <v>46254</v>
      </c>
      <c r="C204" s="5" t="n">
        <f aca="false">MONTH(B204)</f>
        <v>8</v>
      </c>
      <c r="D204" s="5" t="n">
        <f aca="false">IF(C204&lt;&gt;C203,1,0)</f>
        <v>0</v>
      </c>
      <c r="E204" s="5" t="n">
        <f aca="false">IF(L203=1,CantPedido,0)</f>
        <v>0</v>
      </c>
      <c r="F204" s="5" t="n">
        <f aca="false">J203+E204</f>
        <v>8</v>
      </c>
      <c r="G204" s="5" t="n">
        <f aca="false">RANDBETWEEN(3,7)</f>
        <v>6</v>
      </c>
      <c r="H204" s="5" t="n">
        <f aca="false">MIN(F204,G204)</f>
        <v>6</v>
      </c>
      <c r="I204" s="5" t="n">
        <f aca="false">G204-H204</f>
        <v>0</v>
      </c>
      <c r="J204" s="5" t="n">
        <f aca="false">F204-H204</f>
        <v>2</v>
      </c>
      <c r="K204" s="5" t="n">
        <f aca="false">IF(I204&gt;0,1,0)</f>
        <v>0</v>
      </c>
      <c r="L204" s="5" t="n">
        <f aca="false">IF(J204&lt;PuntoReorden,1,0)</f>
        <v>1</v>
      </c>
      <c r="M204" s="18" t="n">
        <f aca="false">PrecioVenta*H204</f>
        <v>4080000</v>
      </c>
      <c r="N204" s="18" t="n">
        <f aca="false">CostoUnitario*E204</f>
        <v>0</v>
      </c>
      <c r="O204" s="18" t="n">
        <f aca="false">IF(E204&gt;0,CostoPedido,0)</f>
        <v>0</v>
      </c>
      <c r="P204" s="18" t="n">
        <f aca="false">CostoAlm*(F204+J204)/2</f>
        <v>400</v>
      </c>
      <c r="Q204" s="18" t="n">
        <f aca="false">CostoFijo*D204</f>
        <v>0</v>
      </c>
      <c r="R204" s="18" t="n">
        <f aca="false">M204-N204-O204-P204-Q204</f>
        <v>4079600</v>
      </c>
    </row>
    <row r="205" customFormat="false" ht="15" hidden="false" customHeight="true" outlineLevel="0" collapsed="false">
      <c r="A205" s="5" t="n">
        <f aca="false">A204+1</f>
        <v>200</v>
      </c>
      <c r="B205" s="16" t="n">
        <f aca="false">B204+IF(WEEKDAY(B204,2)=6,2,1)</f>
        <v>46255</v>
      </c>
      <c r="C205" s="5" t="n">
        <f aca="false">MONTH(B205)</f>
        <v>8</v>
      </c>
      <c r="D205" s="5" t="n">
        <f aca="false">IF(C205&lt;&gt;C204,1,0)</f>
        <v>0</v>
      </c>
      <c r="E205" s="17" t="n">
        <f aca="false">IF(L204=1,CantPedido,0)</f>
        <v>15</v>
      </c>
      <c r="F205" s="5" t="n">
        <f aca="false">J204+E205</f>
        <v>17</v>
      </c>
      <c r="G205" s="5" t="n">
        <f aca="false">RANDBETWEEN(3,7)</f>
        <v>5</v>
      </c>
      <c r="H205" s="5" t="n">
        <f aca="false">MIN(F205,G205)</f>
        <v>5</v>
      </c>
      <c r="I205" s="5" t="n">
        <f aca="false">G205-H205</f>
        <v>0</v>
      </c>
      <c r="J205" s="5" t="n">
        <f aca="false">F205-H205</f>
        <v>12</v>
      </c>
      <c r="K205" s="5" t="n">
        <f aca="false">IF(I205&gt;0,1,0)</f>
        <v>0</v>
      </c>
      <c r="L205" s="5" t="n">
        <f aca="false">IF(J205&lt;PuntoReorden,1,0)</f>
        <v>0</v>
      </c>
      <c r="M205" s="18" t="n">
        <f aca="false">PrecioVenta*H205</f>
        <v>3400000</v>
      </c>
      <c r="N205" s="18" t="n">
        <f aca="false">CostoUnitario*E205</f>
        <v>9000000</v>
      </c>
      <c r="O205" s="18" t="n">
        <f aca="false">IF(E205&gt;0,CostoPedido,0)</f>
        <v>40000</v>
      </c>
      <c r="P205" s="18" t="n">
        <f aca="false">CostoAlm*(F205+J205)/2</f>
        <v>1160</v>
      </c>
      <c r="Q205" s="18" t="n">
        <f aca="false">CostoFijo*D205</f>
        <v>0</v>
      </c>
      <c r="R205" s="18" t="n">
        <f aca="false">M205-N205-O205-P205-Q205</f>
        <v>-5641160</v>
      </c>
    </row>
    <row r="206" customFormat="false" ht="15" hidden="false" customHeight="true" outlineLevel="0" collapsed="false">
      <c r="A206" s="5" t="n">
        <f aca="false">A205+1</f>
        <v>201</v>
      </c>
      <c r="B206" s="16" t="n">
        <f aca="false">B205+IF(WEEKDAY(B205,2)=6,2,1)</f>
        <v>46256</v>
      </c>
      <c r="C206" s="5" t="n">
        <f aca="false">MONTH(B206)</f>
        <v>8</v>
      </c>
      <c r="D206" s="5" t="n">
        <f aca="false">IF(C206&lt;&gt;C205,1,0)</f>
        <v>0</v>
      </c>
      <c r="E206" s="5" t="n">
        <f aca="false">IF(L205=1,CantPedido,0)</f>
        <v>0</v>
      </c>
      <c r="F206" s="5" t="n">
        <f aca="false">J205+E206</f>
        <v>12</v>
      </c>
      <c r="G206" s="5" t="n">
        <f aca="false">RANDBETWEEN(3,7)</f>
        <v>7</v>
      </c>
      <c r="H206" s="5" t="n">
        <f aca="false">MIN(F206,G206)</f>
        <v>7</v>
      </c>
      <c r="I206" s="5" t="n">
        <f aca="false">G206-H206</f>
        <v>0</v>
      </c>
      <c r="J206" s="5" t="n">
        <f aca="false">F206-H206</f>
        <v>5</v>
      </c>
      <c r="K206" s="5" t="n">
        <f aca="false">IF(I206&gt;0,1,0)</f>
        <v>0</v>
      </c>
      <c r="L206" s="5" t="n">
        <f aca="false">IF(J206&lt;PuntoReorden,1,0)</f>
        <v>1</v>
      </c>
      <c r="M206" s="18" t="n">
        <f aca="false">PrecioVenta*H206</f>
        <v>4760000</v>
      </c>
      <c r="N206" s="18" t="n">
        <f aca="false">CostoUnitario*E206</f>
        <v>0</v>
      </c>
      <c r="O206" s="18" t="n">
        <f aca="false">IF(E206&gt;0,CostoPedido,0)</f>
        <v>0</v>
      </c>
      <c r="P206" s="18" t="n">
        <f aca="false">CostoAlm*(F206+J206)/2</f>
        <v>680</v>
      </c>
      <c r="Q206" s="18" t="n">
        <f aca="false">CostoFijo*D206</f>
        <v>0</v>
      </c>
      <c r="R206" s="18" t="n">
        <f aca="false">M206-N206-O206-P206-Q206</f>
        <v>4759320</v>
      </c>
    </row>
    <row r="207" customFormat="false" ht="15" hidden="false" customHeight="true" outlineLevel="0" collapsed="false">
      <c r="A207" s="5" t="n">
        <f aca="false">A206+1</f>
        <v>202</v>
      </c>
      <c r="B207" s="16" t="n">
        <f aca="false">B206+IF(WEEKDAY(B206,2)=6,2,1)</f>
        <v>46258</v>
      </c>
      <c r="C207" s="5" t="n">
        <f aca="false">MONTH(B207)</f>
        <v>8</v>
      </c>
      <c r="D207" s="5" t="n">
        <f aca="false">IF(C207&lt;&gt;C206,1,0)</f>
        <v>0</v>
      </c>
      <c r="E207" s="17" t="n">
        <f aca="false">IF(L206=1,CantPedido,0)</f>
        <v>15</v>
      </c>
      <c r="F207" s="5" t="n">
        <f aca="false">J206+E207</f>
        <v>20</v>
      </c>
      <c r="G207" s="5" t="n">
        <f aca="false">RANDBETWEEN(3,7)</f>
        <v>3</v>
      </c>
      <c r="H207" s="5" t="n">
        <f aca="false">MIN(F207,G207)</f>
        <v>3</v>
      </c>
      <c r="I207" s="5" t="n">
        <f aca="false">G207-H207</f>
        <v>0</v>
      </c>
      <c r="J207" s="5" t="n">
        <f aca="false">F207-H207</f>
        <v>17</v>
      </c>
      <c r="K207" s="5" t="n">
        <f aca="false">IF(I207&gt;0,1,0)</f>
        <v>0</v>
      </c>
      <c r="L207" s="5" t="n">
        <f aca="false">IF(J207&lt;PuntoReorden,1,0)</f>
        <v>0</v>
      </c>
      <c r="M207" s="18" t="n">
        <f aca="false">PrecioVenta*H207</f>
        <v>2040000</v>
      </c>
      <c r="N207" s="18" t="n">
        <f aca="false">CostoUnitario*E207</f>
        <v>9000000</v>
      </c>
      <c r="O207" s="18" t="n">
        <f aca="false">IF(E207&gt;0,CostoPedido,0)</f>
        <v>40000</v>
      </c>
      <c r="P207" s="18" t="n">
        <f aca="false">CostoAlm*(F207+J207)/2</f>
        <v>1480</v>
      </c>
      <c r="Q207" s="18" t="n">
        <f aca="false">CostoFijo*D207</f>
        <v>0</v>
      </c>
      <c r="R207" s="18" t="n">
        <f aca="false">M207-N207-O207-P207-Q207</f>
        <v>-7001480</v>
      </c>
    </row>
    <row r="208" customFormat="false" ht="15" hidden="false" customHeight="true" outlineLevel="0" collapsed="false">
      <c r="A208" s="5" t="n">
        <f aca="false">A207+1</f>
        <v>203</v>
      </c>
      <c r="B208" s="16" t="n">
        <f aca="false">B207+IF(WEEKDAY(B207,2)=6,2,1)</f>
        <v>46259</v>
      </c>
      <c r="C208" s="5" t="n">
        <f aca="false">MONTH(B208)</f>
        <v>8</v>
      </c>
      <c r="D208" s="5" t="n">
        <f aca="false">IF(C208&lt;&gt;C207,1,0)</f>
        <v>0</v>
      </c>
      <c r="E208" s="17" t="n">
        <f aca="false">IF(L207=1,CantPedido,0)</f>
        <v>0</v>
      </c>
      <c r="F208" s="5" t="n">
        <f aca="false">J207+E208</f>
        <v>17</v>
      </c>
      <c r="G208" s="5" t="n">
        <f aca="false">RANDBETWEEN(3,7)</f>
        <v>3</v>
      </c>
      <c r="H208" s="5" t="n">
        <f aca="false">MIN(F208,G208)</f>
        <v>3</v>
      </c>
      <c r="I208" s="5" t="n">
        <f aca="false">G208-H208</f>
        <v>0</v>
      </c>
      <c r="J208" s="5" t="n">
        <f aca="false">F208-H208</f>
        <v>14</v>
      </c>
      <c r="K208" s="5" t="n">
        <f aca="false">IF(I208&gt;0,1,0)</f>
        <v>0</v>
      </c>
      <c r="L208" s="5" t="n">
        <f aca="false">IF(J208&lt;PuntoReorden,1,0)</f>
        <v>0</v>
      </c>
      <c r="M208" s="18" t="n">
        <f aca="false">PrecioVenta*H208</f>
        <v>2040000</v>
      </c>
      <c r="N208" s="18" t="n">
        <f aca="false">CostoUnitario*E208</f>
        <v>0</v>
      </c>
      <c r="O208" s="18" t="n">
        <f aca="false">IF(E208&gt;0,CostoPedido,0)</f>
        <v>0</v>
      </c>
      <c r="P208" s="18" t="n">
        <f aca="false">CostoAlm*(F208+J208)/2</f>
        <v>1240</v>
      </c>
      <c r="Q208" s="18" t="n">
        <f aca="false">CostoFijo*D208</f>
        <v>0</v>
      </c>
      <c r="R208" s="18" t="n">
        <f aca="false">M208-N208-O208-P208-Q208</f>
        <v>2038760</v>
      </c>
    </row>
    <row r="209" customFormat="false" ht="15" hidden="false" customHeight="true" outlineLevel="0" collapsed="false">
      <c r="A209" s="5" t="n">
        <f aca="false">A208+1</f>
        <v>204</v>
      </c>
      <c r="B209" s="16" t="n">
        <f aca="false">B208+IF(WEEKDAY(B208,2)=6,2,1)</f>
        <v>46260</v>
      </c>
      <c r="C209" s="5" t="n">
        <f aca="false">MONTH(B209)</f>
        <v>8</v>
      </c>
      <c r="D209" s="5" t="n">
        <f aca="false">IF(C209&lt;&gt;C208,1,0)</f>
        <v>0</v>
      </c>
      <c r="E209" s="5" t="n">
        <f aca="false">IF(L208=1,CantPedido,0)</f>
        <v>0</v>
      </c>
      <c r="F209" s="5" t="n">
        <f aca="false">J208+E209</f>
        <v>14</v>
      </c>
      <c r="G209" s="5" t="n">
        <f aca="false">RANDBETWEEN(3,7)</f>
        <v>7</v>
      </c>
      <c r="H209" s="5" t="n">
        <f aca="false">MIN(F209,G209)</f>
        <v>7</v>
      </c>
      <c r="I209" s="5" t="n">
        <f aca="false">G209-H209</f>
        <v>0</v>
      </c>
      <c r="J209" s="5" t="n">
        <f aca="false">F209-H209</f>
        <v>7</v>
      </c>
      <c r="K209" s="5" t="n">
        <f aca="false">IF(I209&gt;0,1,0)</f>
        <v>0</v>
      </c>
      <c r="L209" s="5" t="n">
        <f aca="false">IF(J209&lt;PuntoReorden,1,0)</f>
        <v>0</v>
      </c>
      <c r="M209" s="18" t="n">
        <f aca="false">PrecioVenta*H209</f>
        <v>4760000</v>
      </c>
      <c r="N209" s="18" t="n">
        <f aca="false">CostoUnitario*E209</f>
        <v>0</v>
      </c>
      <c r="O209" s="18" t="n">
        <f aca="false">IF(E209&gt;0,CostoPedido,0)</f>
        <v>0</v>
      </c>
      <c r="P209" s="18" t="n">
        <f aca="false">CostoAlm*(F209+J209)/2</f>
        <v>840</v>
      </c>
      <c r="Q209" s="18" t="n">
        <f aca="false">CostoFijo*D209</f>
        <v>0</v>
      </c>
      <c r="R209" s="18" t="n">
        <f aca="false">M209-N209-O209-P209-Q209</f>
        <v>4759160</v>
      </c>
    </row>
    <row r="210" customFormat="false" ht="15" hidden="false" customHeight="true" outlineLevel="0" collapsed="false">
      <c r="A210" s="5" t="n">
        <f aca="false">A209+1</f>
        <v>205</v>
      </c>
      <c r="B210" s="16" t="n">
        <f aca="false">B209+IF(WEEKDAY(B209,2)=6,2,1)</f>
        <v>46261</v>
      </c>
      <c r="C210" s="5" t="n">
        <f aca="false">MONTH(B210)</f>
        <v>8</v>
      </c>
      <c r="D210" s="5" t="n">
        <f aca="false">IF(C210&lt;&gt;C209,1,0)</f>
        <v>0</v>
      </c>
      <c r="E210" s="5" t="n">
        <f aca="false">IF(L209=1,CantPedido,0)</f>
        <v>0</v>
      </c>
      <c r="F210" s="5" t="n">
        <f aca="false">J209+E210</f>
        <v>7</v>
      </c>
      <c r="G210" s="5" t="n">
        <f aca="false">RANDBETWEEN(3,7)</f>
        <v>4</v>
      </c>
      <c r="H210" s="5" t="n">
        <f aca="false">MIN(F210,G210)</f>
        <v>4</v>
      </c>
      <c r="I210" s="5" t="n">
        <f aca="false">G210-H210</f>
        <v>0</v>
      </c>
      <c r="J210" s="5" t="n">
        <f aca="false">F210-H210</f>
        <v>3</v>
      </c>
      <c r="K210" s="5" t="n">
        <f aca="false">IF(I210&gt;0,1,0)</f>
        <v>0</v>
      </c>
      <c r="L210" s="5" t="n">
        <f aca="false">IF(J210&lt;PuntoReorden,1,0)</f>
        <v>1</v>
      </c>
      <c r="M210" s="18" t="n">
        <f aca="false">PrecioVenta*H210</f>
        <v>2720000</v>
      </c>
      <c r="N210" s="18" t="n">
        <f aca="false">CostoUnitario*E210</f>
        <v>0</v>
      </c>
      <c r="O210" s="18" t="n">
        <f aca="false">IF(E210&gt;0,CostoPedido,0)</f>
        <v>0</v>
      </c>
      <c r="P210" s="18" t="n">
        <f aca="false">CostoAlm*(F210+J210)/2</f>
        <v>400</v>
      </c>
      <c r="Q210" s="18" t="n">
        <f aca="false">CostoFijo*D210</f>
        <v>0</v>
      </c>
      <c r="R210" s="18" t="n">
        <f aca="false">M210-N210-O210-P210-Q210</f>
        <v>2719600</v>
      </c>
    </row>
    <row r="211" customFormat="false" ht="15" hidden="false" customHeight="true" outlineLevel="0" collapsed="false">
      <c r="A211" s="5" t="n">
        <f aca="false">A210+1</f>
        <v>206</v>
      </c>
      <c r="B211" s="16" t="n">
        <f aca="false">B210+IF(WEEKDAY(B210,2)=6,2,1)</f>
        <v>46262</v>
      </c>
      <c r="C211" s="5" t="n">
        <f aca="false">MONTH(B211)</f>
        <v>8</v>
      </c>
      <c r="D211" s="5" t="n">
        <f aca="false">IF(C211&lt;&gt;C210,1,0)</f>
        <v>0</v>
      </c>
      <c r="E211" s="17" t="n">
        <f aca="false">IF(L210=1,CantPedido,0)</f>
        <v>15</v>
      </c>
      <c r="F211" s="5" t="n">
        <f aca="false">J210+E211</f>
        <v>18</v>
      </c>
      <c r="G211" s="5" t="n">
        <f aca="false">RANDBETWEEN(3,7)</f>
        <v>3</v>
      </c>
      <c r="H211" s="5" t="n">
        <f aca="false">MIN(F211,G211)</f>
        <v>3</v>
      </c>
      <c r="I211" s="5" t="n">
        <f aca="false">G211-H211</f>
        <v>0</v>
      </c>
      <c r="J211" s="5" t="n">
        <f aca="false">F211-H211</f>
        <v>15</v>
      </c>
      <c r="K211" s="5" t="n">
        <f aca="false">IF(I211&gt;0,1,0)</f>
        <v>0</v>
      </c>
      <c r="L211" s="5" t="n">
        <f aca="false">IF(J211&lt;PuntoReorden,1,0)</f>
        <v>0</v>
      </c>
      <c r="M211" s="18" t="n">
        <f aca="false">PrecioVenta*H211</f>
        <v>2040000</v>
      </c>
      <c r="N211" s="18" t="n">
        <f aca="false">CostoUnitario*E211</f>
        <v>9000000</v>
      </c>
      <c r="O211" s="18" t="n">
        <f aca="false">IF(E211&gt;0,CostoPedido,0)</f>
        <v>40000</v>
      </c>
      <c r="P211" s="18" t="n">
        <f aca="false">CostoAlm*(F211+J211)/2</f>
        <v>1320</v>
      </c>
      <c r="Q211" s="18" t="n">
        <f aca="false">CostoFijo*D211</f>
        <v>0</v>
      </c>
      <c r="R211" s="18" t="n">
        <f aca="false">M211-N211-O211-P211-Q211</f>
        <v>-7001320</v>
      </c>
    </row>
    <row r="212" customFormat="false" ht="15" hidden="false" customHeight="true" outlineLevel="0" collapsed="false">
      <c r="A212" s="5" t="n">
        <f aca="false">A211+1</f>
        <v>207</v>
      </c>
      <c r="B212" s="16" t="n">
        <f aca="false">B211+IF(WEEKDAY(B211,2)=6,2,1)</f>
        <v>46263</v>
      </c>
      <c r="C212" s="5" t="n">
        <f aca="false">MONTH(B212)</f>
        <v>8</v>
      </c>
      <c r="D212" s="5" t="n">
        <f aca="false">IF(C212&lt;&gt;C211,1,0)</f>
        <v>0</v>
      </c>
      <c r="E212" s="5" t="n">
        <f aca="false">IF(L211=1,CantPedido,0)</f>
        <v>0</v>
      </c>
      <c r="F212" s="5" t="n">
        <f aca="false">J211+E212</f>
        <v>15</v>
      </c>
      <c r="G212" s="5" t="n">
        <f aca="false">RANDBETWEEN(3,7)</f>
        <v>4</v>
      </c>
      <c r="H212" s="5" t="n">
        <f aca="false">MIN(F212,G212)</f>
        <v>4</v>
      </c>
      <c r="I212" s="5" t="n">
        <f aca="false">G212-H212</f>
        <v>0</v>
      </c>
      <c r="J212" s="5" t="n">
        <f aca="false">F212-H212</f>
        <v>11</v>
      </c>
      <c r="K212" s="5" t="n">
        <f aca="false">IF(I212&gt;0,1,0)</f>
        <v>0</v>
      </c>
      <c r="L212" s="5" t="n">
        <f aca="false">IF(J212&lt;PuntoReorden,1,0)</f>
        <v>0</v>
      </c>
      <c r="M212" s="18" t="n">
        <f aca="false">PrecioVenta*H212</f>
        <v>2720000</v>
      </c>
      <c r="N212" s="18" t="n">
        <f aca="false">CostoUnitario*E212</f>
        <v>0</v>
      </c>
      <c r="O212" s="18" t="n">
        <f aca="false">IF(E212&gt;0,CostoPedido,0)</f>
        <v>0</v>
      </c>
      <c r="P212" s="18" t="n">
        <f aca="false">CostoAlm*(F212+J212)/2</f>
        <v>1040</v>
      </c>
      <c r="Q212" s="18" t="n">
        <f aca="false">CostoFijo*D212</f>
        <v>0</v>
      </c>
      <c r="R212" s="18" t="n">
        <f aca="false">M212-N212-O212-P212-Q212</f>
        <v>2718960</v>
      </c>
    </row>
    <row r="213" customFormat="false" ht="15" hidden="false" customHeight="true" outlineLevel="0" collapsed="false">
      <c r="A213" s="5" t="n">
        <f aca="false">A212+1</f>
        <v>208</v>
      </c>
      <c r="B213" s="16" t="n">
        <f aca="false">B212+IF(WEEKDAY(B212,2)=6,2,1)</f>
        <v>46265</v>
      </c>
      <c r="C213" s="5" t="n">
        <f aca="false">MONTH(B213)</f>
        <v>8</v>
      </c>
      <c r="D213" s="5" t="n">
        <f aca="false">IF(C213&lt;&gt;C212,1,0)</f>
        <v>0</v>
      </c>
      <c r="E213" s="17" t="n">
        <f aca="false">IF(L212=1,CantPedido,0)</f>
        <v>0</v>
      </c>
      <c r="F213" s="5" t="n">
        <f aca="false">J212+E213</f>
        <v>11</v>
      </c>
      <c r="G213" s="5" t="n">
        <f aca="false">RANDBETWEEN(3,7)</f>
        <v>3</v>
      </c>
      <c r="H213" s="5" t="n">
        <f aca="false">MIN(F213,G213)</f>
        <v>3</v>
      </c>
      <c r="I213" s="5" t="n">
        <f aca="false">G213-H213</f>
        <v>0</v>
      </c>
      <c r="J213" s="5" t="n">
        <f aca="false">F213-H213</f>
        <v>8</v>
      </c>
      <c r="K213" s="5" t="n">
        <f aca="false">IF(I213&gt;0,1,0)</f>
        <v>0</v>
      </c>
      <c r="L213" s="5" t="n">
        <f aca="false">IF(J213&lt;PuntoReorden,1,0)</f>
        <v>0</v>
      </c>
      <c r="M213" s="18" t="n">
        <f aca="false">PrecioVenta*H213</f>
        <v>2040000</v>
      </c>
      <c r="N213" s="18" t="n">
        <f aca="false">CostoUnitario*E213</f>
        <v>0</v>
      </c>
      <c r="O213" s="18" t="n">
        <f aca="false">IF(E213&gt;0,CostoPedido,0)</f>
        <v>0</v>
      </c>
      <c r="P213" s="18" t="n">
        <f aca="false">CostoAlm*(F213+J213)/2</f>
        <v>760</v>
      </c>
      <c r="Q213" s="18" t="n">
        <f aca="false">CostoFijo*D213</f>
        <v>0</v>
      </c>
      <c r="R213" s="18" t="n">
        <f aca="false">M213-N213-O213-P213-Q213</f>
        <v>2039240</v>
      </c>
    </row>
    <row r="214" customFormat="false" ht="15" hidden="false" customHeight="true" outlineLevel="0" collapsed="false">
      <c r="A214" s="5" t="n">
        <f aca="false">A213+1</f>
        <v>209</v>
      </c>
      <c r="B214" s="16" t="n">
        <f aca="false">B213+IF(WEEKDAY(B213,2)=6,2,1)</f>
        <v>46266</v>
      </c>
      <c r="C214" s="5" t="n">
        <f aca="false">MONTH(B214)</f>
        <v>9</v>
      </c>
      <c r="D214" s="5" t="n">
        <f aca="false">IF(C214&lt;&gt;C213,1,0)</f>
        <v>1</v>
      </c>
      <c r="E214" s="5" t="n">
        <f aca="false">IF(L213=1,CantPedido,0)</f>
        <v>0</v>
      </c>
      <c r="F214" s="5" t="n">
        <f aca="false">J213+E214</f>
        <v>8</v>
      </c>
      <c r="G214" s="5" t="n">
        <f aca="false">RANDBETWEEN(3,7)</f>
        <v>5</v>
      </c>
      <c r="H214" s="5" t="n">
        <f aca="false">MIN(F214,G214)</f>
        <v>5</v>
      </c>
      <c r="I214" s="5" t="n">
        <f aca="false">G214-H214</f>
        <v>0</v>
      </c>
      <c r="J214" s="5" t="n">
        <f aca="false">F214-H214</f>
        <v>3</v>
      </c>
      <c r="K214" s="5" t="n">
        <f aca="false">IF(I214&gt;0,1,0)</f>
        <v>0</v>
      </c>
      <c r="L214" s="5" t="n">
        <f aca="false">IF(J214&lt;PuntoReorden,1,0)</f>
        <v>1</v>
      </c>
      <c r="M214" s="18" t="n">
        <f aca="false">PrecioVenta*H214</f>
        <v>3400000</v>
      </c>
      <c r="N214" s="18" t="n">
        <f aca="false">CostoUnitario*E214</f>
        <v>0</v>
      </c>
      <c r="O214" s="18" t="n">
        <f aca="false">IF(E214&gt;0,CostoPedido,0)</f>
        <v>0</v>
      </c>
      <c r="P214" s="18" t="n">
        <f aca="false">CostoAlm*(F214+J214)/2</f>
        <v>440</v>
      </c>
      <c r="Q214" s="18" t="n">
        <f aca="false">CostoFijo*D214</f>
        <v>1000000</v>
      </c>
      <c r="R214" s="18" t="n">
        <f aca="false">M214-N214-O214-P214-Q214</f>
        <v>2399560</v>
      </c>
    </row>
    <row r="215" customFormat="false" ht="15" hidden="false" customHeight="true" outlineLevel="0" collapsed="false">
      <c r="A215" s="5" t="n">
        <f aca="false">A214+1</f>
        <v>210</v>
      </c>
      <c r="B215" s="16" t="n">
        <f aca="false">B214+IF(WEEKDAY(B214,2)=6,2,1)</f>
        <v>46267</v>
      </c>
      <c r="C215" s="5" t="n">
        <f aca="false">MONTH(B215)</f>
        <v>9</v>
      </c>
      <c r="D215" s="5" t="n">
        <f aca="false">IF(C215&lt;&gt;C214,1,0)</f>
        <v>0</v>
      </c>
      <c r="E215" s="17" t="n">
        <f aca="false">IF(L214=1,CantPedido,0)</f>
        <v>15</v>
      </c>
      <c r="F215" s="5" t="n">
        <f aca="false">J214+E215</f>
        <v>18</v>
      </c>
      <c r="G215" s="5" t="n">
        <f aca="false">RANDBETWEEN(3,7)</f>
        <v>3</v>
      </c>
      <c r="H215" s="5" t="n">
        <f aca="false">MIN(F215,G215)</f>
        <v>3</v>
      </c>
      <c r="I215" s="5" t="n">
        <f aca="false">G215-H215</f>
        <v>0</v>
      </c>
      <c r="J215" s="5" t="n">
        <f aca="false">F215-H215</f>
        <v>15</v>
      </c>
      <c r="K215" s="5" t="n">
        <f aca="false">IF(I215&gt;0,1,0)</f>
        <v>0</v>
      </c>
      <c r="L215" s="5" t="n">
        <f aca="false">IF(J215&lt;PuntoReorden,1,0)</f>
        <v>0</v>
      </c>
      <c r="M215" s="18" t="n">
        <f aca="false">PrecioVenta*H215</f>
        <v>2040000</v>
      </c>
      <c r="N215" s="18" t="n">
        <f aca="false">CostoUnitario*E215</f>
        <v>9000000</v>
      </c>
      <c r="O215" s="18" t="n">
        <f aca="false">IF(E215&gt;0,CostoPedido,0)</f>
        <v>40000</v>
      </c>
      <c r="P215" s="18" t="n">
        <f aca="false">CostoAlm*(F215+J215)/2</f>
        <v>1320</v>
      </c>
      <c r="Q215" s="18" t="n">
        <f aca="false">CostoFijo*D215</f>
        <v>0</v>
      </c>
      <c r="R215" s="18" t="n">
        <f aca="false">M215-N215-O215-P215-Q215</f>
        <v>-7001320</v>
      </c>
    </row>
    <row r="216" customFormat="false" ht="15" hidden="false" customHeight="true" outlineLevel="0" collapsed="false">
      <c r="A216" s="5" t="n">
        <f aca="false">A215+1</f>
        <v>211</v>
      </c>
      <c r="B216" s="16" t="n">
        <f aca="false">B215+IF(WEEKDAY(B215,2)=6,2,1)</f>
        <v>46268</v>
      </c>
      <c r="C216" s="5" t="n">
        <f aca="false">MONTH(B216)</f>
        <v>9</v>
      </c>
      <c r="D216" s="5" t="n">
        <f aca="false">IF(C216&lt;&gt;C215,1,0)</f>
        <v>0</v>
      </c>
      <c r="E216" s="17" t="n">
        <f aca="false">IF(L215=1,CantPedido,0)</f>
        <v>0</v>
      </c>
      <c r="F216" s="5" t="n">
        <f aca="false">J215+E216</f>
        <v>15</v>
      </c>
      <c r="G216" s="5" t="n">
        <f aca="false">RANDBETWEEN(3,7)</f>
        <v>5</v>
      </c>
      <c r="H216" s="5" t="n">
        <f aca="false">MIN(F216,G216)</f>
        <v>5</v>
      </c>
      <c r="I216" s="5" t="n">
        <f aca="false">G216-H216</f>
        <v>0</v>
      </c>
      <c r="J216" s="5" t="n">
        <f aca="false">F216-H216</f>
        <v>10</v>
      </c>
      <c r="K216" s="5" t="n">
        <f aca="false">IF(I216&gt;0,1,0)</f>
        <v>0</v>
      </c>
      <c r="L216" s="5" t="n">
        <f aca="false">IF(J216&lt;PuntoReorden,1,0)</f>
        <v>0</v>
      </c>
      <c r="M216" s="18" t="n">
        <f aca="false">PrecioVenta*H216</f>
        <v>3400000</v>
      </c>
      <c r="N216" s="18" t="n">
        <f aca="false">CostoUnitario*E216</f>
        <v>0</v>
      </c>
      <c r="O216" s="18" t="n">
        <f aca="false">IF(E216&gt;0,CostoPedido,0)</f>
        <v>0</v>
      </c>
      <c r="P216" s="18" t="n">
        <f aca="false">CostoAlm*(F216+J216)/2</f>
        <v>1000</v>
      </c>
      <c r="Q216" s="18" t="n">
        <f aca="false">CostoFijo*D216</f>
        <v>0</v>
      </c>
      <c r="R216" s="18" t="n">
        <f aca="false">M216-N216-O216-P216-Q216</f>
        <v>3399000</v>
      </c>
    </row>
    <row r="217" customFormat="false" ht="15" hidden="false" customHeight="true" outlineLevel="0" collapsed="false">
      <c r="A217" s="5" t="n">
        <f aca="false">A216+1</f>
        <v>212</v>
      </c>
      <c r="B217" s="16" t="n">
        <f aca="false">B216+IF(WEEKDAY(B216,2)=6,2,1)</f>
        <v>46269</v>
      </c>
      <c r="C217" s="5" t="n">
        <f aca="false">MONTH(B217)</f>
        <v>9</v>
      </c>
      <c r="D217" s="5" t="n">
        <f aca="false">IF(C217&lt;&gt;C216,1,0)</f>
        <v>0</v>
      </c>
      <c r="E217" s="5" t="n">
        <f aca="false">IF(L216=1,CantPedido,0)</f>
        <v>0</v>
      </c>
      <c r="F217" s="5" t="n">
        <f aca="false">J216+E217</f>
        <v>10</v>
      </c>
      <c r="G217" s="5" t="n">
        <f aca="false">RANDBETWEEN(3,7)</f>
        <v>4</v>
      </c>
      <c r="H217" s="5" t="n">
        <f aca="false">MIN(F217,G217)</f>
        <v>4</v>
      </c>
      <c r="I217" s="5" t="n">
        <f aca="false">G217-H217</f>
        <v>0</v>
      </c>
      <c r="J217" s="5" t="n">
        <f aca="false">F217-H217</f>
        <v>6</v>
      </c>
      <c r="K217" s="5" t="n">
        <f aca="false">IF(I217&gt;0,1,0)</f>
        <v>0</v>
      </c>
      <c r="L217" s="5" t="n">
        <f aca="false">IF(J217&lt;PuntoReorden,1,0)</f>
        <v>1</v>
      </c>
      <c r="M217" s="18" t="n">
        <f aca="false">PrecioVenta*H217</f>
        <v>2720000</v>
      </c>
      <c r="N217" s="18" t="n">
        <f aca="false">CostoUnitario*E217</f>
        <v>0</v>
      </c>
      <c r="O217" s="18" t="n">
        <f aca="false">IF(E217&gt;0,CostoPedido,0)</f>
        <v>0</v>
      </c>
      <c r="P217" s="18" t="n">
        <f aca="false">CostoAlm*(F217+J217)/2</f>
        <v>640</v>
      </c>
      <c r="Q217" s="18" t="n">
        <f aca="false">CostoFijo*D217</f>
        <v>0</v>
      </c>
      <c r="R217" s="18" t="n">
        <f aca="false">M217-N217-O217-P217-Q217</f>
        <v>2719360</v>
      </c>
    </row>
    <row r="218" customFormat="false" ht="15" hidden="false" customHeight="true" outlineLevel="0" collapsed="false">
      <c r="A218" s="5" t="n">
        <f aca="false">A217+1</f>
        <v>213</v>
      </c>
      <c r="B218" s="16" t="n">
        <f aca="false">B217+IF(WEEKDAY(B217,2)=6,2,1)</f>
        <v>46270</v>
      </c>
      <c r="C218" s="5" t="n">
        <f aca="false">MONTH(B218)</f>
        <v>9</v>
      </c>
      <c r="D218" s="5" t="n">
        <f aca="false">IF(C218&lt;&gt;C217,1,0)</f>
        <v>0</v>
      </c>
      <c r="E218" s="17" t="n">
        <f aca="false">IF(L217=1,CantPedido,0)</f>
        <v>15</v>
      </c>
      <c r="F218" s="5" t="n">
        <f aca="false">J217+E218</f>
        <v>21</v>
      </c>
      <c r="G218" s="5" t="n">
        <f aca="false">RANDBETWEEN(3,7)</f>
        <v>7</v>
      </c>
      <c r="H218" s="5" t="n">
        <f aca="false">MIN(F218,G218)</f>
        <v>7</v>
      </c>
      <c r="I218" s="5" t="n">
        <f aca="false">G218-H218</f>
        <v>0</v>
      </c>
      <c r="J218" s="5" t="n">
        <f aca="false">F218-H218</f>
        <v>14</v>
      </c>
      <c r="K218" s="5" t="n">
        <f aca="false">IF(I218&gt;0,1,0)</f>
        <v>0</v>
      </c>
      <c r="L218" s="5" t="n">
        <f aca="false">IF(J218&lt;PuntoReorden,1,0)</f>
        <v>0</v>
      </c>
      <c r="M218" s="18" t="n">
        <f aca="false">PrecioVenta*H218</f>
        <v>4760000</v>
      </c>
      <c r="N218" s="18" t="n">
        <f aca="false">CostoUnitario*E218</f>
        <v>9000000</v>
      </c>
      <c r="O218" s="18" t="n">
        <f aca="false">IF(E218&gt;0,CostoPedido,0)</f>
        <v>40000</v>
      </c>
      <c r="P218" s="18" t="n">
        <f aca="false">CostoAlm*(F218+J218)/2</f>
        <v>1400</v>
      </c>
      <c r="Q218" s="18" t="n">
        <f aca="false">CostoFijo*D218</f>
        <v>0</v>
      </c>
      <c r="R218" s="18" t="n">
        <f aca="false">M218-N218-O218-P218-Q218</f>
        <v>-4281400</v>
      </c>
    </row>
    <row r="219" customFormat="false" ht="15" hidden="false" customHeight="true" outlineLevel="0" collapsed="false">
      <c r="A219" s="5" t="n">
        <f aca="false">A218+1</f>
        <v>214</v>
      </c>
      <c r="B219" s="16" t="n">
        <f aca="false">B218+IF(WEEKDAY(B218,2)=6,2,1)</f>
        <v>46272</v>
      </c>
      <c r="C219" s="5" t="n">
        <f aca="false">MONTH(B219)</f>
        <v>9</v>
      </c>
      <c r="D219" s="5" t="n">
        <f aca="false">IF(C219&lt;&gt;C218,1,0)</f>
        <v>0</v>
      </c>
      <c r="E219" s="17" t="n">
        <f aca="false">IF(L218=1,CantPedido,0)</f>
        <v>0</v>
      </c>
      <c r="F219" s="5" t="n">
        <f aca="false">J218+E219</f>
        <v>14</v>
      </c>
      <c r="G219" s="5" t="n">
        <f aca="false">RANDBETWEEN(3,7)</f>
        <v>6</v>
      </c>
      <c r="H219" s="5" t="n">
        <f aca="false">MIN(F219,G219)</f>
        <v>6</v>
      </c>
      <c r="I219" s="5" t="n">
        <f aca="false">G219-H219</f>
        <v>0</v>
      </c>
      <c r="J219" s="5" t="n">
        <f aca="false">F219-H219</f>
        <v>8</v>
      </c>
      <c r="K219" s="5" t="n">
        <f aca="false">IF(I219&gt;0,1,0)</f>
        <v>0</v>
      </c>
      <c r="L219" s="5" t="n">
        <f aca="false">IF(J219&lt;PuntoReorden,1,0)</f>
        <v>0</v>
      </c>
      <c r="M219" s="18" t="n">
        <f aca="false">PrecioVenta*H219</f>
        <v>4080000</v>
      </c>
      <c r="N219" s="18" t="n">
        <f aca="false">CostoUnitario*E219</f>
        <v>0</v>
      </c>
      <c r="O219" s="18" t="n">
        <f aca="false">IF(E219&gt;0,CostoPedido,0)</f>
        <v>0</v>
      </c>
      <c r="P219" s="18" t="n">
        <f aca="false">CostoAlm*(F219+J219)/2</f>
        <v>880</v>
      </c>
      <c r="Q219" s="18" t="n">
        <f aca="false">CostoFijo*D219</f>
        <v>0</v>
      </c>
      <c r="R219" s="18" t="n">
        <f aca="false">M219-N219-O219-P219-Q219</f>
        <v>4079120</v>
      </c>
    </row>
    <row r="220" customFormat="false" ht="15" hidden="false" customHeight="true" outlineLevel="0" collapsed="false">
      <c r="A220" s="5" t="n">
        <f aca="false">A219+1</f>
        <v>215</v>
      </c>
      <c r="B220" s="16" t="n">
        <f aca="false">B219+IF(WEEKDAY(B219,2)=6,2,1)</f>
        <v>46273</v>
      </c>
      <c r="C220" s="5" t="n">
        <f aca="false">MONTH(B220)</f>
        <v>9</v>
      </c>
      <c r="D220" s="5" t="n">
        <f aca="false">IF(C220&lt;&gt;C219,1,0)</f>
        <v>0</v>
      </c>
      <c r="E220" s="5" t="n">
        <f aca="false">IF(L219=1,CantPedido,0)</f>
        <v>0</v>
      </c>
      <c r="F220" s="5" t="n">
        <f aca="false">J219+E220</f>
        <v>8</v>
      </c>
      <c r="G220" s="5" t="n">
        <f aca="false">RANDBETWEEN(3,7)</f>
        <v>4</v>
      </c>
      <c r="H220" s="5" t="n">
        <f aca="false">MIN(F220,G220)</f>
        <v>4</v>
      </c>
      <c r="I220" s="5" t="n">
        <f aca="false">G220-H220</f>
        <v>0</v>
      </c>
      <c r="J220" s="5" t="n">
        <f aca="false">F220-H220</f>
        <v>4</v>
      </c>
      <c r="K220" s="5" t="n">
        <f aca="false">IF(I220&gt;0,1,0)</f>
        <v>0</v>
      </c>
      <c r="L220" s="5" t="n">
        <f aca="false">IF(J220&lt;PuntoReorden,1,0)</f>
        <v>1</v>
      </c>
      <c r="M220" s="18" t="n">
        <f aca="false">PrecioVenta*H220</f>
        <v>2720000</v>
      </c>
      <c r="N220" s="18" t="n">
        <f aca="false">CostoUnitario*E220</f>
        <v>0</v>
      </c>
      <c r="O220" s="18" t="n">
        <f aca="false">IF(E220&gt;0,CostoPedido,0)</f>
        <v>0</v>
      </c>
      <c r="P220" s="18" t="n">
        <f aca="false">CostoAlm*(F220+J220)/2</f>
        <v>480</v>
      </c>
      <c r="Q220" s="18" t="n">
        <f aca="false">CostoFijo*D220</f>
        <v>0</v>
      </c>
      <c r="R220" s="18" t="n">
        <f aca="false">M220-N220-O220-P220-Q220</f>
        <v>2719520</v>
      </c>
    </row>
    <row r="221" customFormat="false" ht="15" hidden="false" customHeight="true" outlineLevel="0" collapsed="false">
      <c r="A221" s="5" t="n">
        <f aca="false">A220+1</f>
        <v>216</v>
      </c>
      <c r="B221" s="16" t="n">
        <f aca="false">B220+IF(WEEKDAY(B220,2)=6,2,1)</f>
        <v>46274</v>
      </c>
      <c r="C221" s="5" t="n">
        <f aca="false">MONTH(B221)</f>
        <v>9</v>
      </c>
      <c r="D221" s="5" t="n">
        <f aca="false">IF(C221&lt;&gt;C220,1,0)</f>
        <v>0</v>
      </c>
      <c r="E221" s="17" t="n">
        <f aca="false">IF(L220=1,CantPedido,0)</f>
        <v>15</v>
      </c>
      <c r="F221" s="5" t="n">
        <f aca="false">J220+E221</f>
        <v>19</v>
      </c>
      <c r="G221" s="5" t="n">
        <f aca="false">RANDBETWEEN(3,7)</f>
        <v>7</v>
      </c>
      <c r="H221" s="5" t="n">
        <f aca="false">MIN(F221,G221)</f>
        <v>7</v>
      </c>
      <c r="I221" s="5" t="n">
        <f aca="false">G221-H221</f>
        <v>0</v>
      </c>
      <c r="J221" s="5" t="n">
        <f aca="false">F221-H221</f>
        <v>12</v>
      </c>
      <c r="K221" s="5" t="n">
        <f aca="false">IF(I221&gt;0,1,0)</f>
        <v>0</v>
      </c>
      <c r="L221" s="5" t="n">
        <f aca="false">IF(J221&lt;PuntoReorden,1,0)</f>
        <v>0</v>
      </c>
      <c r="M221" s="18" t="n">
        <f aca="false">PrecioVenta*H221</f>
        <v>4760000</v>
      </c>
      <c r="N221" s="18" t="n">
        <f aca="false">CostoUnitario*E221</f>
        <v>9000000</v>
      </c>
      <c r="O221" s="18" t="n">
        <f aca="false">IF(E221&gt;0,CostoPedido,0)</f>
        <v>40000</v>
      </c>
      <c r="P221" s="18" t="n">
        <f aca="false">CostoAlm*(F221+J221)/2</f>
        <v>1240</v>
      </c>
      <c r="Q221" s="18" t="n">
        <f aca="false">CostoFijo*D221</f>
        <v>0</v>
      </c>
      <c r="R221" s="18" t="n">
        <f aca="false">M221-N221-O221-P221-Q221</f>
        <v>-4281240</v>
      </c>
    </row>
    <row r="222" customFormat="false" ht="15" hidden="false" customHeight="true" outlineLevel="0" collapsed="false">
      <c r="A222" s="5" t="n">
        <f aca="false">A221+1</f>
        <v>217</v>
      </c>
      <c r="B222" s="16" t="n">
        <f aca="false">B221+IF(WEEKDAY(B221,2)=6,2,1)</f>
        <v>46275</v>
      </c>
      <c r="C222" s="5" t="n">
        <f aca="false">MONTH(B222)</f>
        <v>9</v>
      </c>
      <c r="D222" s="5" t="n">
        <f aca="false">IF(C222&lt;&gt;C221,1,0)</f>
        <v>0</v>
      </c>
      <c r="E222" s="5" t="n">
        <f aca="false">IF(L221=1,CantPedido,0)</f>
        <v>0</v>
      </c>
      <c r="F222" s="5" t="n">
        <f aca="false">J221+E222</f>
        <v>12</v>
      </c>
      <c r="G222" s="5" t="n">
        <f aca="false">RANDBETWEEN(3,7)</f>
        <v>6</v>
      </c>
      <c r="H222" s="5" t="n">
        <f aca="false">MIN(F222,G222)</f>
        <v>6</v>
      </c>
      <c r="I222" s="5" t="n">
        <f aca="false">G222-H222</f>
        <v>0</v>
      </c>
      <c r="J222" s="5" t="n">
        <f aca="false">F222-H222</f>
        <v>6</v>
      </c>
      <c r="K222" s="5" t="n">
        <f aca="false">IF(I222&gt;0,1,0)</f>
        <v>0</v>
      </c>
      <c r="L222" s="5" t="n">
        <f aca="false">IF(J222&lt;PuntoReorden,1,0)</f>
        <v>1</v>
      </c>
      <c r="M222" s="18" t="n">
        <f aca="false">PrecioVenta*H222</f>
        <v>4080000</v>
      </c>
      <c r="N222" s="18" t="n">
        <f aca="false">CostoUnitario*E222</f>
        <v>0</v>
      </c>
      <c r="O222" s="18" t="n">
        <f aca="false">IF(E222&gt;0,CostoPedido,0)</f>
        <v>0</v>
      </c>
      <c r="P222" s="18" t="n">
        <f aca="false">CostoAlm*(F222+J222)/2</f>
        <v>720</v>
      </c>
      <c r="Q222" s="18" t="n">
        <f aca="false">CostoFijo*D222</f>
        <v>0</v>
      </c>
      <c r="R222" s="18" t="n">
        <f aca="false">M222-N222-O222-P222-Q222</f>
        <v>4079280</v>
      </c>
    </row>
    <row r="223" customFormat="false" ht="15" hidden="false" customHeight="true" outlineLevel="0" collapsed="false">
      <c r="A223" s="5" t="n">
        <f aca="false">A222+1</f>
        <v>218</v>
      </c>
      <c r="B223" s="16" t="n">
        <f aca="false">B222+IF(WEEKDAY(B222,2)=6,2,1)</f>
        <v>46276</v>
      </c>
      <c r="C223" s="5" t="n">
        <f aca="false">MONTH(B223)</f>
        <v>9</v>
      </c>
      <c r="D223" s="5" t="n">
        <f aca="false">IF(C223&lt;&gt;C222,1,0)</f>
        <v>0</v>
      </c>
      <c r="E223" s="17" t="n">
        <f aca="false">IF(L222=1,CantPedido,0)</f>
        <v>15</v>
      </c>
      <c r="F223" s="5" t="n">
        <f aca="false">J222+E223</f>
        <v>21</v>
      </c>
      <c r="G223" s="5" t="n">
        <f aca="false">RANDBETWEEN(3,7)</f>
        <v>6</v>
      </c>
      <c r="H223" s="5" t="n">
        <f aca="false">MIN(F223,G223)</f>
        <v>6</v>
      </c>
      <c r="I223" s="5" t="n">
        <f aca="false">G223-H223</f>
        <v>0</v>
      </c>
      <c r="J223" s="5" t="n">
        <f aca="false">F223-H223</f>
        <v>15</v>
      </c>
      <c r="K223" s="5" t="n">
        <f aca="false">IF(I223&gt;0,1,0)</f>
        <v>0</v>
      </c>
      <c r="L223" s="5" t="n">
        <f aca="false">IF(J223&lt;PuntoReorden,1,0)</f>
        <v>0</v>
      </c>
      <c r="M223" s="18" t="n">
        <f aca="false">PrecioVenta*H223</f>
        <v>4080000</v>
      </c>
      <c r="N223" s="18" t="n">
        <f aca="false">CostoUnitario*E223</f>
        <v>9000000</v>
      </c>
      <c r="O223" s="18" t="n">
        <f aca="false">IF(E223&gt;0,CostoPedido,0)</f>
        <v>40000</v>
      </c>
      <c r="P223" s="18" t="n">
        <f aca="false">CostoAlm*(F223+J223)/2</f>
        <v>1440</v>
      </c>
      <c r="Q223" s="18" t="n">
        <f aca="false">CostoFijo*D223</f>
        <v>0</v>
      </c>
      <c r="R223" s="18" t="n">
        <f aca="false">M223-N223-O223-P223-Q223</f>
        <v>-4961440</v>
      </c>
    </row>
    <row r="224" customFormat="false" ht="15" hidden="false" customHeight="true" outlineLevel="0" collapsed="false">
      <c r="A224" s="5" t="n">
        <f aca="false">A223+1</f>
        <v>219</v>
      </c>
      <c r="B224" s="16" t="n">
        <f aca="false">B223+IF(WEEKDAY(B223,2)=6,2,1)</f>
        <v>46277</v>
      </c>
      <c r="C224" s="5" t="n">
        <f aca="false">MONTH(B224)</f>
        <v>9</v>
      </c>
      <c r="D224" s="5" t="n">
        <f aca="false">IF(C224&lt;&gt;C223,1,0)</f>
        <v>0</v>
      </c>
      <c r="E224" s="5" t="n">
        <f aca="false">IF(L223=1,CantPedido,0)</f>
        <v>0</v>
      </c>
      <c r="F224" s="5" t="n">
        <f aca="false">J223+E224</f>
        <v>15</v>
      </c>
      <c r="G224" s="5" t="n">
        <f aca="false">RANDBETWEEN(3,7)</f>
        <v>6</v>
      </c>
      <c r="H224" s="5" t="n">
        <f aca="false">MIN(F224,G224)</f>
        <v>6</v>
      </c>
      <c r="I224" s="5" t="n">
        <f aca="false">G224-H224</f>
        <v>0</v>
      </c>
      <c r="J224" s="5" t="n">
        <f aca="false">F224-H224</f>
        <v>9</v>
      </c>
      <c r="K224" s="5" t="n">
        <f aca="false">IF(I224&gt;0,1,0)</f>
        <v>0</v>
      </c>
      <c r="L224" s="5" t="n">
        <f aca="false">IF(J224&lt;PuntoReorden,1,0)</f>
        <v>0</v>
      </c>
      <c r="M224" s="18" t="n">
        <f aca="false">PrecioVenta*H224</f>
        <v>4080000</v>
      </c>
      <c r="N224" s="18" t="n">
        <f aca="false">CostoUnitario*E224</f>
        <v>0</v>
      </c>
      <c r="O224" s="18" t="n">
        <f aca="false">IF(E224&gt;0,CostoPedido,0)</f>
        <v>0</v>
      </c>
      <c r="P224" s="18" t="n">
        <f aca="false">CostoAlm*(F224+J224)/2</f>
        <v>960</v>
      </c>
      <c r="Q224" s="18" t="n">
        <f aca="false">CostoFijo*D224</f>
        <v>0</v>
      </c>
      <c r="R224" s="18" t="n">
        <f aca="false">M224-N224-O224-P224-Q224</f>
        <v>4079040</v>
      </c>
    </row>
    <row r="225" customFormat="false" ht="15" hidden="false" customHeight="true" outlineLevel="0" collapsed="false">
      <c r="A225" s="5" t="n">
        <f aca="false">A224+1</f>
        <v>220</v>
      </c>
      <c r="B225" s="16" t="n">
        <f aca="false">B224+IF(WEEKDAY(B224,2)=6,2,1)</f>
        <v>46279</v>
      </c>
      <c r="C225" s="5" t="n">
        <f aca="false">MONTH(B225)</f>
        <v>9</v>
      </c>
      <c r="D225" s="5" t="n">
        <f aca="false">IF(C225&lt;&gt;C224,1,0)</f>
        <v>0</v>
      </c>
      <c r="E225" s="5" t="n">
        <f aca="false">IF(L224=1,CantPedido,0)</f>
        <v>0</v>
      </c>
      <c r="F225" s="5" t="n">
        <f aca="false">J224+E225</f>
        <v>9</v>
      </c>
      <c r="G225" s="5" t="n">
        <f aca="false">RANDBETWEEN(3,7)</f>
        <v>3</v>
      </c>
      <c r="H225" s="5" t="n">
        <f aca="false">MIN(F225,G225)</f>
        <v>3</v>
      </c>
      <c r="I225" s="5" t="n">
        <f aca="false">G225-H225</f>
        <v>0</v>
      </c>
      <c r="J225" s="5" t="n">
        <f aca="false">F225-H225</f>
        <v>6</v>
      </c>
      <c r="K225" s="5" t="n">
        <f aca="false">IF(I225&gt;0,1,0)</f>
        <v>0</v>
      </c>
      <c r="L225" s="5" t="n">
        <f aca="false">IF(J225&lt;PuntoReorden,1,0)</f>
        <v>1</v>
      </c>
      <c r="M225" s="18" t="n">
        <f aca="false">PrecioVenta*H225</f>
        <v>2040000</v>
      </c>
      <c r="N225" s="18" t="n">
        <f aca="false">CostoUnitario*E225</f>
        <v>0</v>
      </c>
      <c r="O225" s="18" t="n">
        <f aca="false">IF(E225&gt;0,CostoPedido,0)</f>
        <v>0</v>
      </c>
      <c r="P225" s="18" t="n">
        <f aca="false">CostoAlm*(F225+J225)/2</f>
        <v>600</v>
      </c>
      <c r="Q225" s="18" t="n">
        <f aca="false">CostoFijo*D225</f>
        <v>0</v>
      </c>
      <c r="R225" s="18" t="n">
        <f aca="false">M225-N225-O225-P225-Q225</f>
        <v>2039400</v>
      </c>
    </row>
    <row r="226" customFormat="false" ht="15" hidden="false" customHeight="true" outlineLevel="0" collapsed="false">
      <c r="A226" s="5" t="n">
        <f aca="false">A225+1</f>
        <v>221</v>
      </c>
      <c r="B226" s="16" t="n">
        <f aca="false">B225+IF(WEEKDAY(B225,2)=6,2,1)</f>
        <v>46280</v>
      </c>
      <c r="C226" s="5" t="n">
        <f aca="false">MONTH(B226)</f>
        <v>9</v>
      </c>
      <c r="D226" s="5" t="n">
        <f aca="false">IF(C226&lt;&gt;C225,1,0)</f>
        <v>0</v>
      </c>
      <c r="E226" s="17" t="n">
        <f aca="false">IF(L225=1,CantPedido,0)</f>
        <v>15</v>
      </c>
      <c r="F226" s="5" t="n">
        <f aca="false">J225+E226</f>
        <v>21</v>
      </c>
      <c r="G226" s="5" t="n">
        <f aca="false">RANDBETWEEN(3,7)</f>
        <v>4</v>
      </c>
      <c r="H226" s="5" t="n">
        <f aca="false">MIN(F226,G226)</f>
        <v>4</v>
      </c>
      <c r="I226" s="5" t="n">
        <f aca="false">G226-H226</f>
        <v>0</v>
      </c>
      <c r="J226" s="5" t="n">
        <f aca="false">F226-H226</f>
        <v>17</v>
      </c>
      <c r="K226" s="5" t="n">
        <f aca="false">IF(I226&gt;0,1,0)</f>
        <v>0</v>
      </c>
      <c r="L226" s="5" t="n">
        <f aca="false">IF(J226&lt;PuntoReorden,1,0)</f>
        <v>0</v>
      </c>
      <c r="M226" s="18" t="n">
        <f aca="false">PrecioVenta*H226</f>
        <v>2720000</v>
      </c>
      <c r="N226" s="18" t="n">
        <f aca="false">CostoUnitario*E226</f>
        <v>9000000</v>
      </c>
      <c r="O226" s="18" t="n">
        <f aca="false">IF(E226&gt;0,CostoPedido,0)</f>
        <v>40000</v>
      </c>
      <c r="P226" s="18" t="n">
        <f aca="false">CostoAlm*(F226+J226)/2</f>
        <v>1520</v>
      </c>
      <c r="Q226" s="18" t="n">
        <f aca="false">CostoFijo*D226</f>
        <v>0</v>
      </c>
      <c r="R226" s="18" t="n">
        <f aca="false">M226-N226-O226-P226-Q226</f>
        <v>-6321520</v>
      </c>
    </row>
    <row r="227" customFormat="false" ht="15" hidden="false" customHeight="true" outlineLevel="0" collapsed="false">
      <c r="A227" s="5" t="n">
        <f aca="false">A226+1</f>
        <v>222</v>
      </c>
      <c r="B227" s="16" t="n">
        <f aca="false">B226+IF(WEEKDAY(B226,2)=6,2,1)</f>
        <v>46281</v>
      </c>
      <c r="C227" s="5" t="n">
        <f aca="false">MONTH(B227)</f>
        <v>9</v>
      </c>
      <c r="D227" s="5" t="n">
        <f aca="false">IF(C227&lt;&gt;C226,1,0)</f>
        <v>0</v>
      </c>
      <c r="E227" s="5" t="n">
        <f aca="false">IF(L226=1,CantPedido,0)</f>
        <v>0</v>
      </c>
      <c r="F227" s="5" t="n">
        <f aca="false">J226+E227</f>
        <v>17</v>
      </c>
      <c r="G227" s="5" t="n">
        <f aca="false">RANDBETWEEN(3,7)</f>
        <v>7</v>
      </c>
      <c r="H227" s="5" t="n">
        <f aca="false">MIN(F227,G227)</f>
        <v>7</v>
      </c>
      <c r="I227" s="5" t="n">
        <f aca="false">G227-H227</f>
        <v>0</v>
      </c>
      <c r="J227" s="5" t="n">
        <f aca="false">F227-H227</f>
        <v>10</v>
      </c>
      <c r="K227" s="5" t="n">
        <f aca="false">IF(I227&gt;0,1,0)</f>
        <v>0</v>
      </c>
      <c r="L227" s="5" t="n">
        <f aca="false">IF(J227&lt;PuntoReorden,1,0)</f>
        <v>0</v>
      </c>
      <c r="M227" s="18" t="n">
        <f aca="false">PrecioVenta*H227</f>
        <v>4760000</v>
      </c>
      <c r="N227" s="18" t="n">
        <f aca="false">CostoUnitario*E227</f>
        <v>0</v>
      </c>
      <c r="O227" s="18" t="n">
        <f aca="false">IF(E227&gt;0,CostoPedido,0)</f>
        <v>0</v>
      </c>
      <c r="P227" s="18" t="n">
        <f aca="false">CostoAlm*(F227+J227)/2</f>
        <v>1080</v>
      </c>
      <c r="Q227" s="18" t="n">
        <f aca="false">CostoFijo*D227</f>
        <v>0</v>
      </c>
      <c r="R227" s="18" t="n">
        <f aca="false">M227-N227-O227-P227-Q227</f>
        <v>4758920</v>
      </c>
    </row>
    <row r="228" customFormat="false" ht="15" hidden="false" customHeight="true" outlineLevel="0" collapsed="false">
      <c r="A228" s="5" t="n">
        <f aca="false">A227+1</f>
        <v>223</v>
      </c>
      <c r="B228" s="16" t="n">
        <f aca="false">B227+IF(WEEKDAY(B227,2)=6,2,1)</f>
        <v>46282</v>
      </c>
      <c r="C228" s="5" t="n">
        <f aca="false">MONTH(B228)</f>
        <v>9</v>
      </c>
      <c r="D228" s="5" t="n">
        <f aca="false">IF(C228&lt;&gt;C227,1,0)</f>
        <v>0</v>
      </c>
      <c r="E228" s="17" t="n">
        <f aca="false">IF(L227=1,CantPedido,0)</f>
        <v>0</v>
      </c>
      <c r="F228" s="5" t="n">
        <f aca="false">J227+E228</f>
        <v>10</v>
      </c>
      <c r="G228" s="5" t="n">
        <f aca="false">RANDBETWEEN(3,7)</f>
        <v>7</v>
      </c>
      <c r="H228" s="5" t="n">
        <f aca="false">MIN(F228,G228)</f>
        <v>7</v>
      </c>
      <c r="I228" s="5" t="n">
        <f aca="false">G228-H228</f>
        <v>0</v>
      </c>
      <c r="J228" s="5" t="n">
        <f aca="false">F228-H228</f>
        <v>3</v>
      </c>
      <c r="K228" s="5" t="n">
        <f aca="false">IF(I228&gt;0,1,0)</f>
        <v>0</v>
      </c>
      <c r="L228" s="5" t="n">
        <f aca="false">IF(J228&lt;PuntoReorden,1,0)</f>
        <v>1</v>
      </c>
      <c r="M228" s="18" t="n">
        <f aca="false">PrecioVenta*H228</f>
        <v>4760000</v>
      </c>
      <c r="N228" s="18" t="n">
        <f aca="false">CostoUnitario*E228</f>
        <v>0</v>
      </c>
      <c r="O228" s="18" t="n">
        <f aca="false">IF(E228&gt;0,CostoPedido,0)</f>
        <v>0</v>
      </c>
      <c r="P228" s="18" t="n">
        <f aca="false">CostoAlm*(F228+J228)/2</f>
        <v>520</v>
      </c>
      <c r="Q228" s="18" t="n">
        <f aca="false">CostoFijo*D228</f>
        <v>0</v>
      </c>
      <c r="R228" s="18" t="n">
        <f aca="false">M228-N228-O228-P228-Q228</f>
        <v>4759480</v>
      </c>
    </row>
    <row r="229" customFormat="false" ht="15" hidden="false" customHeight="true" outlineLevel="0" collapsed="false">
      <c r="A229" s="5" t="n">
        <f aca="false">A228+1</f>
        <v>224</v>
      </c>
      <c r="B229" s="16" t="n">
        <f aca="false">B228+IF(WEEKDAY(B228,2)=6,2,1)</f>
        <v>46283</v>
      </c>
      <c r="C229" s="5" t="n">
        <f aca="false">MONTH(B229)</f>
        <v>9</v>
      </c>
      <c r="D229" s="5" t="n">
        <f aca="false">IF(C229&lt;&gt;C228,1,0)</f>
        <v>0</v>
      </c>
      <c r="E229" s="17" t="n">
        <f aca="false">IF(L228=1,CantPedido,0)</f>
        <v>15</v>
      </c>
      <c r="F229" s="5" t="n">
        <f aca="false">J228+E229</f>
        <v>18</v>
      </c>
      <c r="G229" s="5" t="n">
        <f aca="false">RANDBETWEEN(3,7)</f>
        <v>6</v>
      </c>
      <c r="H229" s="5" t="n">
        <f aca="false">MIN(F229,G229)</f>
        <v>6</v>
      </c>
      <c r="I229" s="5" t="n">
        <f aca="false">G229-H229</f>
        <v>0</v>
      </c>
      <c r="J229" s="5" t="n">
        <f aca="false">F229-H229</f>
        <v>12</v>
      </c>
      <c r="K229" s="5" t="n">
        <f aca="false">IF(I229&gt;0,1,0)</f>
        <v>0</v>
      </c>
      <c r="L229" s="5" t="n">
        <f aca="false">IF(J229&lt;PuntoReorden,1,0)</f>
        <v>0</v>
      </c>
      <c r="M229" s="18" t="n">
        <f aca="false">PrecioVenta*H229</f>
        <v>4080000</v>
      </c>
      <c r="N229" s="18" t="n">
        <f aca="false">CostoUnitario*E229</f>
        <v>9000000</v>
      </c>
      <c r="O229" s="18" t="n">
        <f aca="false">IF(E229&gt;0,CostoPedido,0)</f>
        <v>40000</v>
      </c>
      <c r="P229" s="18" t="n">
        <f aca="false">CostoAlm*(F229+J229)/2</f>
        <v>1200</v>
      </c>
      <c r="Q229" s="18" t="n">
        <f aca="false">CostoFijo*D229</f>
        <v>0</v>
      </c>
      <c r="R229" s="18" t="n">
        <f aca="false">M229-N229-O229-P229-Q229</f>
        <v>-4961200</v>
      </c>
    </row>
    <row r="230" customFormat="false" ht="15" hidden="false" customHeight="true" outlineLevel="0" collapsed="false">
      <c r="A230" s="5" t="n">
        <f aca="false">A229+1</f>
        <v>225</v>
      </c>
      <c r="B230" s="16" t="n">
        <f aca="false">B229+IF(WEEKDAY(B229,2)=6,2,1)</f>
        <v>46284</v>
      </c>
      <c r="C230" s="5" t="n">
        <f aca="false">MONTH(B230)</f>
        <v>9</v>
      </c>
      <c r="D230" s="5" t="n">
        <f aca="false">IF(C230&lt;&gt;C229,1,0)</f>
        <v>0</v>
      </c>
      <c r="E230" s="5" t="n">
        <f aca="false">IF(L229=1,CantPedido,0)</f>
        <v>0</v>
      </c>
      <c r="F230" s="5" t="n">
        <f aca="false">J229+E230</f>
        <v>12</v>
      </c>
      <c r="G230" s="5" t="n">
        <f aca="false">RANDBETWEEN(3,7)</f>
        <v>7</v>
      </c>
      <c r="H230" s="5" t="n">
        <f aca="false">MIN(F230,G230)</f>
        <v>7</v>
      </c>
      <c r="I230" s="5" t="n">
        <f aca="false">G230-H230</f>
        <v>0</v>
      </c>
      <c r="J230" s="5" t="n">
        <f aca="false">F230-H230</f>
        <v>5</v>
      </c>
      <c r="K230" s="5" t="n">
        <f aca="false">IF(I230&gt;0,1,0)</f>
        <v>0</v>
      </c>
      <c r="L230" s="5" t="n">
        <f aca="false">IF(J230&lt;PuntoReorden,1,0)</f>
        <v>1</v>
      </c>
      <c r="M230" s="18" t="n">
        <f aca="false">PrecioVenta*H230</f>
        <v>4760000</v>
      </c>
      <c r="N230" s="18" t="n">
        <f aca="false">CostoUnitario*E230</f>
        <v>0</v>
      </c>
      <c r="O230" s="18" t="n">
        <f aca="false">IF(E230&gt;0,CostoPedido,0)</f>
        <v>0</v>
      </c>
      <c r="P230" s="18" t="n">
        <f aca="false">CostoAlm*(F230+J230)/2</f>
        <v>680</v>
      </c>
      <c r="Q230" s="18" t="n">
        <f aca="false">CostoFijo*D230</f>
        <v>0</v>
      </c>
      <c r="R230" s="18" t="n">
        <f aca="false">M230-N230-O230-P230-Q230</f>
        <v>4759320</v>
      </c>
    </row>
    <row r="231" customFormat="false" ht="15" hidden="false" customHeight="true" outlineLevel="0" collapsed="false">
      <c r="A231" s="5" t="n">
        <f aca="false">A230+1</f>
        <v>226</v>
      </c>
      <c r="B231" s="16" t="n">
        <f aca="false">B230+IF(WEEKDAY(B230,2)=6,2,1)</f>
        <v>46286</v>
      </c>
      <c r="C231" s="5" t="n">
        <f aca="false">MONTH(B231)</f>
        <v>9</v>
      </c>
      <c r="D231" s="5" t="n">
        <f aca="false">IF(C231&lt;&gt;C230,1,0)</f>
        <v>0</v>
      </c>
      <c r="E231" s="17" t="n">
        <f aca="false">IF(L230=1,CantPedido,0)</f>
        <v>15</v>
      </c>
      <c r="F231" s="5" t="n">
        <f aca="false">J230+E231</f>
        <v>20</v>
      </c>
      <c r="G231" s="5" t="n">
        <f aca="false">RANDBETWEEN(3,7)</f>
        <v>7</v>
      </c>
      <c r="H231" s="5" t="n">
        <f aca="false">MIN(F231,G231)</f>
        <v>7</v>
      </c>
      <c r="I231" s="5" t="n">
        <f aca="false">G231-H231</f>
        <v>0</v>
      </c>
      <c r="J231" s="5" t="n">
        <f aca="false">F231-H231</f>
        <v>13</v>
      </c>
      <c r="K231" s="5" t="n">
        <f aca="false">IF(I231&gt;0,1,0)</f>
        <v>0</v>
      </c>
      <c r="L231" s="5" t="n">
        <f aca="false">IF(J231&lt;PuntoReorden,1,0)</f>
        <v>0</v>
      </c>
      <c r="M231" s="18" t="n">
        <f aca="false">PrecioVenta*H231</f>
        <v>4760000</v>
      </c>
      <c r="N231" s="18" t="n">
        <f aca="false">CostoUnitario*E231</f>
        <v>9000000</v>
      </c>
      <c r="O231" s="18" t="n">
        <f aca="false">IF(E231&gt;0,CostoPedido,0)</f>
        <v>40000</v>
      </c>
      <c r="P231" s="18" t="n">
        <f aca="false">CostoAlm*(F231+J231)/2</f>
        <v>1320</v>
      </c>
      <c r="Q231" s="18" t="n">
        <f aca="false">CostoFijo*D231</f>
        <v>0</v>
      </c>
      <c r="R231" s="18" t="n">
        <f aca="false">M231-N231-O231-P231-Q231</f>
        <v>-4281320</v>
      </c>
    </row>
    <row r="232" customFormat="false" ht="15" hidden="false" customHeight="true" outlineLevel="0" collapsed="false">
      <c r="A232" s="5" t="n">
        <f aca="false">A231+1</f>
        <v>227</v>
      </c>
      <c r="B232" s="16" t="n">
        <f aca="false">B231+IF(WEEKDAY(B231,2)=6,2,1)</f>
        <v>46287</v>
      </c>
      <c r="C232" s="5" t="n">
        <f aca="false">MONTH(B232)</f>
        <v>9</v>
      </c>
      <c r="D232" s="5" t="n">
        <f aca="false">IF(C232&lt;&gt;C231,1,0)</f>
        <v>0</v>
      </c>
      <c r="E232" s="5" t="n">
        <f aca="false">IF(L231=1,CantPedido,0)</f>
        <v>0</v>
      </c>
      <c r="F232" s="5" t="n">
        <f aca="false">J231+E232</f>
        <v>13</v>
      </c>
      <c r="G232" s="5" t="n">
        <f aca="false">RANDBETWEEN(3,7)</f>
        <v>6</v>
      </c>
      <c r="H232" s="5" t="n">
        <f aca="false">MIN(F232,G232)</f>
        <v>6</v>
      </c>
      <c r="I232" s="5" t="n">
        <f aca="false">G232-H232</f>
        <v>0</v>
      </c>
      <c r="J232" s="5" t="n">
        <f aca="false">F232-H232</f>
        <v>7</v>
      </c>
      <c r="K232" s="5" t="n">
        <f aca="false">IF(I232&gt;0,1,0)</f>
        <v>0</v>
      </c>
      <c r="L232" s="5" t="n">
        <f aca="false">IF(J232&lt;PuntoReorden,1,0)</f>
        <v>0</v>
      </c>
      <c r="M232" s="18" t="n">
        <f aca="false">PrecioVenta*H232</f>
        <v>4080000</v>
      </c>
      <c r="N232" s="18" t="n">
        <f aca="false">CostoUnitario*E232</f>
        <v>0</v>
      </c>
      <c r="O232" s="18" t="n">
        <f aca="false">IF(E232&gt;0,CostoPedido,0)</f>
        <v>0</v>
      </c>
      <c r="P232" s="18" t="n">
        <f aca="false">CostoAlm*(F232+J232)/2</f>
        <v>800</v>
      </c>
      <c r="Q232" s="18" t="n">
        <f aca="false">CostoFijo*D232</f>
        <v>0</v>
      </c>
      <c r="R232" s="18" t="n">
        <f aca="false">M232-N232-O232-P232-Q232</f>
        <v>4079200</v>
      </c>
    </row>
    <row r="233" customFormat="false" ht="15" hidden="false" customHeight="true" outlineLevel="0" collapsed="false">
      <c r="A233" s="5" t="n">
        <f aca="false">A232+1</f>
        <v>228</v>
      </c>
      <c r="B233" s="16" t="n">
        <f aca="false">B232+IF(WEEKDAY(B232,2)=6,2,1)</f>
        <v>46288</v>
      </c>
      <c r="C233" s="5" t="n">
        <f aca="false">MONTH(B233)</f>
        <v>9</v>
      </c>
      <c r="D233" s="5" t="n">
        <f aca="false">IF(C233&lt;&gt;C232,1,0)</f>
        <v>0</v>
      </c>
      <c r="E233" s="17" t="n">
        <f aca="false">IF(L232=1,CantPedido,0)</f>
        <v>0</v>
      </c>
      <c r="F233" s="5" t="n">
        <f aca="false">J232+E233</f>
        <v>7</v>
      </c>
      <c r="G233" s="5" t="n">
        <f aca="false">RANDBETWEEN(3,7)</f>
        <v>7</v>
      </c>
      <c r="H233" s="5" t="n">
        <f aca="false">MIN(F233,G233)</f>
        <v>7</v>
      </c>
      <c r="I233" s="5" t="n">
        <f aca="false">G233-H233</f>
        <v>0</v>
      </c>
      <c r="J233" s="5" t="n">
        <f aca="false">F233-H233</f>
        <v>0</v>
      </c>
      <c r="K233" s="5" t="n">
        <f aca="false">IF(I233&gt;0,1,0)</f>
        <v>0</v>
      </c>
      <c r="L233" s="5" t="n">
        <f aca="false">IF(J233&lt;PuntoReorden,1,0)</f>
        <v>1</v>
      </c>
      <c r="M233" s="18" t="n">
        <f aca="false">PrecioVenta*H233</f>
        <v>4760000</v>
      </c>
      <c r="N233" s="18" t="n">
        <f aca="false">CostoUnitario*E233</f>
        <v>0</v>
      </c>
      <c r="O233" s="18" t="n">
        <f aca="false">IF(E233&gt;0,CostoPedido,0)</f>
        <v>0</v>
      </c>
      <c r="P233" s="18" t="n">
        <f aca="false">CostoAlm*(F233+J233)/2</f>
        <v>280</v>
      </c>
      <c r="Q233" s="18" t="n">
        <f aca="false">CostoFijo*D233</f>
        <v>0</v>
      </c>
      <c r="R233" s="18" t="n">
        <f aca="false">M233-N233-O233-P233-Q233</f>
        <v>4759720</v>
      </c>
    </row>
    <row r="234" customFormat="false" ht="15" hidden="false" customHeight="true" outlineLevel="0" collapsed="false">
      <c r="A234" s="5" t="n">
        <f aca="false">A233+1</f>
        <v>229</v>
      </c>
      <c r="B234" s="16" t="n">
        <f aca="false">B233+IF(WEEKDAY(B233,2)=6,2,1)</f>
        <v>46289</v>
      </c>
      <c r="C234" s="5" t="n">
        <f aca="false">MONTH(B234)</f>
        <v>9</v>
      </c>
      <c r="D234" s="5" t="n">
        <f aca="false">IF(C234&lt;&gt;C233,1,0)</f>
        <v>0</v>
      </c>
      <c r="E234" s="17" t="n">
        <f aca="false">IF(L233=1,CantPedido,0)</f>
        <v>15</v>
      </c>
      <c r="F234" s="5" t="n">
        <f aca="false">J233+E234</f>
        <v>15</v>
      </c>
      <c r="G234" s="5" t="n">
        <f aca="false">RANDBETWEEN(3,7)</f>
        <v>5</v>
      </c>
      <c r="H234" s="5" t="n">
        <f aca="false">MIN(F234,G234)</f>
        <v>5</v>
      </c>
      <c r="I234" s="5" t="n">
        <f aca="false">G234-H234</f>
        <v>0</v>
      </c>
      <c r="J234" s="5" t="n">
        <f aca="false">F234-H234</f>
        <v>10</v>
      </c>
      <c r="K234" s="5" t="n">
        <f aca="false">IF(I234&gt;0,1,0)</f>
        <v>0</v>
      </c>
      <c r="L234" s="5" t="n">
        <f aca="false">IF(J234&lt;PuntoReorden,1,0)</f>
        <v>0</v>
      </c>
      <c r="M234" s="18" t="n">
        <f aca="false">PrecioVenta*H234</f>
        <v>3400000</v>
      </c>
      <c r="N234" s="18" t="n">
        <f aca="false">CostoUnitario*E234</f>
        <v>9000000</v>
      </c>
      <c r="O234" s="18" t="n">
        <f aca="false">IF(E234&gt;0,CostoPedido,0)</f>
        <v>40000</v>
      </c>
      <c r="P234" s="18" t="n">
        <f aca="false">CostoAlm*(F234+J234)/2</f>
        <v>1000</v>
      </c>
      <c r="Q234" s="18" t="n">
        <f aca="false">CostoFijo*D234</f>
        <v>0</v>
      </c>
      <c r="R234" s="18" t="n">
        <f aca="false">M234-N234-O234-P234-Q234</f>
        <v>-5641000</v>
      </c>
    </row>
    <row r="235" customFormat="false" ht="15" hidden="false" customHeight="true" outlineLevel="0" collapsed="false">
      <c r="A235" s="5" t="n">
        <f aca="false">A234+1</f>
        <v>230</v>
      </c>
      <c r="B235" s="16" t="n">
        <f aca="false">B234+IF(WEEKDAY(B234,2)=6,2,1)</f>
        <v>46290</v>
      </c>
      <c r="C235" s="5" t="n">
        <f aca="false">MONTH(B235)</f>
        <v>9</v>
      </c>
      <c r="D235" s="5" t="n">
        <f aca="false">IF(C235&lt;&gt;C234,1,0)</f>
        <v>0</v>
      </c>
      <c r="E235" s="5" t="n">
        <f aca="false">IF(L234=1,CantPedido,0)</f>
        <v>0</v>
      </c>
      <c r="F235" s="5" t="n">
        <f aca="false">J234+E235</f>
        <v>10</v>
      </c>
      <c r="G235" s="5" t="n">
        <f aca="false">RANDBETWEEN(3,7)</f>
        <v>4</v>
      </c>
      <c r="H235" s="5" t="n">
        <f aca="false">MIN(F235,G235)</f>
        <v>4</v>
      </c>
      <c r="I235" s="5" t="n">
        <f aca="false">G235-H235</f>
        <v>0</v>
      </c>
      <c r="J235" s="5" t="n">
        <f aca="false">F235-H235</f>
        <v>6</v>
      </c>
      <c r="K235" s="5" t="n">
        <f aca="false">IF(I235&gt;0,1,0)</f>
        <v>0</v>
      </c>
      <c r="L235" s="5" t="n">
        <f aca="false">IF(J235&lt;PuntoReorden,1,0)</f>
        <v>1</v>
      </c>
      <c r="M235" s="18" t="n">
        <f aca="false">PrecioVenta*H235</f>
        <v>2720000</v>
      </c>
      <c r="N235" s="18" t="n">
        <f aca="false">CostoUnitario*E235</f>
        <v>0</v>
      </c>
      <c r="O235" s="18" t="n">
        <f aca="false">IF(E235&gt;0,CostoPedido,0)</f>
        <v>0</v>
      </c>
      <c r="P235" s="18" t="n">
        <f aca="false">CostoAlm*(F235+J235)/2</f>
        <v>640</v>
      </c>
      <c r="Q235" s="18" t="n">
        <f aca="false">CostoFijo*D235</f>
        <v>0</v>
      </c>
      <c r="R235" s="18" t="n">
        <f aca="false">M235-N235-O235-P235-Q235</f>
        <v>2719360</v>
      </c>
    </row>
    <row r="236" customFormat="false" ht="15" hidden="false" customHeight="true" outlineLevel="0" collapsed="false">
      <c r="A236" s="5" t="n">
        <f aca="false">A235+1</f>
        <v>231</v>
      </c>
      <c r="B236" s="16" t="n">
        <f aca="false">B235+IF(WEEKDAY(B235,2)=6,2,1)</f>
        <v>46291</v>
      </c>
      <c r="C236" s="5" t="n">
        <f aca="false">MONTH(B236)</f>
        <v>9</v>
      </c>
      <c r="D236" s="5" t="n">
        <f aca="false">IF(C236&lt;&gt;C235,1,0)</f>
        <v>0</v>
      </c>
      <c r="E236" s="17" t="n">
        <f aca="false">IF(L235=1,CantPedido,0)</f>
        <v>15</v>
      </c>
      <c r="F236" s="5" t="n">
        <f aca="false">J235+E236</f>
        <v>21</v>
      </c>
      <c r="G236" s="5" t="n">
        <f aca="false">RANDBETWEEN(3,7)</f>
        <v>4</v>
      </c>
      <c r="H236" s="5" t="n">
        <f aca="false">MIN(F236,G236)</f>
        <v>4</v>
      </c>
      <c r="I236" s="5" t="n">
        <f aca="false">G236-H236</f>
        <v>0</v>
      </c>
      <c r="J236" s="5" t="n">
        <f aca="false">F236-H236</f>
        <v>17</v>
      </c>
      <c r="K236" s="5" t="n">
        <f aca="false">IF(I236&gt;0,1,0)</f>
        <v>0</v>
      </c>
      <c r="L236" s="5" t="n">
        <f aca="false">IF(J236&lt;PuntoReorden,1,0)</f>
        <v>0</v>
      </c>
      <c r="M236" s="18" t="n">
        <f aca="false">PrecioVenta*H236</f>
        <v>2720000</v>
      </c>
      <c r="N236" s="18" t="n">
        <f aca="false">CostoUnitario*E236</f>
        <v>9000000</v>
      </c>
      <c r="O236" s="18" t="n">
        <f aca="false">IF(E236&gt;0,CostoPedido,0)</f>
        <v>40000</v>
      </c>
      <c r="P236" s="18" t="n">
        <f aca="false">CostoAlm*(F236+J236)/2</f>
        <v>1520</v>
      </c>
      <c r="Q236" s="18" t="n">
        <f aca="false">CostoFijo*D236</f>
        <v>0</v>
      </c>
      <c r="R236" s="18" t="n">
        <f aca="false">M236-N236-O236-P236-Q236</f>
        <v>-6321520</v>
      </c>
    </row>
    <row r="237" customFormat="false" ht="15" hidden="false" customHeight="true" outlineLevel="0" collapsed="false">
      <c r="A237" s="5" t="n">
        <f aca="false">A236+1</f>
        <v>232</v>
      </c>
      <c r="B237" s="16" t="n">
        <f aca="false">B236+IF(WEEKDAY(B236,2)=6,2,1)</f>
        <v>46293</v>
      </c>
      <c r="C237" s="5" t="n">
        <f aca="false">MONTH(B237)</f>
        <v>9</v>
      </c>
      <c r="D237" s="5" t="n">
        <f aca="false">IF(C237&lt;&gt;C236,1,0)</f>
        <v>0</v>
      </c>
      <c r="E237" s="5" t="n">
        <f aca="false">IF(L236=1,CantPedido,0)</f>
        <v>0</v>
      </c>
      <c r="F237" s="5" t="n">
        <f aca="false">J236+E237</f>
        <v>17</v>
      </c>
      <c r="G237" s="5" t="n">
        <f aca="false">RANDBETWEEN(3,7)</f>
        <v>4</v>
      </c>
      <c r="H237" s="5" t="n">
        <f aca="false">MIN(F237,G237)</f>
        <v>4</v>
      </c>
      <c r="I237" s="5" t="n">
        <f aca="false">G237-H237</f>
        <v>0</v>
      </c>
      <c r="J237" s="5" t="n">
        <f aca="false">F237-H237</f>
        <v>13</v>
      </c>
      <c r="K237" s="5" t="n">
        <f aca="false">IF(I237&gt;0,1,0)</f>
        <v>0</v>
      </c>
      <c r="L237" s="5" t="n">
        <f aca="false">IF(J237&lt;PuntoReorden,1,0)</f>
        <v>0</v>
      </c>
      <c r="M237" s="18" t="n">
        <f aca="false">PrecioVenta*H237</f>
        <v>2720000</v>
      </c>
      <c r="N237" s="18" t="n">
        <f aca="false">CostoUnitario*E237</f>
        <v>0</v>
      </c>
      <c r="O237" s="18" t="n">
        <f aca="false">IF(E237&gt;0,CostoPedido,0)</f>
        <v>0</v>
      </c>
      <c r="P237" s="18" t="n">
        <f aca="false">CostoAlm*(F237+J237)/2</f>
        <v>1200</v>
      </c>
      <c r="Q237" s="18" t="n">
        <f aca="false">CostoFijo*D237</f>
        <v>0</v>
      </c>
      <c r="R237" s="18" t="n">
        <f aca="false">M237-N237-O237-P237-Q237</f>
        <v>2718800</v>
      </c>
    </row>
    <row r="238" customFormat="false" ht="15" hidden="false" customHeight="true" outlineLevel="0" collapsed="false">
      <c r="A238" s="5" t="n">
        <f aca="false">A237+1</f>
        <v>233</v>
      </c>
      <c r="B238" s="16" t="n">
        <f aca="false">B237+IF(WEEKDAY(B237,2)=6,2,1)</f>
        <v>46294</v>
      </c>
      <c r="C238" s="5" t="n">
        <f aca="false">MONTH(B238)</f>
        <v>9</v>
      </c>
      <c r="D238" s="5" t="n">
        <f aca="false">IF(C238&lt;&gt;C237,1,0)</f>
        <v>0</v>
      </c>
      <c r="E238" s="5" t="n">
        <f aca="false">IF(L237=1,CantPedido,0)</f>
        <v>0</v>
      </c>
      <c r="F238" s="5" t="n">
        <f aca="false">J237+E238</f>
        <v>13</v>
      </c>
      <c r="G238" s="5" t="n">
        <f aca="false">RANDBETWEEN(3,7)</f>
        <v>7</v>
      </c>
      <c r="H238" s="5" t="n">
        <f aca="false">MIN(F238,G238)</f>
        <v>7</v>
      </c>
      <c r="I238" s="5" t="n">
        <f aca="false">G238-H238</f>
        <v>0</v>
      </c>
      <c r="J238" s="5" t="n">
        <f aca="false">F238-H238</f>
        <v>6</v>
      </c>
      <c r="K238" s="5" t="n">
        <f aca="false">IF(I238&gt;0,1,0)</f>
        <v>0</v>
      </c>
      <c r="L238" s="5" t="n">
        <f aca="false">IF(J238&lt;PuntoReorden,1,0)</f>
        <v>1</v>
      </c>
      <c r="M238" s="18" t="n">
        <f aca="false">PrecioVenta*H238</f>
        <v>4760000</v>
      </c>
      <c r="N238" s="18" t="n">
        <f aca="false">CostoUnitario*E238</f>
        <v>0</v>
      </c>
      <c r="O238" s="18" t="n">
        <f aca="false">IF(E238&gt;0,CostoPedido,0)</f>
        <v>0</v>
      </c>
      <c r="P238" s="18" t="n">
        <f aca="false">CostoAlm*(F238+J238)/2</f>
        <v>760</v>
      </c>
      <c r="Q238" s="18" t="n">
        <f aca="false">CostoFijo*D238</f>
        <v>0</v>
      </c>
      <c r="R238" s="18" t="n">
        <f aca="false">M238-N238-O238-P238-Q238</f>
        <v>4759240</v>
      </c>
    </row>
    <row r="239" customFormat="false" ht="15" hidden="false" customHeight="true" outlineLevel="0" collapsed="false">
      <c r="A239" s="5" t="n">
        <f aca="false">A238+1</f>
        <v>234</v>
      </c>
      <c r="B239" s="16" t="n">
        <f aca="false">B238+IF(WEEKDAY(B238,2)=6,2,1)</f>
        <v>46295</v>
      </c>
      <c r="C239" s="5" t="n">
        <f aca="false">MONTH(B239)</f>
        <v>9</v>
      </c>
      <c r="D239" s="5" t="n">
        <f aca="false">IF(C239&lt;&gt;C238,1,0)</f>
        <v>0</v>
      </c>
      <c r="E239" s="17" t="n">
        <f aca="false">IF(L238=1,CantPedido,0)</f>
        <v>15</v>
      </c>
      <c r="F239" s="5" t="n">
        <f aca="false">J238+E239</f>
        <v>21</v>
      </c>
      <c r="G239" s="5" t="n">
        <f aca="false">RANDBETWEEN(3,7)</f>
        <v>3</v>
      </c>
      <c r="H239" s="5" t="n">
        <f aca="false">MIN(F239,G239)</f>
        <v>3</v>
      </c>
      <c r="I239" s="5" t="n">
        <f aca="false">G239-H239</f>
        <v>0</v>
      </c>
      <c r="J239" s="5" t="n">
        <f aca="false">F239-H239</f>
        <v>18</v>
      </c>
      <c r="K239" s="5" t="n">
        <f aca="false">IF(I239&gt;0,1,0)</f>
        <v>0</v>
      </c>
      <c r="L239" s="5" t="n">
        <f aca="false">IF(J239&lt;PuntoReorden,1,0)</f>
        <v>0</v>
      </c>
      <c r="M239" s="18" t="n">
        <f aca="false">PrecioVenta*H239</f>
        <v>2040000</v>
      </c>
      <c r="N239" s="18" t="n">
        <f aca="false">CostoUnitario*E239</f>
        <v>9000000</v>
      </c>
      <c r="O239" s="18" t="n">
        <f aca="false">IF(E239&gt;0,CostoPedido,0)</f>
        <v>40000</v>
      </c>
      <c r="P239" s="18" t="n">
        <f aca="false">CostoAlm*(F239+J239)/2</f>
        <v>1560</v>
      </c>
      <c r="Q239" s="18" t="n">
        <f aca="false">CostoFijo*D239</f>
        <v>0</v>
      </c>
      <c r="R239" s="18" t="n">
        <f aca="false">M239-N239-O239-P239-Q239</f>
        <v>-7001560</v>
      </c>
    </row>
    <row r="240" customFormat="false" ht="15" hidden="false" customHeight="true" outlineLevel="0" collapsed="false">
      <c r="A240" s="5" t="n">
        <f aca="false">A239+1</f>
        <v>235</v>
      </c>
      <c r="B240" s="16" t="n">
        <f aca="false">B239+IF(WEEKDAY(B239,2)=6,2,1)</f>
        <v>46296</v>
      </c>
      <c r="C240" s="5" t="n">
        <f aca="false">MONTH(B240)</f>
        <v>10</v>
      </c>
      <c r="D240" s="5" t="n">
        <f aca="false">IF(C240&lt;&gt;C239,1,0)</f>
        <v>1</v>
      </c>
      <c r="E240" s="5" t="n">
        <f aca="false">IF(L239=1,CantPedido,0)</f>
        <v>0</v>
      </c>
      <c r="F240" s="5" t="n">
        <f aca="false">J239+E240</f>
        <v>18</v>
      </c>
      <c r="G240" s="5" t="n">
        <f aca="false">RANDBETWEEN(3,7)</f>
        <v>3</v>
      </c>
      <c r="H240" s="5" t="n">
        <f aca="false">MIN(F240,G240)</f>
        <v>3</v>
      </c>
      <c r="I240" s="5" t="n">
        <f aca="false">G240-H240</f>
        <v>0</v>
      </c>
      <c r="J240" s="5" t="n">
        <f aca="false">F240-H240</f>
        <v>15</v>
      </c>
      <c r="K240" s="5" t="n">
        <f aca="false">IF(I240&gt;0,1,0)</f>
        <v>0</v>
      </c>
      <c r="L240" s="5" t="n">
        <f aca="false">IF(J240&lt;PuntoReorden,1,0)</f>
        <v>0</v>
      </c>
      <c r="M240" s="18" t="n">
        <f aca="false">PrecioVenta*H240</f>
        <v>2040000</v>
      </c>
      <c r="N240" s="18" t="n">
        <f aca="false">CostoUnitario*E240</f>
        <v>0</v>
      </c>
      <c r="O240" s="18" t="n">
        <f aca="false">IF(E240&gt;0,CostoPedido,0)</f>
        <v>0</v>
      </c>
      <c r="P240" s="18" t="n">
        <f aca="false">CostoAlm*(F240+J240)/2</f>
        <v>1320</v>
      </c>
      <c r="Q240" s="18" t="n">
        <f aca="false">CostoFijo*D240</f>
        <v>1000000</v>
      </c>
      <c r="R240" s="18" t="n">
        <f aca="false">M240-N240-O240-P240-Q240</f>
        <v>1038680</v>
      </c>
    </row>
    <row r="241" customFormat="false" ht="15" hidden="false" customHeight="true" outlineLevel="0" collapsed="false">
      <c r="A241" s="5" t="n">
        <f aca="false">A240+1</f>
        <v>236</v>
      </c>
      <c r="B241" s="16" t="n">
        <f aca="false">B240+IF(WEEKDAY(B240,2)=6,2,1)</f>
        <v>46297</v>
      </c>
      <c r="C241" s="5" t="n">
        <f aca="false">MONTH(B241)</f>
        <v>10</v>
      </c>
      <c r="D241" s="5" t="n">
        <f aca="false">IF(C241&lt;&gt;C240,1,0)</f>
        <v>0</v>
      </c>
      <c r="E241" s="5" t="n">
        <f aca="false">IF(L240=1,CantPedido,0)</f>
        <v>0</v>
      </c>
      <c r="F241" s="5" t="n">
        <f aca="false">J240+E241</f>
        <v>15</v>
      </c>
      <c r="G241" s="5" t="n">
        <f aca="false">RANDBETWEEN(3,7)</f>
        <v>5</v>
      </c>
      <c r="H241" s="5" t="n">
        <f aca="false">MIN(F241,G241)</f>
        <v>5</v>
      </c>
      <c r="I241" s="5" t="n">
        <f aca="false">G241-H241</f>
        <v>0</v>
      </c>
      <c r="J241" s="5" t="n">
        <f aca="false">F241-H241</f>
        <v>10</v>
      </c>
      <c r="K241" s="5" t="n">
        <f aca="false">IF(I241&gt;0,1,0)</f>
        <v>0</v>
      </c>
      <c r="L241" s="5" t="n">
        <f aca="false">IF(J241&lt;PuntoReorden,1,0)</f>
        <v>0</v>
      </c>
      <c r="M241" s="18" t="n">
        <f aca="false">PrecioVenta*H241</f>
        <v>3400000</v>
      </c>
      <c r="N241" s="18" t="n">
        <f aca="false">CostoUnitario*E241</f>
        <v>0</v>
      </c>
      <c r="O241" s="18" t="n">
        <f aca="false">IF(E241&gt;0,CostoPedido,0)</f>
        <v>0</v>
      </c>
      <c r="P241" s="18" t="n">
        <f aca="false">CostoAlm*(F241+J241)/2</f>
        <v>1000</v>
      </c>
      <c r="Q241" s="18" t="n">
        <f aca="false">CostoFijo*D241</f>
        <v>0</v>
      </c>
      <c r="R241" s="18" t="n">
        <f aca="false">M241-N241-O241-P241-Q241</f>
        <v>3399000</v>
      </c>
    </row>
    <row r="242" customFormat="false" ht="15" hidden="false" customHeight="true" outlineLevel="0" collapsed="false">
      <c r="A242" s="5" t="n">
        <f aca="false">A241+1</f>
        <v>237</v>
      </c>
      <c r="B242" s="16" t="n">
        <f aca="false">B241+IF(WEEKDAY(B241,2)=6,2,1)</f>
        <v>46298</v>
      </c>
      <c r="C242" s="5" t="n">
        <f aca="false">MONTH(B242)</f>
        <v>10</v>
      </c>
      <c r="D242" s="5" t="n">
        <f aca="false">IF(C242&lt;&gt;C241,1,0)</f>
        <v>0</v>
      </c>
      <c r="E242" s="17" t="n">
        <f aca="false">IF(L241=1,CantPedido,0)</f>
        <v>0</v>
      </c>
      <c r="F242" s="5" t="n">
        <f aca="false">J241+E242</f>
        <v>10</v>
      </c>
      <c r="G242" s="5" t="n">
        <f aca="false">RANDBETWEEN(3,7)</f>
        <v>5</v>
      </c>
      <c r="H242" s="5" t="n">
        <f aca="false">MIN(F242,G242)</f>
        <v>5</v>
      </c>
      <c r="I242" s="5" t="n">
        <f aca="false">G242-H242</f>
        <v>0</v>
      </c>
      <c r="J242" s="5" t="n">
        <f aca="false">F242-H242</f>
        <v>5</v>
      </c>
      <c r="K242" s="5" t="n">
        <f aca="false">IF(I242&gt;0,1,0)</f>
        <v>0</v>
      </c>
      <c r="L242" s="5" t="n">
        <f aca="false">IF(J242&lt;PuntoReorden,1,0)</f>
        <v>1</v>
      </c>
      <c r="M242" s="18" t="n">
        <f aca="false">PrecioVenta*H242</f>
        <v>3400000</v>
      </c>
      <c r="N242" s="18" t="n">
        <f aca="false">CostoUnitario*E242</f>
        <v>0</v>
      </c>
      <c r="O242" s="18" t="n">
        <f aca="false">IF(E242&gt;0,CostoPedido,0)</f>
        <v>0</v>
      </c>
      <c r="P242" s="18" t="n">
        <f aca="false">CostoAlm*(F242+J242)/2</f>
        <v>600</v>
      </c>
      <c r="Q242" s="18" t="n">
        <f aca="false">CostoFijo*D242</f>
        <v>0</v>
      </c>
      <c r="R242" s="18" t="n">
        <f aca="false">M242-N242-O242-P242-Q242</f>
        <v>3399400</v>
      </c>
    </row>
    <row r="243" customFormat="false" ht="15" hidden="false" customHeight="true" outlineLevel="0" collapsed="false">
      <c r="A243" s="5" t="n">
        <f aca="false">A242+1</f>
        <v>238</v>
      </c>
      <c r="B243" s="16" t="n">
        <f aca="false">B242+IF(WEEKDAY(B242,2)=6,2,1)</f>
        <v>46300</v>
      </c>
      <c r="C243" s="5" t="n">
        <f aca="false">MONTH(B243)</f>
        <v>10</v>
      </c>
      <c r="D243" s="5" t="n">
        <f aca="false">IF(C243&lt;&gt;C242,1,0)</f>
        <v>0</v>
      </c>
      <c r="E243" s="17" t="n">
        <f aca="false">IF(L242=1,CantPedido,0)</f>
        <v>15</v>
      </c>
      <c r="F243" s="5" t="n">
        <f aca="false">J242+E243</f>
        <v>20</v>
      </c>
      <c r="G243" s="5" t="n">
        <f aca="false">RANDBETWEEN(3,7)</f>
        <v>5</v>
      </c>
      <c r="H243" s="5" t="n">
        <f aca="false">MIN(F243,G243)</f>
        <v>5</v>
      </c>
      <c r="I243" s="5" t="n">
        <f aca="false">G243-H243</f>
        <v>0</v>
      </c>
      <c r="J243" s="5" t="n">
        <f aca="false">F243-H243</f>
        <v>15</v>
      </c>
      <c r="K243" s="5" t="n">
        <f aca="false">IF(I243&gt;0,1,0)</f>
        <v>0</v>
      </c>
      <c r="L243" s="5" t="n">
        <f aca="false">IF(J243&lt;PuntoReorden,1,0)</f>
        <v>0</v>
      </c>
      <c r="M243" s="18" t="n">
        <f aca="false">PrecioVenta*H243</f>
        <v>3400000</v>
      </c>
      <c r="N243" s="18" t="n">
        <f aca="false">CostoUnitario*E243</f>
        <v>9000000</v>
      </c>
      <c r="O243" s="18" t="n">
        <f aca="false">IF(E243&gt;0,CostoPedido,0)</f>
        <v>40000</v>
      </c>
      <c r="P243" s="18" t="n">
        <f aca="false">CostoAlm*(F243+J243)/2</f>
        <v>1400</v>
      </c>
      <c r="Q243" s="18" t="n">
        <f aca="false">CostoFijo*D243</f>
        <v>0</v>
      </c>
      <c r="R243" s="18" t="n">
        <f aca="false">M243-N243-O243-P243-Q243</f>
        <v>-5641400</v>
      </c>
    </row>
    <row r="244" customFormat="false" ht="15" hidden="false" customHeight="true" outlineLevel="0" collapsed="false">
      <c r="A244" s="5" t="n">
        <f aca="false">A243+1</f>
        <v>239</v>
      </c>
      <c r="B244" s="16" t="n">
        <f aca="false">B243+IF(WEEKDAY(B243,2)=6,2,1)</f>
        <v>46301</v>
      </c>
      <c r="C244" s="5" t="n">
        <f aca="false">MONTH(B244)</f>
        <v>10</v>
      </c>
      <c r="D244" s="5" t="n">
        <f aca="false">IF(C244&lt;&gt;C243,1,0)</f>
        <v>0</v>
      </c>
      <c r="E244" s="5" t="n">
        <f aca="false">IF(L243=1,CantPedido,0)</f>
        <v>0</v>
      </c>
      <c r="F244" s="5" t="n">
        <f aca="false">J243+E244</f>
        <v>15</v>
      </c>
      <c r="G244" s="5" t="n">
        <f aca="false">RANDBETWEEN(3,7)</f>
        <v>5</v>
      </c>
      <c r="H244" s="5" t="n">
        <f aca="false">MIN(F244,G244)</f>
        <v>5</v>
      </c>
      <c r="I244" s="5" t="n">
        <f aca="false">G244-H244</f>
        <v>0</v>
      </c>
      <c r="J244" s="5" t="n">
        <f aca="false">F244-H244</f>
        <v>10</v>
      </c>
      <c r="K244" s="5" t="n">
        <f aca="false">IF(I244&gt;0,1,0)</f>
        <v>0</v>
      </c>
      <c r="L244" s="5" t="n">
        <f aca="false">IF(J244&lt;PuntoReorden,1,0)</f>
        <v>0</v>
      </c>
      <c r="M244" s="18" t="n">
        <f aca="false">PrecioVenta*H244</f>
        <v>3400000</v>
      </c>
      <c r="N244" s="18" t="n">
        <f aca="false">CostoUnitario*E244</f>
        <v>0</v>
      </c>
      <c r="O244" s="18" t="n">
        <f aca="false">IF(E244&gt;0,CostoPedido,0)</f>
        <v>0</v>
      </c>
      <c r="P244" s="18" t="n">
        <f aca="false">CostoAlm*(F244+J244)/2</f>
        <v>1000</v>
      </c>
      <c r="Q244" s="18" t="n">
        <f aca="false">CostoFijo*D244</f>
        <v>0</v>
      </c>
      <c r="R244" s="18" t="n">
        <f aca="false">M244-N244-O244-P244-Q244</f>
        <v>3399000</v>
      </c>
    </row>
    <row r="245" customFormat="false" ht="15" hidden="false" customHeight="true" outlineLevel="0" collapsed="false">
      <c r="A245" s="5" t="n">
        <f aca="false">A244+1</f>
        <v>240</v>
      </c>
      <c r="B245" s="16" t="n">
        <f aca="false">B244+IF(WEEKDAY(B244,2)=6,2,1)</f>
        <v>46302</v>
      </c>
      <c r="C245" s="5" t="n">
        <f aca="false">MONTH(B245)</f>
        <v>10</v>
      </c>
      <c r="D245" s="5" t="n">
        <f aca="false">IF(C245&lt;&gt;C244,1,0)</f>
        <v>0</v>
      </c>
      <c r="E245" s="5" t="n">
        <f aca="false">IF(L244=1,CantPedido,0)</f>
        <v>0</v>
      </c>
      <c r="F245" s="5" t="n">
        <f aca="false">J244+E245</f>
        <v>10</v>
      </c>
      <c r="G245" s="5" t="n">
        <f aca="false">RANDBETWEEN(3,7)</f>
        <v>4</v>
      </c>
      <c r="H245" s="5" t="n">
        <f aca="false">MIN(F245,G245)</f>
        <v>4</v>
      </c>
      <c r="I245" s="5" t="n">
        <f aca="false">G245-H245</f>
        <v>0</v>
      </c>
      <c r="J245" s="5" t="n">
        <f aca="false">F245-H245</f>
        <v>6</v>
      </c>
      <c r="K245" s="5" t="n">
        <f aca="false">IF(I245&gt;0,1,0)</f>
        <v>0</v>
      </c>
      <c r="L245" s="5" t="n">
        <f aca="false">IF(J245&lt;PuntoReorden,1,0)</f>
        <v>1</v>
      </c>
      <c r="M245" s="18" t="n">
        <f aca="false">PrecioVenta*H245</f>
        <v>2720000</v>
      </c>
      <c r="N245" s="18" t="n">
        <f aca="false">CostoUnitario*E245</f>
        <v>0</v>
      </c>
      <c r="O245" s="18" t="n">
        <f aca="false">IF(E245&gt;0,CostoPedido,0)</f>
        <v>0</v>
      </c>
      <c r="P245" s="18" t="n">
        <f aca="false">CostoAlm*(F245+J245)/2</f>
        <v>640</v>
      </c>
      <c r="Q245" s="18" t="n">
        <f aca="false">CostoFijo*D245</f>
        <v>0</v>
      </c>
      <c r="R245" s="18" t="n">
        <f aca="false">M245-N245-O245-P245-Q245</f>
        <v>2719360</v>
      </c>
    </row>
    <row r="246" customFormat="false" ht="15" hidden="false" customHeight="true" outlineLevel="0" collapsed="false">
      <c r="A246" s="5" t="n">
        <f aca="false">A245+1</f>
        <v>241</v>
      </c>
      <c r="B246" s="16" t="n">
        <f aca="false">B245+IF(WEEKDAY(B245,2)=6,2,1)</f>
        <v>46303</v>
      </c>
      <c r="C246" s="5" t="n">
        <f aca="false">MONTH(B246)</f>
        <v>10</v>
      </c>
      <c r="D246" s="5" t="n">
        <f aca="false">IF(C246&lt;&gt;C245,1,0)</f>
        <v>0</v>
      </c>
      <c r="E246" s="17" t="n">
        <f aca="false">IF(L245=1,CantPedido,0)</f>
        <v>15</v>
      </c>
      <c r="F246" s="5" t="n">
        <f aca="false">J245+E246</f>
        <v>21</v>
      </c>
      <c r="G246" s="5" t="n">
        <f aca="false">RANDBETWEEN(3,7)</f>
        <v>7</v>
      </c>
      <c r="H246" s="5" t="n">
        <f aca="false">MIN(F246,G246)</f>
        <v>7</v>
      </c>
      <c r="I246" s="5" t="n">
        <f aca="false">G246-H246</f>
        <v>0</v>
      </c>
      <c r="J246" s="5" t="n">
        <f aca="false">F246-H246</f>
        <v>14</v>
      </c>
      <c r="K246" s="5" t="n">
        <f aca="false">IF(I246&gt;0,1,0)</f>
        <v>0</v>
      </c>
      <c r="L246" s="5" t="n">
        <f aca="false">IF(J246&lt;PuntoReorden,1,0)</f>
        <v>0</v>
      </c>
      <c r="M246" s="18" t="n">
        <f aca="false">PrecioVenta*H246</f>
        <v>4760000</v>
      </c>
      <c r="N246" s="18" t="n">
        <f aca="false">CostoUnitario*E246</f>
        <v>9000000</v>
      </c>
      <c r="O246" s="18" t="n">
        <f aca="false">IF(E246&gt;0,CostoPedido,0)</f>
        <v>40000</v>
      </c>
      <c r="P246" s="18" t="n">
        <f aca="false">CostoAlm*(F246+J246)/2</f>
        <v>1400</v>
      </c>
      <c r="Q246" s="18" t="n">
        <f aca="false">CostoFijo*D246</f>
        <v>0</v>
      </c>
      <c r="R246" s="18" t="n">
        <f aca="false">M246-N246-O246-P246-Q246</f>
        <v>-4281400</v>
      </c>
    </row>
    <row r="247" customFormat="false" ht="15" hidden="false" customHeight="true" outlineLevel="0" collapsed="false">
      <c r="A247" s="5" t="n">
        <f aca="false">A246+1</f>
        <v>242</v>
      </c>
      <c r="B247" s="16" t="n">
        <f aca="false">B246+IF(WEEKDAY(B246,2)=6,2,1)</f>
        <v>46304</v>
      </c>
      <c r="C247" s="5" t="n">
        <f aca="false">MONTH(B247)</f>
        <v>10</v>
      </c>
      <c r="D247" s="5" t="n">
        <f aca="false">IF(C247&lt;&gt;C246,1,0)</f>
        <v>0</v>
      </c>
      <c r="E247" s="5" t="n">
        <f aca="false">IF(L246=1,CantPedido,0)</f>
        <v>0</v>
      </c>
      <c r="F247" s="5" t="n">
        <f aca="false">J246+E247</f>
        <v>14</v>
      </c>
      <c r="G247" s="5" t="n">
        <f aca="false">RANDBETWEEN(3,7)</f>
        <v>3</v>
      </c>
      <c r="H247" s="5" t="n">
        <f aca="false">MIN(F247,G247)</f>
        <v>3</v>
      </c>
      <c r="I247" s="5" t="n">
        <f aca="false">G247-H247</f>
        <v>0</v>
      </c>
      <c r="J247" s="5" t="n">
        <f aca="false">F247-H247</f>
        <v>11</v>
      </c>
      <c r="K247" s="5" t="n">
        <f aca="false">IF(I247&gt;0,1,0)</f>
        <v>0</v>
      </c>
      <c r="L247" s="5" t="n">
        <f aca="false">IF(J247&lt;PuntoReorden,1,0)</f>
        <v>0</v>
      </c>
      <c r="M247" s="18" t="n">
        <f aca="false">PrecioVenta*H247</f>
        <v>2040000</v>
      </c>
      <c r="N247" s="18" t="n">
        <f aca="false">CostoUnitario*E247</f>
        <v>0</v>
      </c>
      <c r="O247" s="18" t="n">
        <f aca="false">IF(E247&gt;0,CostoPedido,0)</f>
        <v>0</v>
      </c>
      <c r="P247" s="18" t="n">
        <f aca="false">CostoAlm*(F247+J247)/2</f>
        <v>1000</v>
      </c>
      <c r="Q247" s="18" t="n">
        <f aca="false">CostoFijo*D247</f>
        <v>0</v>
      </c>
      <c r="R247" s="18" t="n">
        <f aca="false">M247-N247-O247-P247-Q247</f>
        <v>2039000</v>
      </c>
    </row>
    <row r="248" customFormat="false" ht="15" hidden="false" customHeight="true" outlineLevel="0" collapsed="false">
      <c r="A248" s="5" t="n">
        <f aca="false">A247+1</f>
        <v>243</v>
      </c>
      <c r="B248" s="16" t="n">
        <f aca="false">B247+IF(WEEKDAY(B247,2)=6,2,1)</f>
        <v>46305</v>
      </c>
      <c r="C248" s="5" t="n">
        <f aca="false">MONTH(B248)</f>
        <v>10</v>
      </c>
      <c r="D248" s="5" t="n">
        <f aca="false">IF(C248&lt;&gt;C247,1,0)</f>
        <v>0</v>
      </c>
      <c r="E248" s="5" t="n">
        <f aca="false">IF(L247=1,CantPedido,0)</f>
        <v>0</v>
      </c>
      <c r="F248" s="5" t="n">
        <f aca="false">J247+E248</f>
        <v>11</v>
      </c>
      <c r="G248" s="5" t="n">
        <f aca="false">RANDBETWEEN(3,7)</f>
        <v>5</v>
      </c>
      <c r="H248" s="5" t="n">
        <f aca="false">MIN(F248,G248)</f>
        <v>5</v>
      </c>
      <c r="I248" s="5" t="n">
        <f aca="false">G248-H248</f>
        <v>0</v>
      </c>
      <c r="J248" s="5" t="n">
        <f aca="false">F248-H248</f>
        <v>6</v>
      </c>
      <c r="K248" s="5" t="n">
        <f aca="false">IF(I248&gt;0,1,0)</f>
        <v>0</v>
      </c>
      <c r="L248" s="5" t="n">
        <f aca="false">IF(J248&lt;PuntoReorden,1,0)</f>
        <v>1</v>
      </c>
      <c r="M248" s="18" t="n">
        <f aca="false">PrecioVenta*H248</f>
        <v>3400000</v>
      </c>
      <c r="N248" s="18" t="n">
        <f aca="false">CostoUnitario*E248</f>
        <v>0</v>
      </c>
      <c r="O248" s="18" t="n">
        <f aca="false">IF(E248&gt;0,CostoPedido,0)</f>
        <v>0</v>
      </c>
      <c r="P248" s="18" t="n">
        <f aca="false">CostoAlm*(F248+J248)/2</f>
        <v>680</v>
      </c>
      <c r="Q248" s="18" t="n">
        <f aca="false">CostoFijo*D248</f>
        <v>0</v>
      </c>
      <c r="R248" s="18" t="n">
        <f aca="false">M248-N248-O248-P248-Q248</f>
        <v>3399320</v>
      </c>
    </row>
    <row r="249" customFormat="false" ht="15" hidden="false" customHeight="true" outlineLevel="0" collapsed="false">
      <c r="A249" s="5" t="n">
        <f aca="false">A248+1</f>
        <v>244</v>
      </c>
      <c r="B249" s="16" t="n">
        <f aca="false">B248+IF(WEEKDAY(B248,2)=6,2,1)</f>
        <v>46307</v>
      </c>
      <c r="C249" s="5" t="n">
        <f aca="false">MONTH(B249)</f>
        <v>10</v>
      </c>
      <c r="D249" s="5" t="n">
        <f aca="false">IF(C249&lt;&gt;C248,1,0)</f>
        <v>0</v>
      </c>
      <c r="E249" s="17" t="n">
        <f aca="false">IF(L248=1,CantPedido,0)</f>
        <v>15</v>
      </c>
      <c r="F249" s="5" t="n">
        <f aca="false">J248+E249</f>
        <v>21</v>
      </c>
      <c r="G249" s="5" t="n">
        <f aca="false">RANDBETWEEN(3,7)</f>
        <v>3</v>
      </c>
      <c r="H249" s="5" t="n">
        <f aca="false">MIN(F249,G249)</f>
        <v>3</v>
      </c>
      <c r="I249" s="5" t="n">
        <f aca="false">G249-H249</f>
        <v>0</v>
      </c>
      <c r="J249" s="5" t="n">
        <f aca="false">F249-H249</f>
        <v>18</v>
      </c>
      <c r="K249" s="5" t="n">
        <f aca="false">IF(I249&gt;0,1,0)</f>
        <v>0</v>
      </c>
      <c r="L249" s="5" t="n">
        <f aca="false">IF(J249&lt;PuntoReorden,1,0)</f>
        <v>0</v>
      </c>
      <c r="M249" s="18" t="n">
        <f aca="false">PrecioVenta*H249</f>
        <v>2040000</v>
      </c>
      <c r="N249" s="18" t="n">
        <f aca="false">CostoUnitario*E249</f>
        <v>9000000</v>
      </c>
      <c r="O249" s="18" t="n">
        <f aca="false">IF(E249&gt;0,CostoPedido,0)</f>
        <v>40000</v>
      </c>
      <c r="P249" s="18" t="n">
        <f aca="false">CostoAlm*(F249+J249)/2</f>
        <v>1560</v>
      </c>
      <c r="Q249" s="18" t="n">
        <f aca="false">CostoFijo*D249</f>
        <v>0</v>
      </c>
      <c r="R249" s="18" t="n">
        <f aca="false">M249-N249-O249-P249-Q249</f>
        <v>-7001560</v>
      </c>
    </row>
    <row r="250" customFormat="false" ht="15" hidden="false" customHeight="true" outlineLevel="0" collapsed="false">
      <c r="A250" s="5" t="n">
        <f aca="false">A249+1</f>
        <v>245</v>
      </c>
      <c r="B250" s="16" t="n">
        <f aca="false">B249+IF(WEEKDAY(B249,2)=6,2,1)</f>
        <v>46308</v>
      </c>
      <c r="C250" s="5" t="n">
        <f aca="false">MONTH(B250)</f>
        <v>10</v>
      </c>
      <c r="D250" s="5" t="n">
        <f aca="false">IF(C250&lt;&gt;C249,1,0)</f>
        <v>0</v>
      </c>
      <c r="E250" s="5" t="n">
        <f aca="false">IF(L249=1,CantPedido,0)</f>
        <v>0</v>
      </c>
      <c r="F250" s="5" t="n">
        <f aca="false">J249+E250</f>
        <v>18</v>
      </c>
      <c r="G250" s="5" t="n">
        <f aca="false">RANDBETWEEN(3,7)</f>
        <v>4</v>
      </c>
      <c r="H250" s="5" t="n">
        <f aca="false">MIN(F250,G250)</f>
        <v>4</v>
      </c>
      <c r="I250" s="5" t="n">
        <f aca="false">G250-H250</f>
        <v>0</v>
      </c>
      <c r="J250" s="5" t="n">
        <f aca="false">F250-H250</f>
        <v>14</v>
      </c>
      <c r="K250" s="5" t="n">
        <f aca="false">IF(I250&gt;0,1,0)</f>
        <v>0</v>
      </c>
      <c r="L250" s="5" t="n">
        <f aca="false">IF(J250&lt;PuntoReorden,1,0)</f>
        <v>0</v>
      </c>
      <c r="M250" s="18" t="n">
        <f aca="false">PrecioVenta*H250</f>
        <v>2720000</v>
      </c>
      <c r="N250" s="18" t="n">
        <f aca="false">CostoUnitario*E250</f>
        <v>0</v>
      </c>
      <c r="O250" s="18" t="n">
        <f aca="false">IF(E250&gt;0,CostoPedido,0)</f>
        <v>0</v>
      </c>
      <c r="P250" s="18" t="n">
        <f aca="false">CostoAlm*(F250+J250)/2</f>
        <v>1280</v>
      </c>
      <c r="Q250" s="18" t="n">
        <f aca="false">CostoFijo*D250</f>
        <v>0</v>
      </c>
      <c r="R250" s="18" t="n">
        <f aca="false">M250-N250-O250-P250-Q250</f>
        <v>2718720</v>
      </c>
    </row>
    <row r="251" customFormat="false" ht="15" hidden="false" customHeight="true" outlineLevel="0" collapsed="false">
      <c r="A251" s="5" t="n">
        <f aca="false">A250+1</f>
        <v>246</v>
      </c>
      <c r="B251" s="16" t="n">
        <f aca="false">B250+IF(WEEKDAY(B250,2)=6,2,1)</f>
        <v>46309</v>
      </c>
      <c r="C251" s="5" t="n">
        <f aca="false">MONTH(B251)</f>
        <v>10</v>
      </c>
      <c r="D251" s="5" t="n">
        <f aca="false">IF(C251&lt;&gt;C250,1,0)</f>
        <v>0</v>
      </c>
      <c r="E251" s="17" t="n">
        <f aca="false">IF(L250=1,CantPedido,0)</f>
        <v>0</v>
      </c>
      <c r="F251" s="5" t="n">
        <f aca="false">J250+E251</f>
        <v>14</v>
      </c>
      <c r="G251" s="5" t="n">
        <f aca="false">RANDBETWEEN(3,7)</f>
        <v>7</v>
      </c>
      <c r="H251" s="5" t="n">
        <f aca="false">MIN(F251,G251)</f>
        <v>7</v>
      </c>
      <c r="I251" s="5" t="n">
        <f aca="false">G251-H251</f>
        <v>0</v>
      </c>
      <c r="J251" s="5" t="n">
        <f aca="false">F251-H251</f>
        <v>7</v>
      </c>
      <c r="K251" s="5" t="n">
        <f aca="false">IF(I251&gt;0,1,0)</f>
        <v>0</v>
      </c>
      <c r="L251" s="5" t="n">
        <f aca="false">IF(J251&lt;PuntoReorden,1,0)</f>
        <v>0</v>
      </c>
      <c r="M251" s="18" t="n">
        <f aca="false">PrecioVenta*H251</f>
        <v>4760000</v>
      </c>
      <c r="N251" s="18" t="n">
        <f aca="false">CostoUnitario*E251</f>
        <v>0</v>
      </c>
      <c r="O251" s="18" t="n">
        <f aca="false">IF(E251&gt;0,CostoPedido,0)</f>
        <v>0</v>
      </c>
      <c r="P251" s="18" t="n">
        <f aca="false">CostoAlm*(F251+J251)/2</f>
        <v>840</v>
      </c>
      <c r="Q251" s="18" t="n">
        <f aca="false">CostoFijo*D251</f>
        <v>0</v>
      </c>
      <c r="R251" s="18" t="n">
        <f aca="false">M251-N251-O251-P251-Q251</f>
        <v>4759160</v>
      </c>
    </row>
    <row r="252" customFormat="false" ht="15" hidden="false" customHeight="true" outlineLevel="0" collapsed="false">
      <c r="A252" s="5" t="n">
        <f aca="false">A251+1</f>
        <v>247</v>
      </c>
      <c r="B252" s="16" t="n">
        <f aca="false">B251+IF(WEEKDAY(B251,2)=6,2,1)</f>
        <v>46310</v>
      </c>
      <c r="C252" s="5" t="n">
        <f aca="false">MONTH(B252)</f>
        <v>10</v>
      </c>
      <c r="D252" s="5" t="n">
        <f aca="false">IF(C252&lt;&gt;C251,1,0)</f>
        <v>0</v>
      </c>
      <c r="E252" s="5" t="n">
        <f aca="false">IF(L251=1,CantPedido,0)</f>
        <v>0</v>
      </c>
      <c r="F252" s="5" t="n">
        <f aca="false">J251+E252</f>
        <v>7</v>
      </c>
      <c r="G252" s="5" t="n">
        <f aca="false">RANDBETWEEN(3,7)</f>
        <v>4</v>
      </c>
      <c r="H252" s="5" t="n">
        <f aca="false">MIN(F252,G252)</f>
        <v>4</v>
      </c>
      <c r="I252" s="5" t="n">
        <f aca="false">G252-H252</f>
        <v>0</v>
      </c>
      <c r="J252" s="5" t="n">
        <f aca="false">F252-H252</f>
        <v>3</v>
      </c>
      <c r="K252" s="5" t="n">
        <f aca="false">IF(I252&gt;0,1,0)</f>
        <v>0</v>
      </c>
      <c r="L252" s="5" t="n">
        <f aca="false">IF(J252&lt;PuntoReorden,1,0)</f>
        <v>1</v>
      </c>
      <c r="M252" s="18" t="n">
        <f aca="false">PrecioVenta*H252</f>
        <v>2720000</v>
      </c>
      <c r="N252" s="18" t="n">
        <f aca="false">CostoUnitario*E252</f>
        <v>0</v>
      </c>
      <c r="O252" s="18" t="n">
        <f aca="false">IF(E252&gt;0,CostoPedido,0)</f>
        <v>0</v>
      </c>
      <c r="P252" s="18" t="n">
        <f aca="false">CostoAlm*(F252+J252)/2</f>
        <v>400</v>
      </c>
      <c r="Q252" s="18" t="n">
        <f aca="false">CostoFijo*D252</f>
        <v>0</v>
      </c>
      <c r="R252" s="18" t="n">
        <f aca="false">M252-N252-O252-P252-Q252</f>
        <v>2719600</v>
      </c>
    </row>
    <row r="253" customFormat="false" ht="15" hidden="false" customHeight="true" outlineLevel="0" collapsed="false">
      <c r="A253" s="5" t="n">
        <f aca="false">A252+1</f>
        <v>248</v>
      </c>
      <c r="B253" s="16" t="n">
        <f aca="false">B252+IF(WEEKDAY(B252,2)=6,2,1)</f>
        <v>46311</v>
      </c>
      <c r="C253" s="5" t="n">
        <f aca="false">MONTH(B253)</f>
        <v>10</v>
      </c>
      <c r="D253" s="5" t="n">
        <f aca="false">IF(C253&lt;&gt;C252,1,0)</f>
        <v>0</v>
      </c>
      <c r="E253" s="17" t="n">
        <f aca="false">IF(L252=1,CantPedido,0)</f>
        <v>15</v>
      </c>
      <c r="F253" s="5" t="n">
        <f aca="false">J252+E253</f>
        <v>18</v>
      </c>
      <c r="G253" s="5" t="n">
        <f aca="false">RANDBETWEEN(3,7)</f>
        <v>7</v>
      </c>
      <c r="H253" s="5" t="n">
        <f aca="false">MIN(F253,G253)</f>
        <v>7</v>
      </c>
      <c r="I253" s="5" t="n">
        <f aca="false">G253-H253</f>
        <v>0</v>
      </c>
      <c r="J253" s="5" t="n">
        <f aca="false">F253-H253</f>
        <v>11</v>
      </c>
      <c r="K253" s="5" t="n">
        <f aca="false">IF(I253&gt;0,1,0)</f>
        <v>0</v>
      </c>
      <c r="L253" s="5" t="n">
        <f aca="false">IF(J253&lt;PuntoReorden,1,0)</f>
        <v>0</v>
      </c>
      <c r="M253" s="18" t="n">
        <f aca="false">PrecioVenta*H253</f>
        <v>4760000</v>
      </c>
      <c r="N253" s="18" t="n">
        <f aca="false">CostoUnitario*E253</f>
        <v>9000000</v>
      </c>
      <c r="O253" s="18" t="n">
        <f aca="false">IF(E253&gt;0,CostoPedido,0)</f>
        <v>40000</v>
      </c>
      <c r="P253" s="18" t="n">
        <f aca="false">CostoAlm*(F253+J253)/2</f>
        <v>1160</v>
      </c>
      <c r="Q253" s="18" t="n">
        <f aca="false">CostoFijo*D253</f>
        <v>0</v>
      </c>
      <c r="R253" s="18" t="n">
        <f aca="false">M253-N253-O253-P253-Q253</f>
        <v>-4281160</v>
      </c>
    </row>
    <row r="254" customFormat="false" ht="15" hidden="false" customHeight="true" outlineLevel="0" collapsed="false">
      <c r="A254" s="5" t="n">
        <f aca="false">A253+1</f>
        <v>249</v>
      </c>
      <c r="B254" s="16" t="n">
        <f aca="false">B253+IF(WEEKDAY(B253,2)=6,2,1)</f>
        <v>46312</v>
      </c>
      <c r="C254" s="5" t="n">
        <f aca="false">MONTH(B254)</f>
        <v>10</v>
      </c>
      <c r="D254" s="5" t="n">
        <f aca="false">IF(C254&lt;&gt;C253,1,0)</f>
        <v>0</v>
      </c>
      <c r="E254" s="17" t="n">
        <f aca="false">IF(L253=1,CantPedido,0)</f>
        <v>0</v>
      </c>
      <c r="F254" s="5" t="n">
        <f aca="false">J253+E254</f>
        <v>11</v>
      </c>
      <c r="G254" s="5" t="n">
        <f aca="false">RANDBETWEEN(3,7)</f>
        <v>7</v>
      </c>
      <c r="H254" s="5" t="n">
        <f aca="false">MIN(F254,G254)</f>
        <v>7</v>
      </c>
      <c r="I254" s="5" t="n">
        <f aca="false">G254-H254</f>
        <v>0</v>
      </c>
      <c r="J254" s="5" t="n">
        <f aca="false">F254-H254</f>
        <v>4</v>
      </c>
      <c r="K254" s="5" t="n">
        <f aca="false">IF(I254&gt;0,1,0)</f>
        <v>0</v>
      </c>
      <c r="L254" s="5" t="n">
        <f aca="false">IF(J254&lt;PuntoReorden,1,0)</f>
        <v>1</v>
      </c>
      <c r="M254" s="18" t="n">
        <f aca="false">PrecioVenta*H254</f>
        <v>4760000</v>
      </c>
      <c r="N254" s="18" t="n">
        <f aca="false">CostoUnitario*E254</f>
        <v>0</v>
      </c>
      <c r="O254" s="18" t="n">
        <f aca="false">IF(E254&gt;0,CostoPedido,0)</f>
        <v>0</v>
      </c>
      <c r="P254" s="18" t="n">
        <f aca="false">CostoAlm*(F254+J254)/2</f>
        <v>600</v>
      </c>
      <c r="Q254" s="18" t="n">
        <f aca="false">CostoFijo*D254</f>
        <v>0</v>
      </c>
      <c r="R254" s="18" t="n">
        <f aca="false">M254-N254-O254-P254-Q254</f>
        <v>4759400</v>
      </c>
    </row>
    <row r="255" customFormat="false" ht="15" hidden="false" customHeight="true" outlineLevel="0" collapsed="false">
      <c r="A255" s="5" t="n">
        <f aca="false">A254+1</f>
        <v>250</v>
      </c>
      <c r="B255" s="16" t="n">
        <f aca="false">B254+IF(WEEKDAY(B254,2)=6,2,1)</f>
        <v>46314</v>
      </c>
      <c r="C255" s="5" t="n">
        <f aca="false">MONTH(B255)</f>
        <v>10</v>
      </c>
      <c r="D255" s="5" t="n">
        <f aca="false">IF(C255&lt;&gt;C254,1,0)</f>
        <v>0</v>
      </c>
      <c r="E255" s="17" t="n">
        <f aca="false">IF(L254=1,CantPedido,0)</f>
        <v>15</v>
      </c>
      <c r="F255" s="5" t="n">
        <f aca="false">J254+E255</f>
        <v>19</v>
      </c>
      <c r="G255" s="5" t="n">
        <f aca="false">RANDBETWEEN(3,7)</f>
        <v>4</v>
      </c>
      <c r="H255" s="5" t="n">
        <f aca="false">MIN(F255,G255)</f>
        <v>4</v>
      </c>
      <c r="I255" s="5" t="n">
        <f aca="false">G255-H255</f>
        <v>0</v>
      </c>
      <c r="J255" s="5" t="n">
        <f aca="false">F255-H255</f>
        <v>15</v>
      </c>
      <c r="K255" s="5" t="n">
        <f aca="false">IF(I255&gt;0,1,0)</f>
        <v>0</v>
      </c>
      <c r="L255" s="5" t="n">
        <f aca="false">IF(J255&lt;PuntoReorden,1,0)</f>
        <v>0</v>
      </c>
      <c r="M255" s="18" t="n">
        <f aca="false">PrecioVenta*H255</f>
        <v>2720000</v>
      </c>
      <c r="N255" s="18" t="n">
        <f aca="false">CostoUnitario*E255</f>
        <v>9000000</v>
      </c>
      <c r="O255" s="18" t="n">
        <f aca="false">IF(E255&gt;0,CostoPedido,0)</f>
        <v>40000</v>
      </c>
      <c r="P255" s="18" t="n">
        <f aca="false">CostoAlm*(F255+J255)/2</f>
        <v>1360</v>
      </c>
      <c r="Q255" s="18" t="n">
        <f aca="false">CostoFijo*D255</f>
        <v>0</v>
      </c>
      <c r="R255" s="18" t="n">
        <f aca="false">M255-N255-O255-P255-Q255</f>
        <v>-6321360</v>
      </c>
    </row>
    <row r="256" customFormat="false" ht="15" hidden="false" customHeight="true" outlineLevel="0" collapsed="false">
      <c r="A256" s="5" t="n">
        <f aca="false">A255+1</f>
        <v>251</v>
      </c>
      <c r="B256" s="16" t="n">
        <f aca="false">B255+IF(WEEKDAY(B255,2)=6,2,1)</f>
        <v>46315</v>
      </c>
      <c r="C256" s="5" t="n">
        <f aca="false">MONTH(B256)</f>
        <v>10</v>
      </c>
      <c r="D256" s="5" t="n">
        <f aca="false">IF(C256&lt;&gt;C255,1,0)</f>
        <v>0</v>
      </c>
      <c r="E256" s="5" t="n">
        <f aca="false">IF(L255=1,CantPedido,0)</f>
        <v>0</v>
      </c>
      <c r="F256" s="5" t="n">
        <f aca="false">J255+E256</f>
        <v>15</v>
      </c>
      <c r="G256" s="5" t="n">
        <f aca="false">RANDBETWEEN(3,7)</f>
        <v>3</v>
      </c>
      <c r="H256" s="5" t="n">
        <f aca="false">MIN(F256,G256)</f>
        <v>3</v>
      </c>
      <c r="I256" s="5" t="n">
        <f aca="false">G256-H256</f>
        <v>0</v>
      </c>
      <c r="J256" s="5" t="n">
        <f aca="false">F256-H256</f>
        <v>12</v>
      </c>
      <c r="K256" s="5" t="n">
        <f aca="false">IF(I256&gt;0,1,0)</f>
        <v>0</v>
      </c>
      <c r="L256" s="5" t="n">
        <f aca="false">IF(J256&lt;PuntoReorden,1,0)</f>
        <v>0</v>
      </c>
      <c r="M256" s="18" t="n">
        <f aca="false">PrecioVenta*H256</f>
        <v>2040000</v>
      </c>
      <c r="N256" s="18" t="n">
        <f aca="false">CostoUnitario*E256</f>
        <v>0</v>
      </c>
      <c r="O256" s="18" t="n">
        <f aca="false">IF(E256&gt;0,CostoPedido,0)</f>
        <v>0</v>
      </c>
      <c r="P256" s="18" t="n">
        <f aca="false">CostoAlm*(F256+J256)/2</f>
        <v>1080</v>
      </c>
      <c r="Q256" s="18" t="n">
        <f aca="false">CostoFijo*D256</f>
        <v>0</v>
      </c>
      <c r="R256" s="18" t="n">
        <f aca="false">M256-N256-O256-P256-Q256</f>
        <v>2038920</v>
      </c>
    </row>
    <row r="257" customFormat="false" ht="15" hidden="false" customHeight="true" outlineLevel="0" collapsed="false">
      <c r="A257" s="5" t="n">
        <f aca="false">A256+1</f>
        <v>252</v>
      </c>
      <c r="B257" s="16" t="n">
        <f aca="false">B256+IF(WEEKDAY(B256,2)=6,2,1)</f>
        <v>46316</v>
      </c>
      <c r="C257" s="5" t="n">
        <f aca="false">MONTH(B257)</f>
        <v>10</v>
      </c>
      <c r="D257" s="5" t="n">
        <f aca="false">IF(C257&lt;&gt;C256,1,0)</f>
        <v>0</v>
      </c>
      <c r="E257" s="17" t="n">
        <f aca="false">IF(L256=1,CantPedido,0)</f>
        <v>0</v>
      </c>
      <c r="F257" s="5" t="n">
        <f aca="false">J256+E257</f>
        <v>12</v>
      </c>
      <c r="G257" s="5" t="n">
        <f aca="false">RANDBETWEEN(3,7)</f>
        <v>6</v>
      </c>
      <c r="H257" s="5" t="n">
        <f aca="false">MIN(F257,G257)</f>
        <v>6</v>
      </c>
      <c r="I257" s="5" t="n">
        <f aca="false">G257-H257</f>
        <v>0</v>
      </c>
      <c r="J257" s="5" t="n">
        <f aca="false">F257-H257</f>
        <v>6</v>
      </c>
      <c r="K257" s="5" t="n">
        <f aca="false">IF(I257&gt;0,1,0)</f>
        <v>0</v>
      </c>
      <c r="L257" s="5" t="n">
        <f aca="false">IF(J257&lt;PuntoReorden,1,0)</f>
        <v>1</v>
      </c>
      <c r="M257" s="18" t="n">
        <f aca="false">PrecioVenta*H257</f>
        <v>4080000</v>
      </c>
      <c r="N257" s="18" t="n">
        <f aca="false">CostoUnitario*E257</f>
        <v>0</v>
      </c>
      <c r="O257" s="18" t="n">
        <f aca="false">IF(E257&gt;0,CostoPedido,0)</f>
        <v>0</v>
      </c>
      <c r="P257" s="18" t="n">
        <f aca="false">CostoAlm*(F257+J257)/2</f>
        <v>720</v>
      </c>
      <c r="Q257" s="18" t="n">
        <f aca="false">CostoFijo*D257</f>
        <v>0</v>
      </c>
      <c r="R257" s="18" t="n">
        <f aca="false">M257-N257-O257-P257-Q257</f>
        <v>4079280</v>
      </c>
    </row>
    <row r="258" customFormat="false" ht="15" hidden="false" customHeight="true" outlineLevel="0" collapsed="false">
      <c r="A258" s="5" t="n">
        <f aca="false">A257+1</f>
        <v>253</v>
      </c>
      <c r="B258" s="16" t="n">
        <f aca="false">B257+IF(WEEKDAY(B257,2)=6,2,1)</f>
        <v>46317</v>
      </c>
      <c r="C258" s="5" t="n">
        <f aca="false">MONTH(B258)</f>
        <v>10</v>
      </c>
      <c r="D258" s="5" t="n">
        <f aca="false">IF(C258&lt;&gt;C257,1,0)</f>
        <v>0</v>
      </c>
      <c r="E258" s="17" t="n">
        <f aca="false">IF(L257=1,CantPedido,0)</f>
        <v>15</v>
      </c>
      <c r="F258" s="5" t="n">
        <f aca="false">J257+E258</f>
        <v>21</v>
      </c>
      <c r="G258" s="5" t="n">
        <f aca="false">RANDBETWEEN(3,7)</f>
        <v>5</v>
      </c>
      <c r="H258" s="5" t="n">
        <f aca="false">MIN(F258,G258)</f>
        <v>5</v>
      </c>
      <c r="I258" s="5" t="n">
        <f aca="false">G258-H258</f>
        <v>0</v>
      </c>
      <c r="J258" s="5" t="n">
        <f aca="false">F258-H258</f>
        <v>16</v>
      </c>
      <c r="K258" s="5" t="n">
        <f aca="false">IF(I258&gt;0,1,0)</f>
        <v>0</v>
      </c>
      <c r="L258" s="5" t="n">
        <f aca="false">IF(J258&lt;PuntoReorden,1,0)</f>
        <v>0</v>
      </c>
      <c r="M258" s="18" t="n">
        <f aca="false">PrecioVenta*H258</f>
        <v>3400000</v>
      </c>
      <c r="N258" s="18" t="n">
        <f aca="false">CostoUnitario*E258</f>
        <v>9000000</v>
      </c>
      <c r="O258" s="18" t="n">
        <f aca="false">IF(E258&gt;0,CostoPedido,0)</f>
        <v>40000</v>
      </c>
      <c r="P258" s="18" t="n">
        <f aca="false">CostoAlm*(F258+J258)/2</f>
        <v>1480</v>
      </c>
      <c r="Q258" s="18" t="n">
        <f aca="false">CostoFijo*D258</f>
        <v>0</v>
      </c>
      <c r="R258" s="18" t="n">
        <f aca="false">M258-N258-O258-P258-Q258</f>
        <v>-5641480</v>
      </c>
    </row>
    <row r="259" customFormat="false" ht="15" hidden="false" customHeight="true" outlineLevel="0" collapsed="false">
      <c r="A259" s="5" t="n">
        <f aca="false">A258+1</f>
        <v>254</v>
      </c>
      <c r="B259" s="16" t="n">
        <f aca="false">B258+IF(WEEKDAY(B258,2)=6,2,1)</f>
        <v>46318</v>
      </c>
      <c r="C259" s="5" t="n">
        <f aca="false">MONTH(B259)</f>
        <v>10</v>
      </c>
      <c r="D259" s="5" t="n">
        <f aca="false">IF(C259&lt;&gt;C258,1,0)</f>
        <v>0</v>
      </c>
      <c r="E259" s="5" t="n">
        <f aca="false">IF(L258=1,CantPedido,0)</f>
        <v>0</v>
      </c>
      <c r="F259" s="5" t="n">
        <f aca="false">J258+E259</f>
        <v>16</v>
      </c>
      <c r="G259" s="5" t="n">
        <f aca="false">RANDBETWEEN(3,7)</f>
        <v>6</v>
      </c>
      <c r="H259" s="5" t="n">
        <f aca="false">MIN(F259,G259)</f>
        <v>6</v>
      </c>
      <c r="I259" s="5" t="n">
        <f aca="false">G259-H259</f>
        <v>0</v>
      </c>
      <c r="J259" s="5" t="n">
        <f aca="false">F259-H259</f>
        <v>10</v>
      </c>
      <c r="K259" s="5" t="n">
        <f aca="false">IF(I259&gt;0,1,0)</f>
        <v>0</v>
      </c>
      <c r="L259" s="5" t="n">
        <f aca="false">IF(J259&lt;PuntoReorden,1,0)</f>
        <v>0</v>
      </c>
      <c r="M259" s="18" t="n">
        <f aca="false">PrecioVenta*H259</f>
        <v>4080000</v>
      </c>
      <c r="N259" s="18" t="n">
        <f aca="false">CostoUnitario*E259</f>
        <v>0</v>
      </c>
      <c r="O259" s="18" t="n">
        <f aca="false">IF(E259&gt;0,CostoPedido,0)</f>
        <v>0</v>
      </c>
      <c r="P259" s="18" t="n">
        <f aca="false">CostoAlm*(F259+J259)/2</f>
        <v>1040</v>
      </c>
      <c r="Q259" s="18" t="n">
        <f aca="false">CostoFijo*D259</f>
        <v>0</v>
      </c>
      <c r="R259" s="18" t="n">
        <f aca="false">M259-N259-O259-P259-Q259</f>
        <v>4078960</v>
      </c>
    </row>
    <row r="260" customFormat="false" ht="15" hidden="false" customHeight="true" outlineLevel="0" collapsed="false">
      <c r="A260" s="5" t="n">
        <f aca="false">A259+1</f>
        <v>255</v>
      </c>
      <c r="B260" s="16" t="n">
        <f aca="false">B259+IF(WEEKDAY(B259,2)=6,2,1)</f>
        <v>46319</v>
      </c>
      <c r="C260" s="5" t="n">
        <f aca="false">MONTH(B260)</f>
        <v>10</v>
      </c>
      <c r="D260" s="5" t="n">
        <f aca="false">IF(C260&lt;&gt;C259,1,0)</f>
        <v>0</v>
      </c>
      <c r="E260" s="5" t="n">
        <f aca="false">IF(L259=1,CantPedido,0)</f>
        <v>0</v>
      </c>
      <c r="F260" s="5" t="n">
        <f aca="false">J259+E260</f>
        <v>10</v>
      </c>
      <c r="G260" s="5" t="n">
        <f aca="false">RANDBETWEEN(3,7)</f>
        <v>5</v>
      </c>
      <c r="H260" s="5" t="n">
        <f aca="false">MIN(F260,G260)</f>
        <v>5</v>
      </c>
      <c r="I260" s="5" t="n">
        <f aca="false">G260-H260</f>
        <v>0</v>
      </c>
      <c r="J260" s="5" t="n">
        <f aca="false">F260-H260</f>
        <v>5</v>
      </c>
      <c r="K260" s="5" t="n">
        <f aca="false">IF(I260&gt;0,1,0)</f>
        <v>0</v>
      </c>
      <c r="L260" s="5" t="n">
        <f aca="false">IF(J260&lt;PuntoReorden,1,0)</f>
        <v>1</v>
      </c>
      <c r="M260" s="18" t="n">
        <f aca="false">PrecioVenta*H260</f>
        <v>3400000</v>
      </c>
      <c r="N260" s="18" t="n">
        <f aca="false">CostoUnitario*E260</f>
        <v>0</v>
      </c>
      <c r="O260" s="18" t="n">
        <f aca="false">IF(E260&gt;0,CostoPedido,0)</f>
        <v>0</v>
      </c>
      <c r="P260" s="18" t="n">
        <f aca="false">CostoAlm*(F260+J260)/2</f>
        <v>600</v>
      </c>
      <c r="Q260" s="18" t="n">
        <f aca="false">CostoFijo*D260</f>
        <v>0</v>
      </c>
      <c r="R260" s="18" t="n">
        <f aca="false">M260-N260-O260-P260-Q260</f>
        <v>3399400</v>
      </c>
    </row>
    <row r="261" customFormat="false" ht="15" hidden="false" customHeight="true" outlineLevel="0" collapsed="false">
      <c r="A261" s="5" t="n">
        <f aca="false">A260+1</f>
        <v>256</v>
      </c>
      <c r="B261" s="16" t="n">
        <f aca="false">B260+IF(WEEKDAY(B260,2)=6,2,1)</f>
        <v>46321</v>
      </c>
      <c r="C261" s="5" t="n">
        <f aca="false">MONTH(B261)</f>
        <v>10</v>
      </c>
      <c r="D261" s="5" t="n">
        <f aca="false">IF(C261&lt;&gt;C260,1,0)</f>
        <v>0</v>
      </c>
      <c r="E261" s="17" t="n">
        <f aca="false">IF(L260=1,CantPedido,0)</f>
        <v>15</v>
      </c>
      <c r="F261" s="5" t="n">
        <f aca="false">J260+E261</f>
        <v>20</v>
      </c>
      <c r="G261" s="5" t="n">
        <f aca="false">RANDBETWEEN(3,7)</f>
        <v>6</v>
      </c>
      <c r="H261" s="5" t="n">
        <f aca="false">MIN(F261,G261)</f>
        <v>6</v>
      </c>
      <c r="I261" s="5" t="n">
        <f aca="false">G261-H261</f>
        <v>0</v>
      </c>
      <c r="J261" s="5" t="n">
        <f aca="false">F261-H261</f>
        <v>14</v>
      </c>
      <c r="K261" s="5" t="n">
        <f aca="false">IF(I261&gt;0,1,0)</f>
        <v>0</v>
      </c>
      <c r="L261" s="5" t="n">
        <f aca="false">IF(J261&lt;PuntoReorden,1,0)</f>
        <v>0</v>
      </c>
      <c r="M261" s="18" t="n">
        <f aca="false">PrecioVenta*H261</f>
        <v>4080000</v>
      </c>
      <c r="N261" s="18" t="n">
        <f aca="false">CostoUnitario*E261</f>
        <v>9000000</v>
      </c>
      <c r="O261" s="18" t="n">
        <f aca="false">IF(E261&gt;0,CostoPedido,0)</f>
        <v>40000</v>
      </c>
      <c r="P261" s="18" t="n">
        <f aca="false">CostoAlm*(F261+J261)/2</f>
        <v>1360</v>
      </c>
      <c r="Q261" s="18" t="n">
        <f aca="false">CostoFijo*D261</f>
        <v>0</v>
      </c>
      <c r="R261" s="18" t="n">
        <f aca="false">M261-N261-O261-P261-Q261</f>
        <v>-4961360</v>
      </c>
    </row>
    <row r="262" customFormat="false" ht="15" hidden="false" customHeight="true" outlineLevel="0" collapsed="false">
      <c r="A262" s="5" t="n">
        <f aca="false">A261+1</f>
        <v>257</v>
      </c>
      <c r="B262" s="16" t="n">
        <f aca="false">B261+IF(WEEKDAY(B261,2)=6,2,1)</f>
        <v>46322</v>
      </c>
      <c r="C262" s="5" t="n">
        <f aca="false">MONTH(B262)</f>
        <v>10</v>
      </c>
      <c r="D262" s="5" t="n">
        <f aca="false">IF(C262&lt;&gt;C261,1,0)</f>
        <v>0</v>
      </c>
      <c r="E262" s="5" t="n">
        <f aca="false">IF(L261=1,CantPedido,0)</f>
        <v>0</v>
      </c>
      <c r="F262" s="5" t="n">
        <f aca="false">J261+E262</f>
        <v>14</v>
      </c>
      <c r="G262" s="5" t="n">
        <f aca="false">RANDBETWEEN(3,7)</f>
        <v>3</v>
      </c>
      <c r="H262" s="5" t="n">
        <f aca="false">MIN(F262,G262)</f>
        <v>3</v>
      </c>
      <c r="I262" s="5" t="n">
        <f aca="false">G262-H262</f>
        <v>0</v>
      </c>
      <c r="J262" s="5" t="n">
        <f aca="false">F262-H262</f>
        <v>11</v>
      </c>
      <c r="K262" s="5" t="n">
        <f aca="false">IF(I262&gt;0,1,0)</f>
        <v>0</v>
      </c>
      <c r="L262" s="5" t="n">
        <f aca="false">IF(J262&lt;PuntoReorden,1,0)</f>
        <v>0</v>
      </c>
      <c r="M262" s="18" t="n">
        <f aca="false">PrecioVenta*H262</f>
        <v>2040000</v>
      </c>
      <c r="N262" s="18" t="n">
        <f aca="false">CostoUnitario*E262</f>
        <v>0</v>
      </c>
      <c r="O262" s="18" t="n">
        <f aca="false">IF(E262&gt;0,CostoPedido,0)</f>
        <v>0</v>
      </c>
      <c r="P262" s="18" t="n">
        <f aca="false">CostoAlm*(F262+J262)/2</f>
        <v>1000</v>
      </c>
      <c r="Q262" s="18" t="n">
        <f aca="false">CostoFijo*D262</f>
        <v>0</v>
      </c>
      <c r="R262" s="18" t="n">
        <f aca="false">M262-N262-O262-P262-Q262</f>
        <v>2039000</v>
      </c>
    </row>
    <row r="263" customFormat="false" ht="15" hidden="false" customHeight="true" outlineLevel="0" collapsed="false">
      <c r="A263" s="5" t="n">
        <f aca="false">A262+1</f>
        <v>258</v>
      </c>
      <c r="B263" s="16" t="n">
        <f aca="false">B262+IF(WEEKDAY(B262,2)=6,2,1)</f>
        <v>46323</v>
      </c>
      <c r="C263" s="5" t="n">
        <f aca="false">MONTH(B263)</f>
        <v>10</v>
      </c>
      <c r="D263" s="5" t="n">
        <f aca="false">IF(C263&lt;&gt;C262,1,0)</f>
        <v>0</v>
      </c>
      <c r="E263" s="5" t="n">
        <f aca="false">IF(L262=1,CantPedido,0)</f>
        <v>0</v>
      </c>
      <c r="F263" s="5" t="n">
        <f aca="false">J262+E263</f>
        <v>11</v>
      </c>
      <c r="G263" s="5" t="n">
        <f aca="false">RANDBETWEEN(3,7)</f>
        <v>4</v>
      </c>
      <c r="H263" s="5" t="n">
        <f aca="false">MIN(F263,G263)</f>
        <v>4</v>
      </c>
      <c r="I263" s="5" t="n">
        <f aca="false">G263-H263</f>
        <v>0</v>
      </c>
      <c r="J263" s="5" t="n">
        <f aca="false">F263-H263</f>
        <v>7</v>
      </c>
      <c r="K263" s="5" t="n">
        <f aca="false">IF(I263&gt;0,1,0)</f>
        <v>0</v>
      </c>
      <c r="L263" s="5" t="n">
        <f aca="false">IF(J263&lt;PuntoReorden,1,0)</f>
        <v>0</v>
      </c>
      <c r="M263" s="18" t="n">
        <f aca="false">PrecioVenta*H263</f>
        <v>2720000</v>
      </c>
      <c r="N263" s="18" t="n">
        <f aca="false">CostoUnitario*E263</f>
        <v>0</v>
      </c>
      <c r="O263" s="18" t="n">
        <f aca="false">IF(E263&gt;0,CostoPedido,0)</f>
        <v>0</v>
      </c>
      <c r="P263" s="18" t="n">
        <f aca="false">CostoAlm*(F263+J263)/2</f>
        <v>720</v>
      </c>
      <c r="Q263" s="18" t="n">
        <f aca="false">CostoFijo*D263</f>
        <v>0</v>
      </c>
      <c r="R263" s="18" t="n">
        <f aca="false">M263-N263-O263-P263-Q263</f>
        <v>2719280</v>
      </c>
    </row>
    <row r="264" customFormat="false" ht="15" hidden="false" customHeight="true" outlineLevel="0" collapsed="false">
      <c r="A264" s="5" t="n">
        <f aca="false">A263+1</f>
        <v>259</v>
      </c>
      <c r="B264" s="16" t="n">
        <f aca="false">B263+IF(WEEKDAY(B263,2)=6,2,1)</f>
        <v>46324</v>
      </c>
      <c r="C264" s="5" t="n">
        <f aca="false">MONTH(B264)</f>
        <v>10</v>
      </c>
      <c r="D264" s="5" t="n">
        <f aca="false">IF(C264&lt;&gt;C263,1,0)</f>
        <v>0</v>
      </c>
      <c r="E264" s="17" t="n">
        <f aca="false">IF(L263=1,CantPedido,0)</f>
        <v>0</v>
      </c>
      <c r="F264" s="5" t="n">
        <f aca="false">J263+E264</f>
        <v>7</v>
      </c>
      <c r="G264" s="5" t="n">
        <f aca="false">RANDBETWEEN(3,7)</f>
        <v>4</v>
      </c>
      <c r="H264" s="5" t="n">
        <f aca="false">MIN(F264,G264)</f>
        <v>4</v>
      </c>
      <c r="I264" s="5" t="n">
        <f aca="false">G264-H264</f>
        <v>0</v>
      </c>
      <c r="J264" s="5" t="n">
        <f aca="false">F264-H264</f>
        <v>3</v>
      </c>
      <c r="K264" s="5" t="n">
        <f aca="false">IF(I264&gt;0,1,0)</f>
        <v>0</v>
      </c>
      <c r="L264" s="5" t="n">
        <f aca="false">IF(J264&lt;PuntoReorden,1,0)</f>
        <v>1</v>
      </c>
      <c r="M264" s="18" t="n">
        <f aca="false">PrecioVenta*H264</f>
        <v>2720000</v>
      </c>
      <c r="N264" s="18" t="n">
        <f aca="false">CostoUnitario*E264</f>
        <v>0</v>
      </c>
      <c r="O264" s="18" t="n">
        <f aca="false">IF(E264&gt;0,CostoPedido,0)</f>
        <v>0</v>
      </c>
      <c r="P264" s="18" t="n">
        <f aca="false">CostoAlm*(F264+J264)/2</f>
        <v>400</v>
      </c>
      <c r="Q264" s="18" t="n">
        <f aca="false">CostoFijo*D264</f>
        <v>0</v>
      </c>
      <c r="R264" s="18" t="n">
        <f aca="false">M264-N264-O264-P264-Q264</f>
        <v>2719600</v>
      </c>
    </row>
    <row r="265" customFormat="false" ht="15" hidden="false" customHeight="true" outlineLevel="0" collapsed="false">
      <c r="A265" s="5" t="n">
        <f aca="false">A264+1</f>
        <v>260</v>
      </c>
      <c r="B265" s="16" t="n">
        <f aca="false">B264+IF(WEEKDAY(B264,2)=6,2,1)</f>
        <v>46325</v>
      </c>
      <c r="C265" s="5" t="n">
        <f aca="false">MONTH(B265)</f>
        <v>10</v>
      </c>
      <c r="D265" s="5" t="n">
        <f aca="false">IF(C265&lt;&gt;C264,1,0)</f>
        <v>0</v>
      </c>
      <c r="E265" s="17" t="n">
        <f aca="false">IF(L264=1,CantPedido,0)</f>
        <v>15</v>
      </c>
      <c r="F265" s="5" t="n">
        <f aca="false">J264+E265</f>
        <v>18</v>
      </c>
      <c r="G265" s="5" t="n">
        <f aca="false">RANDBETWEEN(3,7)</f>
        <v>3</v>
      </c>
      <c r="H265" s="5" t="n">
        <f aca="false">MIN(F265,G265)</f>
        <v>3</v>
      </c>
      <c r="I265" s="5" t="n">
        <f aca="false">G265-H265</f>
        <v>0</v>
      </c>
      <c r="J265" s="5" t="n">
        <f aca="false">F265-H265</f>
        <v>15</v>
      </c>
      <c r="K265" s="5" t="n">
        <f aca="false">IF(I265&gt;0,1,0)</f>
        <v>0</v>
      </c>
      <c r="L265" s="5" t="n">
        <f aca="false">IF(J265&lt;PuntoReorden,1,0)</f>
        <v>0</v>
      </c>
      <c r="M265" s="18" t="n">
        <f aca="false">PrecioVenta*H265</f>
        <v>2040000</v>
      </c>
      <c r="N265" s="18" t="n">
        <f aca="false">CostoUnitario*E265</f>
        <v>9000000</v>
      </c>
      <c r="O265" s="18" t="n">
        <f aca="false">IF(E265&gt;0,CostoPedido,0)</f>
        <v>40000</v>
      </c>
      <c r="P265" s="18" t="n">
        <f aca="false">CostoAlm*(F265+J265)/2</f>
        <v>1320</v>
      </c>
      <c r="Q265" s="18" t="n">
        <f aca="false">CostoFijo*D265</f>
        <v>0</v>
      </c>
      <c r="R265" s="18" t="n">
        <f aca="false">M265-N265-O265-P265-Q265</f>
        <v>-7001320</v>
      </c>
    </row>
    <row r="266" customFormat="false" ht="15" hidden="false" customHeight="true" outlineLevel="0" collapsed="false">
      <c r="A266" s="5" t="n">
        <f aca="false">A265+1</f>
        <v>261</v>
      </c>
      <c r="B266" s="16" t="n">
        <f aca="false">B265+IF(WEEKDAY(B265,2)=6,2,1)</f>
        <v>46326</v>
      </c>
      <c r="C266" s="5" t="n">
        <f aca="false">MONTH(B266)</f>
        <v>10</v>
      </c>
      <c r="D266" s="5" t="n">
        <f aca="false">IF(C266&lt;&gt;C265,1,0)</f>
        <v>0</v>
      </c>
      <c r="E266" s="5" t="n">
        <f aca="false">IF(L265=1,CantPedido,0)</f>
        <v>0</v>
      </c>
      <c r="F266" s="5" t="n">
        <f aca="false">J265+E266</f>
        <v>15</v>
      </c>
      <c r="G266" s="5" t="n">
        <f aca="false">RANDBETWEEN(3,7)</f>
        <v>6</v>
      </c>
      <c r="H266" s="5" t="n">
        <f aca="false">MIN(F266,G266)</f>
        <v>6</v>
      </c>
      <c r="I266" s="5" t="n">
        <f aca="false">G266-H266</f>
        <v>0</v>
      </c>
      <c r="J266" s="5" t="n">
        <f aca="false">F266-H266</f>
        <v>9</v>
      </c>
      <c r="K266" s="5" t="n">
        <f aca="false">IF(I266&gt;0,1,0)</f>
        <v>0</v>
      </c>
      <c r="L266" s="5" t="n">
        <f aca="false">IF(J266&lt;PuntoReorden,1,0)</f>
        <v>0</v>
      </c>
      <c r="M266" s="18" t="n">
        <f aca="false">PrecioVenta*H266</f>
        <v>4080000</v>
      </c>
      <c r="N266" s="18" t="n">
        <f aca="false">CostoUnitario*E266</f>
        <v>0</v>
      </c>
      <c r="O266" s="18" t="n">
        <f aca="false">IF(E266&gt;0,CostoPedido,0)</f>
        <v>0</v>
      </c>
      <c r="P266" s="18" t="n">
        <f aca="false">CostoAlm*(F266+J266)/2</f>
        <v>960</v>
      </c>
      <c r="Q266" s="18" t="n">
        <f aca="false">CostoFijo*D266</f>
        <v>0</v>
      </c>
      <c r="R266" s="18" t="n">
        <f aca="false">M266-N266-O266-P266-Q266</f>
        <v>4079040</v>
      </c>
    </row>
    <row r="267" customFormat="false" ht="15" hidden="false" customHeight="true" outlineLevel="0" collapsed="false">
      <c r="A267" s="5" t="n">
        <f aca="false">A266+1</f>
        <v>262</v>
      </c>
      <c r="B267" s="16" t="n">
        <f aca="false">B266+IF(WEEKDAY(B266,2)=6,2,1)</f>
        <v>46328</v>
      </c>
      <c r="C267" s="5" t="n">
        <f aca="false">MONTH(B267)</f>
        <v>11</v>
      </c>
      <c r="D267" s="5" t="n">
        <f aca="false">IF(C267&lt;&gt;C266,1,0)</f>
        <v>1</v>
      </c>
      <c r="E267" s="5" t="n">
        <f aca="false">IF(L266=1,CantPedido,0)</f>
        <v>0</v>
      </c>
      <c r="F267" s="5" t="n">
        <f aca="false">J266+E267</f>
        <v>9</v>
      </c>
      <c r="G267" s="5" t="n">
        <f aca="false">RANDBETWEEN(3,7)</f>
        <v>5</v>
      </c>
      <c r="H267" s="5" t="n">
        <f aca="false">MIN(F267,G267)</f>
        <v>5</v>
      </c>
      <c r="I267" s="5" t="n">
        <f aca="false">G267-H267</f>
        <v>0</v>
      </c>
      <c r="J267" s="5" t="n">
        <f aca="false">F267-H267</f>
        <v>4</v>
      </c>
      <c r="K267" s="5" t="n">
        <f aca="false">IF(I267&gt;0,1,0)</f>
        <v>0</v>
      </c>
      <c r="L267" s="5" t="n">
        <f aca="false">IF(J267&lt;PuntoReorden,1,0)</f>
        <v>1</v>
      </c>
      <c r="M267" s="18" t="n">
        <f aca="false">PrecioVenta*H267</f>
        <v>3400000</v>
      </c>
      <c r="N267" s="18" t="n">
        <f aca="false">CostoUnitario*E267</f>
        <v>0</v>
      </c>
      <c r="O267" s="18" t="n">
        <f aca="false">IF(E267&gt;0,CostoPedido,0)</f>
        <v>0</v>
      </c>
      <c r="P267" s="18" t="n">
        <f aca="false">CostoAlm*(F267+J267)/2</f>
        <v>520</v>
      </c>
      <c r="Q267" s="18" t="n">
        <f aca="false">CostoFijo*D267</f>
        <v>1000000</v>
      </c>
      <c r="R267" s="18" t="n">
        <f aca="false">M267-N267-O267-P267-Q267</f>
        <v>2399480</v>
      </c>
    </row>
    <row r="268" customFormat="false" ht="15" hidden="false" customHeight="true" outlineLevel="0" collapsed="false">
      <c r="A268" s="5" t="n">
        <f aca="false">A267+1</f>
        <v>263</v>
      </c>
      <c r="B268" s="16" t="n">
        <f aca="false">B267+IF(WEEKDAY(B267,2)=6,2,1)</f>
        <v>46329</v>
      </c>
      <c r="C268" s="5" t="n">
        <f aca="false">MONTH(B268)</f>
        <v>11</v>
      </c>
      <c r="D268" s="5" t="n">
        <f aca="false">IF(C268&lt;&gt;C267,1,0)</f>
        <v>0</v>
      </c>
      <c r="E268" s="17" t="n">
        <f aca="false">IF(L267=1,CantPedido,0)</f>
        <v>15</v>
      </c>
      <c r="F268" s="5" t="n">
        <f aca="false">J267+E268</f>
        <v>19</v>
      </c>
      <c r="G268" s="5" t="n">
        <f aca="false">RANDBETWEEN(3,7)</f>
        <v>5</v>
      </c>
      <c r="H268" s="5" t="n">
        <f aca="false">MIN(F268,G268)</f>
        <v>5</v>
      </c>
      <c r="I268" s="5" t="n">
        <f aca="false">G268-H268</f>
        <v>0</v>
      </c>
      <c r="J268" s="5" t="n">
        <f aca="false">F268-H268</f>
        <v>14</v>
      </c>
      <c r="K268" s="5" t="n">
        <f aca="false">IF(I268&gt;0,1,0)</f>
        <v>0</v>
      </c>
      <c r="L268" s="5" t="n">
        <f aca="false">IF(J268&lt;PuntoReorden,1,0)</f>
        <v>0</v>
      </c>
      <c r="M268" s="18" t="n">
        <f aca="false">PrecioVenta*H268</f>
        <v>3400000</v>
      </c>
      <c r="N268" s="18" t="n">
        <f aca="false">CostoUnitario*E268</f>
        <v>9000000</v>
      </c>
      <c r="O268" s="18" t="n">
        <f aca="false">IF(E268&gt;0,CostoPedido,0)</f>
        <v>40000</v>
      </c>
      <c r="P268" s="18" t="n">
        <f aca="false">CostoAlm*(F268+J268)/2</f>
        <v>1320</v>
      </c>
      <c r="Q268" s="18" t="n">
        <f aca="false">CostoFijo*D268</f>
        <v>0</v>
      </c>
      <c r="R268" s="18" t="n">
        <f aca="false">M268-N268-O268-P268-Q268</f>
        <v>-5641320</v>
      </c>
    </row>
    <row r="269" customFormat="false" ht="15" hidden="false" customHeight="true" outlineLevel="0" collapsed="false">
      <c r="A269" s="5" t="n">
        <f aca="false">A268+1</f>
        <v>264</v>
      </c>
      <c r="B269" s="16" t="n">
        <f aca="false">B268+IF(WEEKDAY(B268,2)=6,2,1)</f>
        <v>46330</v>
      </c>
      <c r="C269" s="5" t="n">
        <f aca="false">MONTH(B269)</f>
        <v>11</v>
      </c>
      <c r="D269" s="5" t="n">
        <f aca="false">IF(C269&lt;&gt;C268,1,0)</f>
        <v>0</v>
      </c>
      <c r="E269" s="5" t="n">
        <f aca="false">IF(L268=1,CantPedido,0)</f>
        <v>0</v>
      </c>
      <c r="F269" s="5" t="n">
        <f aca="false">J268+E269</f>
        <v>14</v>
      </c>
      <c r="G269" s="5" t="n">
        <f aca="false">RANDBETWEEN(3,7)</f>
        <v>6</v>
      </c>
      <c r="H269" s="5" t="n">
        <f aca="false">MIN(F269,G269)</f>
        <v>6</v>
      </c>
      <c r="I269" s="5" t="n">
        <f aca="false">G269-H269</f>
        <v>0</v>
      </c>
      <c r="J269" s="5" t="n">
        <f aca="false">F269-H269</f>
        <v>8</v>
      </c>
      <c r="K269" s="5" t="n">
        <f aca="false">IF(I269&gt;0,1,0)</f>
        <v>0</v>
      </c>
      <c r="L269" s="5" t="n">
        <f aca="false">IF(J269&lt;PuntoReorden,1,0)</f>
        <v>0</v>
      </c>
      <c r="M269" s="18" t="n">
        <f aca="false">PrecioVenta*H269</f>
        <v>4080000</v>
      </c>
      <c r="N269" s="18" t="n">
        <f aca="false">CostoUnitario*E269</f>
        <v>0</v>
      </c>
      <c r="O269" s="18" t="n">
        <f aca="false">IF(E269&gt;0,CostoPedido,0)</f>
        <v>0</v>
      </c>
      <c r="P269" s="18" t="n">
        <f aca="false">CostoAlm*(F269+J269)/2</f>
        <v>880</v>
      </c>
      <c r="Q269" s="18" t="n">
        <f aca="false">CostoFijo*D269</f>
        <v>0</v>
      </c>
      <c r="R269" s="18" t="n">
        <f aca="false">M269-N269-O269-P269-Q269</f>
        <v>4079120</v>
      </c>
    </row>
    <row r="270" customFormat="false" ht="15" hidden="false" customHeight="true" outlineLevel="0" collapsed="false">
      <c r="A270" s="5" t="n">
        <f aca="false">A269+1</f>
        <v>265</v>
      </c>
      <c r="B270" s="16" t="n">
        <f aca="false">B269+IF(WEEKDAY(B269,2)=6,2,1)</f>
        <v>46331</v>
      </c>
      <c r="C270" s="5" t="n">
        <f aca="false">MONTH(B270)</f>
        <v>11</v>
      </c>
      <c r="D270" s="5" t="n">
        <f aca="false">IF(C270&lt;&gt;C269,1,0)</f>
        <v>0</v>
      </c>
      <c r="E270" s="5" t="n">
        <f aca="false">IF(L269=1,CantPedido,0)</f>
        <v>0</v>
      </c>
      <c r="F270" s="5" t="n">
        <f aca="false">J269+E270</f>
        <v>8</v>
      </c>
      <c r="G270" s="5" t="n">
        <f aca="false">RANDBETWEEN(3,7)</f>
        <v>7</v>
      </c>
      <c r="H270" s="5" t="n">
        <f aca="false">MIN(F270,G270)</f>
        <v>7</v>
      </c>
      <c r="I270" s="5" t="n">
        <f aca="false">G270-H270</f>
        <v>0</v>
      </c>
      <c r="J270" s="5" t="n">
        <f aca="false">F270-H270</f>
        <v>1</v>
      </c>
      <c r="K270" s="5" t="n">
        <f aca="false">IF(I270&gt;0,1,0)</f>
        <v>0</v>
      </c>
      <c r="L270" s="5" t="n">
        <f aca="false">IF(J270&lt;PuntoReorden,1,0)</f>
        <v>1</v>
      </c>
      <c r="M270" s="18" t="n">
        <f aca="false">PrecioVenta*H270</f>
        <v>4760000</v>
      </c>
      <c r="N270" s="18" t="n">
        <f aca="false">CostoUnitario*E270</f>
        <v>0</v>
      </c>
      <c r="O270" s="18" t="n">
        <f aca="false">IF(E270&gt;0,CostoPedido,0)</f>
        <v>0</v>
      </c>
      <c r="P270" s="18" t="n">
        <f aca="false">CostoAlm*(F270+J270)/2</f>
        <v>360</v>
      </c>
      <c r="Q270" s="18" t="n">
        <f aca="false">CostoFijo*D270</f>
        <v>0</v>
      </c>
      <c r="R270" s="18" t="n">
        <f aca="false">M270-N270-O270-P270-Q270</f>
        <v>4759640</v>
      </c>
    </row>
    <row r="271" customFormat="false" ht="15" hidden="false" customHeight="true" outlineLevel="0" collapsed="false">
      <c r="A271" s="5" t="n">
        <f aca="false">A270+1</f>
        <v>266</v>
      </c>
      <c r="B271" s="16" t="n">
        <f aca="false">B270+IF(WEEKDAY(B270,2)=6,2,1)</f>
        <v>46332</v>
      </c>
      <c r="C271" s="5" t="n">
        <f aca="false">MONTH(B271)</f>
        <v>11</v>
      </c>
      <c r="D271" s="5" t="n">
        <f aca="false">IF(C271&lt;&gt;C270,1,0)</f>
        <v>0</v>
      </c>
      <c r="E271" s="17" t="n">
        <f aca="false">IF(L270=1,CantPedido,0)</f>
        <v>15</v>
      </c>
      <c r="F271" s="5" t="n">
        <f aca="false">J270+E271</f>
        <v>16</v>
      </c>
      <c r="G271" s="5" t="n">
        <f aca="false">RANDBETWEEN(3,7)</f>
        <v>5</v>
      </c>
      <c r="H271" s="5" t="n">
        <f aca="false">MIN(F271,G271)</f>
        <v>5</v>
      </c>
      <c r="I271" s="5" t="n">
        <f aca="false">G271-H271</f>
        <v>0</v>
      </c>
      <c r="J271" s="5" t="n">
        <f aca="false">F271-H271</f>
        <v>11</v>
      </c>
      <c r="K271" s="5" t="n">
        <f aca="false">IF(I271&gt;0,1,0)</f>
        <v>0</v>
      </c>
      <c r="L271" s="5" t="n">
        <f aca="false">IF(J271&lt;PuntoReorden,1,0)</f>
        <v>0</v>
      </c>
      <c r="M271" s="18" t="n">
        <f aca="false">PrecioVenta*H271</f>
        <v>3400000</v>
      </c>
      <c r="N271" s="18" t="n">
        <f aca="false">CostoUnitario*E271</f>
        <v>9000000</v>
      </c>
      <c r="O271" s="18" t="n">
        <f aca="false">IF(E271&gt;0,CostoPedido,0)</f>
        <v>40000</v>
      </c>
      <c r="P271" s="18" t="n">
        <f aca="false">CostoAlm*(F271+J271)/2</f>
        <v>1080</v>
      </c>
      <c r="Q271" s="18" t="n">
        <f aca="false">CostoFijo*D271</f>
        <v>0</v>
      </c>
      <c r="R271" s="18" t="n">
        <f aca="false">M271-N271-O271-P271-Q271</f>
        <v>-5641080</v>
      </c>
    </row>
    <row r="272" customFormat="false" ht="15" hidden="false" customHeight="true" outlineLevel="0" collapsed="false">
      <c r="A272" s="5" t="n">
        <f aca="false">A271+1</f>
        <v>267</v>
      </c>
      <c r="B272" s="16" t="n">
        <f aca="false">B271+IF(WEEKDAY(B271,2)=6,2,1)</f>
        <v>46333</v>
      </c>
      <c r="C272" s="5" t="n">
        <f aca="false">MONTH(B272)</f>
        <v>11</v>
      </c>
      <c r="D272" s="5" t="n">
        <f aca="false">IF(C272&lt;&gt;C271,1,0)</f>
        <v>0</v>
      </c>
      <c r="E272" s="5" t="n">
        <f aca="false">IF(L271=1,CantPedido,0)</f>
        <v>0</v>
      </c>
      <c r="F272" s="5" t="n">
        <f aca="false">J271+E272</f>
        <v>11</v>
      </c>
      <c r="G272" s="5" t="n">
        <f aca="false">RANDBETWEEN(3,7)</f>
        <v>3</v>
      </c>
      <c r="H272" s="5" t="n">
        <f aca="false">MIN(F272,G272)</f>
        <v>3</v>
      </c>
      <c r="I272" s="5" t="n">
        <f aca="false">G272-H272</f>
        <v>0</v>
      </c>
      <c r="J272" s="5" t="n">
        <f aca="false">F272-H272</f>
        <v>8</v>
      </c>
      <c r="K272" s="5" t="n">
        <f aca="false">IF(I272&gt;0,1,0)</f>
        <v>0</v>
      </c>
      <c r="L272" s="5" t="n">
        <f aca="false">IF(J272&lt;PuntoReorden,1,0)</f>
        <v>0</v>
      </c>
      <c r="M272" s="18" t="n">
        <f aca="false">PrecioVenta*H272</f>
        <v>2040000</v>
      </c>
      <c r="N272" s="18" t="n">
        <f aca="false">CostoUnitario*E272</f>
        <v>0</v>
      </c>
      <c r="O272" s="18" t="n">
        <f aca="false">IF(E272&gt;0,CostoPedido,0)</f>
        <v>0</v>
      </c>
      <c r="P272" s="18" t="n">
        <f aca="false">CostoAlm*(F272+J272)/2</f>
        <v>760</v>
      </c>
      <c r="Q272" s="18" t="n">
        <f aca="false">CostoFijo*D272</f>
        <v>0</v>
      </c>
      <c r="R272" s="18" t="n">
        <f aca="false">M272-N272-O272-P272-Q272</f>
        <v>2039240</v>
      </c>
    </row>
    <row r="273" customFormat="false" ht="15" hidden="false" customHeight="true" outlineLevel="0" collapsed="false">
      <c r="A273" s="5" t="n">
        <f aca="false">A272+1</f>
        <v>268</v>
      </c>
      <c r="B273" s="16" t="n">
        <f aca="false">B272+IF(WEEKDAY(B272,2)=6,2,1)</f>
        <v>46335</v>
      </c>
      <c r="C273" s="5" t="n">
        <f aca="false">MONTH(B273)</f>
        <v>11</v>
      </c>
      <c r="D273" s="5" t="n">
        <f aca="false">IF(C273&lt;&gt;C272,1,0)</f>
        <v>0</v>
      </c>
      <c r="E273" s="5" t="n">
        <f aca="false">IF(L272=1,CantPedido,0)</f>
        <v>0</v>
      </c>
      <c r="F273" s="5" t="n">
        <f aca="false">J272+E273</f>
        <v>8</v>
      </c>
      <c r="G273" s="5" t="n">
        <f aca="false">RANDBETWEEN(3,7)</f>
        <v>5</v>
      </c>
      <c r="H273" s="5" t="n">
        <f aca="false">MIN(F273,G273)</f>
        <v>5</v>
      </c>
      <c r="I273" s="5" t="n">
        <f aca="false">G273-H273</f>
        <v>0</v>
      </c>
      <c r="J273" s="5" t="n">
        <f aca="false">F273-H273</f>
        <v>3</v>
      </c>
      <c r="K273" s="5" t="n">
        <f aca="false">IF(I273&gt;0,1,0)</f>
        <v>0</v>
      </c>
      <c r="L273" s="5" t="n">
        <f aca="false">IF(J273&lt;PuntoReorden,1,0)</f>
        <v>1</v>
      </c>
      <c r="M273" s="18" t="n">
        <f aca="false">PrecioVenta*H273</f>
        <v>3400000</v>
      </c>
      <c r="N273" s="18" t="n">
        <f aca="false">CostoUnitario*E273</f>
        <v>0</v>
      </c>
      <c r="O273" s="18" t="n">
        <f aca="false">IF(E273&gt;0,CostoPedido,0)</f>
        <v>0</v>
      </c>
      <c r="P273" s="18" t="n">
        <f aca="false">CostoAlm*(F273+J273)/2</f>
        <v>440</v>
      </c>
      <c r="Q273" s="18" t="n">
        <f aca="false">CostoFijo*D273</f>
        <v>0</v>
      </c>
      <c r="R273" s="18" t="n">
        <f aca="false">M273-N273-O273-P273-Q273</f>
        <v>3399560</v>
      </c>
    </row>
    <row r="274" customFormat="false" ht="15" hidden="false" customHeight="true" outlineLevel="0" collapsed="false">
      <c r="A274" s="5" t="n">
        <f aca="false">A273+1</f>
        <v>269</v>
      </c>
      <c r="B274" s="16" t="n">
        <f aca="false">B273+IF(WEEKDAY(B273,2)=6,2,1)</f>
        <v>46336</v>
      </c>
      <c r="C274" s="5" t="n">
        <f aca="false">MONTH(B274)</f>
        <v>11</v>
      </c>
      <c r="D274" s="5" t="n">
        <f aca="false">IF(C274&lt;&gt;C273,1,0)</f>
        <v>0</v>
      </c>
      <c r="E274" s="17" t="n">
        <f aca="false">IF(L273=1,CantPedido,0)</f>
        <v>15</v>
      </c>
      <c r="F274" s="5" t="n">
        <f aca="false">J273+E274</f>
        <v>18</v>
      </c>
      <c r="G274" s="5" t="n">
        <f aca="false">RANDBETWEEN(3,7)</f>
        <v>3</v>
      </c>
      <c r="H274" s="5" t="n">
        <f aca="false">MIN(F274,G274)</f>
        <v>3</v>
      </c>
      <c r="I274" s="5" t="n">
        <f aca="false">G274-H274</f>
        <v>0</v>
      </c>
      <c r="J274" s="5" t="n">
        <f aca="false">F274-H274</f>
        <v>15</v>
      </c>
      <c r="K274" s="5" t="n">
        <f aca="false">IF(I274&gt;0,1,0)</f>
        <v>0</v>
      </c>
      <c r="L274" s="5" t="n">
        <f aca="false">IF(J274&lt;PuntoReorden,1,0)</f>
        <v>0</v>
      </c>
      <c r="M274" s="18" t="n">
        <f aca="false">PrecioVenta*H274</f>
        <v>2040000</v>
      </c>
      <c r="N274" s="18" t="n">
        <f aca="false">CostoUnitario*E274</f>
        <v>9000000</v>
      </c>
      <c r="O274" s="18" t="n">
        <f aca="false">IF(E274&gt;0,CostoPedido,0)</f>
        <v>40000</v>
      </c>
      <c r="P274" s="18" t="n">
        <f aca="false">CostoAlm*(F274+J274)/2</f>
        <v>1320</v>
      </c>
      <c r="Q274" s="18" t="n">
        <f aca="false">CostoFijo*D274</f>
        <v>0</v>
      </c>
      <c r="R274" s="18" t="n">
        <f aca="false">M274-N274-O274-P274-Q274</f>
        <v>-7001320</v>
      </c>
    </row>
    <row r="275" customFormat="false" ht="15" hidden="false" customHeight="true" outlineLevel="0" collapsed="false">
      <c r="A275" s="5" t="n">
        <f aca="false">A274+1</f>
        <v>270</v>
      </c>
      <c r="B275" s="16" t="n">
        <f aca="false">B274+IF(WEEKDAY(B274,2)=6,2,1)</f>
        <v>46337</v>
      </c>
      <c r="C275" s="5" t="n">
        <f aca="false">MONTH(B275)</f>
        <v>11</v>
      </c>
      <c r="D275" s="5" t="n">
        <f aca="false">IF(C275&lt;&gt;C274,1,0)</f>
        <v>0</v>
      </c>
      <c r="E275" s="5" t="n">
        <f aca="false">IF(L274=1,CantPedido,0)</f>
        <v>0</v>
      </c>
      <c r="F275" s="5" t="n">
        <f aca="false">J274+E275</f>
        <v>15</v>
      </c>
      <c r="G275" s="5" t="n">
        <f aca="false">RANDBETWEEN(3,7)</f>
        <v>6</v>
      </c>
      <c r="H275" s="5" t="n">
        <f aca="false">MIN(F275,G275)</f>
        <v>6</v>
      </c>
      <c r="I275" s="5" t="n">
        <f aca="false">G275-H275</f>
        <v>0</v>
      </c>
      <c r="J275" s="5" t="n">
        <f aca="false">F275-H275</f>
        <v>9</v>
      </c>
      <c r="K275" s="5" t="n">
        <f aca="false">IF(I275&gt;0,1,0)</f>
        <v>0</v>
      </c>
      <c r="L275" s="5" t="n">
        <f aca="false">IF(J275&lt;PuntoReorden,1,0)</f>
        <v>0</v>
      </c>
      <c r="M275" s="18" t="n">
        <f aca="false">PrecioVenta*H275</f>
        <v>4080000</v>
      </c>
      <c r="N275" s="18" t="n">
        <f aca="false">CostoUnitario*E275</f>
        <v>0</v>
      </c>
      <c r="O275" s="18" t="n">
        <f aca="false">IF(E275&gt;0,CostoPedido,0)</f>
        <v>0</v>
      </c>
      <c r="P275" s="18" t="n">
        <f aca="false">CostoAlm*(F275+J275)/2</f>
        <v>960</v>
      </c>
      <c r="Q275" s="18" t="n">
        <f aca="false">CostoFijo*D275</f>
        <v>0</v>
      </c>
      <c r="R275" s="18" t="n">
        <f aca="false">M275-N275-O275-P275-Q275</f>
        <v>4079040</v>
      </c>
    </row>
    <row r="276" customFormat="false" ht="15" hidden="false" customHeight="true" outlineLevel="0" collapsed="false">
      <c r="A276" s="5" t="n">
        <f aca="false">A275+1</f>
        <v>271</v>
      </c>
      <c r="B276" s="16" t="n">
        <f aca="false">B275+IF(WEEKDAY(B275,2)=6,2,1)</f>
        <v>46338</v>
      </c>
      <c r="C276" s="5" t="n">
        <f aca="false">MONTH(B276)</f>
        <v>11</v>
      </c>
      <c r="D276" s="5" t="n">
        <f aca="false">IF(C276&lt;&gt;C275,1,0)</f>
        <v>0</v>
      </c>
      <c r="E276" s="5" t="n">
        <f aca="false">IF(L275=1,CantPedido,0)</f>
        <v>0</v>
      </c>
      <c r="F276" s="5" t="n">
        <f aca="false">J275+E276</f>
        <v>9</v>
      </c>
      <c r="G276" s="5" t="n">
        <f aca="false">RANDBETWEEN(3,7)</f>
        <v>5</v>
      </c>
      <c r="H276" s="5" t="n">
        <f aca="false">MIN(F276,G276)</f>
        <v>5</v>
      </c>
      <c r="I276" s="5" t="n">
        <f aca="false">G276-H276</f>
        <v>0</v>
      </c>
      <c r="J276" s="5" t="n">
        <f aca="false">F276-H276</f>
        <v>4</v>
      </c>
      <c r="K276" s="5" t="n">
        <f aca="false">IF(I276&gt;0,1,0)</f>
        <v>0</v>
      </c>
      <c r="L276" s="5" t="n">
        <f aca="false">IF(J276&lt;PuntoReorden,1,0)</f>
        <v>1</v>
      </c>
      <c r="M276" s="18" t="n">
        <f aca="false">PrecioVenta*H276</f>
        <v>3400000</v>
      </c>
      <c r="N276" s="18" t="n">
        <f aca="false">CostoUnitario*E276</f>
        <v>0</v>
      </c>
      <c r="O276" s="18" t="n">
        <f aca="false">IF(E276&gt;0,CostoPedido,0)</f>
        <v>0</v>
      </c>
      <c r="P276" s="18" t="n">
        <f aca="false">CostoAlm*(F276+J276)/2</f>
        <v>520</v>
      </c>
      <c r="Q276" s="18" t="n">
        <f aca="false">CostoFijo*D276</f>
        <v>0</v>
      </c>
      <c r="R276" s="18" t="n">
        <f aca="false">M276-N276-O276-P276-Q276</f>
        <v>3399480</v>
      </c>
    </row>
    <row r="277" customFormat="false" ht="15" hidden="false" customHeight="true" outlineLevel="0" collapsed="false">
      <c r="A277" s="5" t="n">
        <f aca="false">A276+1</f>
        <v>272</v>
      </c>
      <c r="B277" s="16" t="n">
        <f aca="false">B276+IF(WEEKDAY(B276,2)=6,2,1)</f>
        <v>46339</v>
      </c>
      <c r="C277" s="5" t="n">
        <f aca="false">MONTH(B277)</f>
        <v>11</v>
      </c>
      <c r="D277" s="5" t="n">
        <f aca="false">IF(C277&lt;&gt;C276,1,0)</f>
        <v>0</v>
      </c>
      <c r="E277" s="17" t="n">
        <f aca="false">IF(L276=1,CantPedido,0)</f>
        <v>15</v>
      </c>
      <c r="F277" s="5" t="n">
        <f aca="false">J276+E277</f>
        <v>19</v>
      </c>
      <c r="G277" s="5" t="n">
        <f aca="false">RANDBETWEEN(3,7)</f>
        <v>4</v>
      </c>
      <c r="H277" s="5" t="n">
        <f aca="false">MIN(F277,G277)</f>
        <v>4</v>
      </c>
      <c r="I277" s="5" t="n">
        <f aca="false">G277-H277</f>
        <v>0</v>
      </c>
      <c r="J277" s="5" t="n">
        <f aca="false">F277-H277</f>
        <v>15</v>
      </c>
      <c r="K277" s="5" t="n">
        <f aca="false">IF(I277&gt;0,1,0)</f>
        <v>0</v>
      </c>
      <c r="L277" s="5" t="n">
        <f aca="false">IF(J277&lt;PuntoReorden,1,0)</f>
        <v>0</v>
      </c>
      <c r="M277" s="18" t="n">
        <f aca="false">PrecioVenta*H277</f>
        <v>2720000</v>
      </c>
      <c r="N277" s="18" t="n">
        <f aca="false">CostoUnitario*E277</f>
        <v>9000000</v>
      </c>
      <c r="O277" s="18" t="n">
        <f aca="false">IF(E277&gt;0,CostoPedido,0)</f>
        <v>40000</v>
      </c>
      <c r="P277" s="18" t="n">
        <f aca="false">CostoAlm*(F277+J277)/2</f>
        <v>1360</v>
      </c>
      <c r="Q277" s="18" t="n">
        <f aca="false">CostoFijo*D277</f>
        <v>0</v>
      </c>
      <c r="R277" s="18" t="n">
        <f aca="false">M277-N277-O277-P277-Q277</f>
        <v>-6321360</v>
      </c>
    </row>
    <row r="278" customFormat="false" ht="15" hidden="false" customHeight="true" outlineLevel="0" collapsed="false">
      <c r="A278" s="5" t="n">
        <f aca="false">A277+1</f>
        <v>273</v>
      </c>
      <c r="B278" s="16" t="n">
        <f aca="false">B277+IF(WEEKDAY(B277,2)=6,2,1)</f>
        <v>46340</v>
      </c>
      <c r="C278" s="5" t="n">
        <f aca="false">MONTH(B278)</f>
        <v>11</v>
      </c>
      <c r="D278" s="5" t="n">
        <f aca="false">IF(C278&lt;&gt;C277,1,0)</f>
        <v>0</v>
      </c>
      <c r="E278" s="5" t="n">
        <f aca="false">IF(L277=1,CantPedido,0)</f>
        <v>0</v>
      </c>
      <c r="F278" s="5" t="n">
        <f aca="false">J277+E278</f>
        <v>15</v>
      </c>
      <c r="G278" s="5" t="n">
        <f aca="false">RANDBETWEEN(3,7)</f>
        <v>6</v>
      </c>
      <c r="H278" s="5" t="n">
        <f aca="false">MIN(F278,G278)</f>
        <v>6</v>
      </c>
      <c r="I278" s="5" t="n">
        <f aca="false">G278-H278</f>
        <v>0</v>
      </c>
      <c r="J278" s="5" t="n">
        <f aca="false">F278-H278</f>
        <v>9</v>
      </c>
      <c r="K278" s="5" t="n">
        <f aca="false">IF(I278&gt;0,1,0)</f>
        <v>0</v>
      </c>
      <c r="L278" s="5" t="n">
        <f aca="false">IF(J278&lt;PuntoReorden,1,0)</f>
        <v>0</v>
      </c>
      <c r="M278" s="18" t="n">
        <f aca="false">PrecioVenta*H278</f>
        <v>4080000</v>
      </c>
      <c r="N278" s="18" t="n">
        <f aca="false">CostoUnitario*E278</f>
        <v>0</v>
      </c>
      <c r="O278" s="18" t="n">
        <f aca="false">IF(E278&gt;0,CostoPedido,0)</f>
        <v>0</v>
      </c>
      <c r="P278" s="18" t="n">
        <f aca="false">CostoAlm*(F278+J278)/2</f>
        <v>960</v>
      </c>
      <c r="Q278" s="18" t="n">
        <f aca="false">CostoFijo*D278</f>
        <v>0</v>
      </c>
      <c r="R278" s="18" t="n">
        <f aca="false">M278-N278-O278-P278-Q278</f>
        <v>4079040</v>
      </c>
    </row>
    <row r="279" customFormat="false" ht="15" hidden="false" customHeight="true" outlineLevel="0" collapsed="false">
      <c r="A279" s="5" t="n">
        <f aca="false">A278+1</f>
        <v>274</v>
      </c>
      <c r="B279" s="16" t="n">
        <f aca="false">B278+IF(WEEKDAY(B278,2)=6,2,1)</f>
        <v>46342</v>
      </c>
      <c r="C279" s="5" t="n">
        <f aca="false">MONTH(B279)</f>
        <v>11</v>
      </c>
      <c r="D279" s="5" t="n">
        <f aca="false">IF(C279&lt;&gt;C278,1,0)</f>
        <v>0</v>
      </c>
      <c r="E279" s="5" t="n">
        <f aca="false">IF(L278=1,CantPedido,0)</f>
        <v>0</v>
      </c>
      <c r="F279" s="5" t="n">
        <f aca="false">J278+E279</f>
        <v>9</v>
      </c>
      <c r="G279" s="5" t="n">
        <f aca="false">RANDBETWEEN(3,7)</f>
        <v>3</v>
      </c>
      <c r="H279" s="5" t="n">
        <f aca="false">MIN(F279,G279)</f>
        <v>3</v>
      </c>
      <c r="I279" s="5" t="n">
        <f aca="false">G279-H279</f>
        <v>0</v>
      </c>
      <c r="J279" s="5" t="n">
        <f aca="false">F279-H279</f>
        <v>6</v>
      </c>
      <c r="K279" s="5" t="n">
        <f aca="false">IF(I279&gt;0,1,0)</f>
        <v>0</v>
      </c>
      <c r="L279" s="5" t="n">
        <f aca="false">IF(J279&lt;PuntoReorden,1,0)</f>
        <v>1</v>
      </c>
      <c r="M279" s="18" t="n">
        <f aca="false">PrecioVenta*H279</f>
        <v>2040000</v>
      </c>
      <c r="N279" s="18" t="n">
        <f aca="false">CostoUnitario*E279</f>
        <v>0</v>
      </c>
      <c r="O279" s="18" t="n">
        <f aca="false">IF(E279&gt;0,CostoPedido,0)</f>
        <v>0</v>
      </c>
      <c r="P279" s="18" t="n">
        <f aca="false">CostoAlm*(F279+J279)/2</f>
        <v>600</v>
      </c>
      <c r="Q279" s="18" t="n">
        <f aca="false">CostoFijo*D279</f>
        <v>0</v>
      </c>
      <c r="R279" s="18" t="n">
        <f aca="false">M279-N279-O279-P279-Q279</f>
        <v>2039400</v>
      </c>
    </row>
    <row r="280" customFormat="false" ht="15" hidden="false" customHeight="true" outlineLevel="0" collapsed="false">
      <c r="A280" s="5" t="n">
        <f aca="false">A279+1</f>
        <v>275</v>
      </c>
      <c r="B280" s="16" t="n">
        <f aca="false">B279+IF(WEEKDAY(B279,2)=6,2,1)</f>
        <v>46343</v>
      </c>
      <c r="C280" s="5" t="n">
        <f aca="false">MONTH(B280)</f>
        <v>11</v>
      </c>
      <c r="D280" s="5" t="n">
        <f aca="false">IF(C280&lt;&gt;C279,1,0)</f>
        <v>0</v>
      </c>
      <c r="E280" s="17" t="n">
        <f aca="false">IF(L279=1,CantPedido,0)</f>
        <v>15</v>
      </c>
      <c r="F280" s="5" t="n">
        <f aca="false">J279+E280</f>
        <v>21</v>
      </c>
      <c r="G280" s="5" t="n">
        <f aca="false">RANDBETWEEN(3,7)</f>
        <v>5</v>
      </c>
      <c r="H280" s="5" t="n">
        <f aca="false">MIN(F280,G280)</f>
        <v>5</v>
      </c>
      <c r="I280" s="5" t="n">
        <f aca="false">G280-H280</f>
        <v>0</v>
      </c>
      <c r="J280" s="5" t="n">
        <f aca="false">F280-H280</f>
        <v>16</v>
      </c>
      <c r="K280" s="5" t="n">
        <f aca="false">IF(I280&gt;0,1,0)</f>
        <v>0</v>
      </c>
      <c r="L280" s="5" t="n">
        <f aca="false">IF(J280&lt;PuntoReorden,1,0)</f>
        <v>0</v>
      </c>
      <c r="M280" s="18" t="n">
        <f aca="false">PrecioVenta*H280</f>
        <v>3400000</v>
      </c>
      <c r="N280" s="18" t="n">
        <f aca="false">CostoUnitario*E280</f>
        <v>9000000</v>
      </c>
      <c r="O280" s="18" t="n">
        <f aca="false">IF(E280&gt;0,CostoPedido,0)</f>
        <v>40000</v>
      </c>
      <c r="P280" s="18" t="n">
        <f aca="false">CostoAlm*(F280+J280)/2</f>
        <v>1480</v>
      </c>
      <c r="Q280" s="18" t="n">
        <f aca="false">CostoFijo*D280</f>
        <v>0</v>
      </c>
      <c r="R280" s="18" t="n">
        <f aca="false">M280-N280-O280-P280-Q280</f>
        <v>-5641480</v>
      </c>
    </row>
    <row r="281" customFormat="false" ht="15" hidden="false" customHeight="true" outlineLevel="0" collapsed="false">
      <c r="A281" s="5" t="n">
        <f aca="false">A280+1</f>
        <v>276</v>
      </c>
      <c r="B281" s="16" t="n">
        <f aca="false">B280+IF(WEEKDAY(B280,2)=6,2,1)</f>
        <v>46344</v>
      </c>
      <c r="C281" s="5" t="n">
        <f aca="false">MONTH(B281)</f>
        <v>11</v>
      </c>
      <c r="D281" s="5" t="n">
        <f aca="false">IF(C281&lt;&gt;C280,1,0)</f>
        <v>0</v>
      </c>
      <c r="E281" s="5" t="n">
        <f aca="false">IF(L280=1,CantPedido,0)</f>
        <v>0</v>
      </c>
      <c r="F281" s="5" t="n">
        <f aca="false">J280+E281</f>
        <v>16</v>
      </c>
      <c r="G281" s="5" t="n">
        <f aca="false">RANDBETWEEN(3,7)</f>
        <v>3</v>
      </c>
      <c r="H281" s="5" t="n">
        <f aca="false">MIN(F281,G281)</f>
        <v>3</v>
      </c>
      <c r="I281" s="5" t="n">
        <f aca="false">G281-H281</f>
        <v>0</v>
      </c>
      <c r="J281" s="5" t="n">
        <f aca="false">F281-H281</f>
        <v>13</v>
      </c>
      <c r="K281" s="5" t="n">
        <f aca="false">IF(I281&gt;0,1,0)</f>
        <v>0</v>
      </c>
      <c r="L281" s="5" t="n">
        <f aca="false">IF(J281&lt;PuntoReorden,1,0)</f>
        <v>0</v>
      </c>
      <c r="M281" s="18" t="n">
        <f aca="false">PrecioVenta*H281</f>
        <v>2040000</v>
      </c>
      <c r="N281" s="18" t="n">
        <f aca="false">CostoUnitario*E281</f>
        <v>0</v>
      </c>
      <c r="O281" s="18" t="n">
        <f aca="false">IF(E281&gt;0,CostoPedido,0)</f>
        <v>0</v>
      </c>
      <c r="P281" s="18" t="n">
        <f aca="false">CostoAlm*(F281+J281)/2</f>
        <v>1160</v>
      </c>
      <c r="Q281" s="18" t="n">
        <f aca="false">CostoFijo*D281</f>
        <v>0</v>
      </c>
      <c r="R281" s="18" t="n">
        <f aca="false">M281-N281-O281-P281-Q281</f>
        <v>2038840</v>
      </c>
    </row>
    <row r="282" customFormat="false" ht="15" hidden="false" customHeight="true" outlineLevel="0" collapsed="false">
      <c r="A282" s="5" t="n">
        <f aca="false">A281+1</f>
        <v>277</v>
      </c>
      <c r="B282" s="16" t="n">
        <f aca="false">B281+IF(WEEKDAY(B281,2)=6,2,1)</f>
        <v>46345</v>
      </c>
      <c r="C282" s="5" t="n">
        <f aca="false">MONTH(B282)</f>
        <v>11</v>
      </c>
      <c r="D282" s="5" t="n">
        <f aca="false">IF(C282&lt;&gt;C281,1,0)</f>
        <v>0</v>
      </c>
      <c r="E282" s="5" t="n">
        <f aca="false">IF(L281=1,CantPedido,0)</f>
        <v>0</v>
      </c>
      <c r="F282" s="5" t="n">
        <f aca="false">J281+E282</f>
        <v>13</v>
      </c>
      <c r="G282" s="5" t="n">
        <f aca="false">RANDBETWEEN(3,7)</f>
        <v>5</v>
      </c>
      <c r="H282" s="5" t="n">
        <f aca="false">MIN(F282,G282)</f>
        <v>5</v>
      </c>
      <c r="I282" s="5" t="n">
        <f aca="false">G282-H282</f>
        <v>0</v>
      </c>
      <c r="J282" s="5" t="n">
        <f aca="false">F282-H282</f>
        <v>8</v>
      </c>
      <c r="K282" s="5" t="n">
        <f aca="false">IF(I282&gt;0,1,0)</f>
        <v>0</v>
      </c>
      <c r="L282" s="5" t="n">
        <f aca="false">IF(J282&lt;PuntoReorden,1,0)</f>
        <v>0</v>
      </c>
      <c r="M282" s="18" t="n">
        <f aca="false">PrecioVenta*H282</f>
        <v>3400000</v>
      </c>
      <c r="N282" s="18" t="n">
        <f aca="false">CostoUnitario*E282</f>
        <v>0</v>
      </c>
      <c r="O282" s="18" t="n">
        <f aca="false">IF(E282&gt;0,CostoPedido,0)</f>
        <v>0</v>
      </c>
      <c r="P282" s="18" t="n">
        <f aca="false">CostoAlm*(F282+J282)/2</f>
        <v>840</v>
      </c>
      <c r="Q282" s="18" t="n">
        <f aca="false">CostoFijo*D282</f>
        <v>0</v>
      </c>
      <c r="R282" s="18" t="n">
        <f aca="false">M282-N282-O282-P282-Q282</f>
        <v>3399160</v>
      </c>
    </row>
    <row r="283" customFormat="false" ht="15" hidden="false" customHeight="true" outlineLevel="0" collapsed="false">
      <c r="A283" s="5" t="n">
        <f aca="false">A282+1</f>
        <v>278</v>
      </c>
      <c r="B283" s="16" t="n">
        <f aca="false">B282+IF(WEEKDAY(B282,2)=6,2,1)</f>
        <v>46346</v>
      </c>
      <c r="C283" s="5" t="n">
        <f aca="false">MONTH(B283)</f>
        <v>11</v>
      </c>
      <c r="D283" s="5" t="n">
        <f aca="false">IF(C283&lt;&gt;C282,1,0)</f>
        <v>0</v>
      </c>
      <c r="E283" s="17" t="n">
        <f aca="false">IF(L282=1,CantPedido,0)</f>
        <v>0</v>
      </c>
      <c r="F283" s="5" t="n">
        <f aca="false">J282+E283</f>
        <v>8</v>
      </c>
      <c r="G283" s="5" t="n">
        <f aca="false">RANDBETWEEN(3,7)</f>
        <v>3</v>
      </c>
      <c r="H283" s="5" t="n">
        <f aca="false">MIN(F283,G283)</f>
        <v>3</v>
      </c>
      <c r="I283" s="5" t="n">
        <f aca="false">G283-H283</f>
        <v>0</v>
      </c>
      <c r="J283" s="5" t="n">
        <f aca="false">F283-H283</f>
        <v>5</v>
      </c>
      <c r="K283" s="5" t="n">
        <f aca="false">IF(I283&gt;0,1,0)</f>
        <v>0</v>
      </c>
      <c r="L283" s="5" t="n">
        <f aca="false">IF(J283&lt;PuntoReorden,1,0)</f>
        <v>1</v>
      </c>
      <c r="M283" s="18" t="n">
        <f aca="false">PrecioVenta*H283</f>
        <v>2040000</v>
      </c>
      <c r="N283" s="18" t="n">
        <f aca="false">CostoUnitario*E283</f>
        <v>0</v>
      </c>
      <c r="O283" s="18" t="n">
        <f aca="false">IF(E283&gt;0,CostoPedido,0)</f>
        <v>0</v>
      </c>
      <c r="P283" s="18" t="n">
        <f aca="false">CostoAlm*(F283+J283)/2</f>
        <v>520</v>
      </c>
      <c r="Q283" s="18" t="n">
        <f aca="false">CostoFijo*D283</f>
        <v>0</v>
      </c>
      <c r="R283" s="18" t="n">
        <f aca="false">M283-N283-O283-P283-Q283</f>
        <v>2039480</v>
      </c>
    </row>
    <row r="284" customFormat="false" ht="15" hidden="false" customHeight="true" outlineLevel="0" collapsed="false">
      <c r="A284" s="5" t="n">
        <f aca="false">A283+1</f>
        <v>279</v>
      </c>
      <c r="B284" s="16" t="n">
        <f aca="false">B283+IF(WEEKDAY(B283,2)=6,2,1)</f>
        <v>46347</v>
      </c>
      <c r="C284" s="5" t="n">
        <f aca="false">MONTH(B284)</f>
        <v>11</v>
      </c>
      <c r="D284" s="5" t="n">
        <f aca="false">IF(C284&lt;&gt;C283,1,0)</f>
        <v>0</v>
      </c>
      <c r="E284" s="17" t="n">
        <f aca="false">IF(L283=1,CantPedido,0)</f>
        <v>15</v>
      </c>
      <c r="F284" s="5" t="n">
        <f aca="false">J283+E284</f>
        <v>20</v>
      </c>
      <c r="G284" s="5" t="n">
        <f aca="false">RANDBETWEEN(3,7)</f>
        <v>7</v>
      </c>
      <c r="H284" s="5" t="n">
        <f aca="false">MIN(F284,G284)</f>
        <v>7</v>
      </c>
      <c r="I284" s="5" t="n">
        <f aca="false">G284-H284</f>
        <v>0</v>
      </c>
      <c r="J284" s="5" t="n">
        <f aca="false">F284-H284</f>
        <v>13</v>
      </c>
      <c r="K284" s="5" t="n">
        <f aca="false">IF(I284&gt;0,1,0)</f>
        <v>0</v>
      </c>
      <c r="L284" s="5" t="n">
        <f aca="false">IF(J284&lt;PuntoReorden,1,0)</f>
        <v>0</v>
      </c>
      <c r="M284" s="18" t="n">
        <f aca="false">PrecioVenta*H284</f>
        <v>4760000</v>
      </c>
      <c r="N284" s="18" t="n">
        <f aca="false">CostoUnitario*E284</f>
        <v>9000000</v>
      </c>
      <c r="O284" s="18" t="n">
        <f aca="false">IF(E284&gt;0,CostoPedido,0)</f>
        <v>40000</v>
      </c>
      <c r="P284" s="18" t="n">
        <f aca="false">CostoAlm*(F284+J284)/2</f>
        <v>1320</v>
      </c>
      <c r="Q284" s="18" t="n">
        <f aca="false">CostoFijo*D284</f>
        <v>0</v>
      </c>
      <c r="R284" s="18" t="n">
        <f aca="false">M284-N284-O284-P284-Q284</f>
        <v>-4281320</v>
      </c>
    </row>
    <row r="285" customFormat="false" ht="15" hidden="false" customHeight="true" outlineLevel="0" collapsed="false">
      <c r="A285" s="5" t="n">
        <f aca="false">A284+1</f>
        <v>280</v>
      </c>
      <c r="B285" s="16" t="n">
        <f aca="false">B284+IF(WEEKDAY(B284,2)=6,2,1)</f>
        <v>46349</v>
      </c>
      <c r="C285" s="5" t="n">
        <f aca="false">MONTH(B285)</f>
        <v>11</v>
      </c>
      <c r="D285" s="5" t="n">
        <f aca="false">IF(C285&lt;&gt;C284,1,0)</f>
        <v>0</v>
      </c>
      <c r="E285" s="5" t="n">
        <f aca="false">IF(L284=1,CantPedido,0)</f>
        <v>0</v>
      </c>
      <c r="F285" s="5" t="n">
        <f aca="false">J284+E285</f>
        <v>13</v>
      </c>
      <c r="G285" s="5" t="n">
        <f aca="false">RANDBETWEEN(3,7)</f>
        <v>7</v>
      </c>
      <c r="H285" s="5" t="n">
        <f aca="false">MIN(F285,G285)</f>
        <v>7</v>
      </c>
      <c r="I285" s="5" t="n">
        <f aca="false">G285-H285</f>
        <v>0</v>
      </c>
      <c r="J285" s="5" t="n">
        <f aca="false">F285-H285</f>
        <v>6</v>
      </c>
      <c r="K285" s="5" t="n">
        <f aca="false">IF(I285&gt;0,1,0)</f>
        <v>0</v>
      </c>
      <c r="L285" s="5" t="n">
        <f aca="false">IF(J285&lt;PuntoReorden,1,0)</f>
        <v>1</v>
      </c>
      <c r="M285" s="18" t="n">
        <f aca="false">PrecioVenta*H285</f>
        <v>4760000</v>
      </c>
      <c r="N285" s="18" t="n">
        <f aca="false">CostoUnitario*E285</f>
        <v>0</v>
      </c>
      <c r="O285" s="18" t="n">
        <f aca="false">IF(E285&gt;0,CostoPedido,0)</f>
        <v>0</v>
      </c>
      <c r="P285" s="18" t="n">
        <f aca="false">CostoAlm*(F285+J285)/2</f>
        <v>760</v>
      </c>
      <c r="Q285" s="18" t="n">
        <f aca="false">CostoFijo*D285</f>
        <v>0</v>
      </c>
      <c r="R285" s="18" t="n">
        <f aca="false">M285-N285-O285-P285-Q285</f>
        <v>4759240</v>
      </c>
    </row>
    <row r="286" customFormat="false" ht="15" hidden="false" customHeight="true" outlineLevel="0" collapsed="false">
      <c r="A286" s="5" t="n">
        <f aca="false">A285+1</f>
        <v>281</v>
      </c>
      <c r="B286" s="16" t="n">
        <f aca="false">B285+IF(WEEKDAY(B285,2)=6,2,1)</f>
        <v>46350</v>
      </c>
      <c r="C286" s="5" t="n">
        <f aca="false">MONTH(B286)</f>
        <v>11</v>
      </c>
      <c r="D286" s="5" t="n">
        <f aca="false">IF(C286&lt;&gt;C285,1,0)</f>
        <v>0</v>
      </c>
      <c r="E286" s="17" t="n">
        <f aca="false">IF(L285=1,CantPedido,0)</f>
        <v>15</v>
      </c>
      <c r="F286" s="5" t="n">
        <f aca="false">J285+E286</f>
        <v>21</v>
      </c>
      <c r="G286" s="5" t="n">
        <f aca="false">RANDBETWEEN(3,7)</f>
        <v>5</v>
      </c>
      <c r="H286" s="5" t="n">
        <f aca="false">MIN(F286,G286)</f>
        <v>5</v>
      </c>
      <c r="I286" s="5" t="n">
        <f aca="false">G286-H286</f>
        <v>0</v>
      </c>
      <c r="J286" s="5" t="n">
        <f aca="false">F286-H286</f>
        <v>16</v>
      </c>
      <c r="K286" s="5" t="n">
        <f aca="false">IF(I286&gt;0,1,0)</f>
        <v>0</v>
      </c>
      <c r="L286" s="5" t="n">
        <f aca="false">IF(J286&lt;PuntoReorden,1,0)</f>
        <v>0</v>
      </c>
      <c r="M286" s="18" t="n">
        <f aca="false">PrecioVenta*H286</f>
        <v>3400000</v>
      </c>
      <c r="N286" s="18" t="n">
        <f aca="false">CostoUnitario*E286</f>
        <v>9000000</v>
      </c>
      <c r="O286" s="18" t="n">
        <f aca="false">IF(E286&gt;0,CostoPedido,0)</f>
        <v>40000</v>
      </c>
      <c r="P286" s="18" t="n">
        <f aca="false">CostoAlm*(F286+J286)/2</f>
        <v>1480</v>
      </c>
      <c r="Q286" s="18" t="n">
        <f aca="false">CostoFijo*D286</f>
        <v>0</v>
      </c>
      <c r="R286" s="18" t="n">
        <f aca="false">M286-N286-O286-P286-Q286</f>
        <v>-5641480</v>
      </c>
    </row>
    <row r="287" customFormat="false" ht="15" hidden="false" customHeight="true" outlineLevel="0" collapsed="false">
      <c r="A287" s="5" t="n">
        <f aca="false">A286+1</f>
        <v>282</v>
      </c>
      <c r="B287" s="16" t="n">
        <f aca="false">B286+IF(WEEKDAY(B286,2)=6,2,1)</f>
        <v>46351</v>
      </c>
      <c r="C287" s="5" t="n">
        <f aca="false">MONTH(B287)</f>
        <v>11</v>
      </c>
      <c r="D287" s="5" t="n">
        <f aca="false">IF(C287&lt;&gt;C286,1,0)</f>
        <v>0</v>
      </c>
      <c r="E287" s="5" t="n">
        <f aca="false">IF(L286=1,CantPedido,0)</f>
        <v>0</v>
      </c>
      <c r="F287" s="5" t="n">
        <f aca="false">J286+E287</f>
        <v>16</v>
      </c>
      <c r="G287" s="5" t="n">
        <f aca="false">RANDBETWEEN(3,7)</f>
        <v>6</v>
      </c>
      <c r="H287" s="5" t="n">
        <f aca="false">MIN(F287,G287)</f>
        <v>6</v>
      </c>
      <c r="I287" s="5" t="n">
        <f aca="false">G287-H287</f>
        <v>0</v>
      </c>
      <c r="J287" s="5" t="n">
        <f aca="false">F287-H287</f>
        <v>10</v>
      </c>
      <c r="K287" s="5" t="n">
        <f aca="false">IF(I287&gt;0,1,0)</f>
        <v>0</v>
      </c>
      <c r="L287" s="5" t="n">
        <f aca="false">IF(J287&lt;PuntoReorden,1,0)</f>
        <v>0</v>
      </c>
      <c r="M287" s="18" t="n">
        <f aca="false">PrecioVenta*H287</f>
        <v>4080000</v>
      </c>
      <c r="N287" s="18" t="n">
        <f aca="false">CostoUnitario*E287</f>
        <v>0</v>
      </c>
      <c r="O287" s="18" t="n">
        <f aca="false">IF(E287&gt;0,CostoPedido,0)</f>
        <v>0</v>
      </c>
      <c r="P287" s="18" t="n">
        <f aca="false">CostoAlm*(F287+J287)/2</f>
        <v>1040</v>
      </c>
      <c r="Q287" s="18" t="n">
        <f aca="false">CostoFijo*D287</f>
        <v>0</v>
      </c>
      <c r="R287" s="18" t="n">
        <f aca="false">M287-N287-O287-P287-Q287</f>
        <v>4078960</v>
      </c>
    </row>
    <row r="288" customFormat="false" ht="15" hidden="false" customHeight="true" outlineLevel="0" collapsed="false">
      <c r="A288" s="5" t="n">
        <f aca="false">A287+1</f>
        <v>283</v>
      </c>
      <c r="B288" s="16" t="n">
        <f aca="false">B287+IF(WEEKDAY(B287,2)=6,2,1)</f>
        <v>46352</v>
      </c>
      <c r="C288" s="5" t="n">
        <f aca="false">MONTH(B288)</f>
        <v>11</v>
      </c>
      <c r="D288" s="5" t="n">
        <f aca="false">IF(C288&lt;&gt;C287,1,0)</f>
        <v>0</v>
      </c>
      <c r="E288" s="5" t="n">
        <f aca="false">IF(L287=1,CantPedido,0)</f>
        <v>0</v>
      </c>
      <c r="F288" s="5" t="n">
        <f aca="false">J287+E288</f>
        <v>10</v>
      </c>
      <c r="G288" s="5" t="n">
        <f aca="false">RANDBETWEEN(3,7)</f>
        <v>3</v>
      </c>
      <c r="H288" s="5" t="n">
        <f aca="false">MIN(F288,G288)</f>
        <v>3</v>
      </c>
      <c r="I288" s="5" t="n">
        <f aca="false">G288-H288</f>
        <v>0</v>
      </c>
      <c r="J288" s="5" t="n">
        <f aca="false">F288-H288</f>
        <v>7</v>
      </c>
      <c r="K288" s="5" t="n">
        <f aca="false">IF(I288&gt;0,1,0)</f>
        <v>0</v>
      </c>
      <c r="L288" s="5" t="n">
        <f aca="false">IF(J288&lt;PuntoReorden,1,0)</f>
        <v>0</v>
      </c>
      <c r="M288" s="18" t="n">
        <f aca="false">PrecioVenta*H288</f>
        <v>2040000</v>
      </c>
      <c r="N288" s="18" t="n">
        <f aca="false">CostoUnitario*E288</f>
        <v>0</v>
      </c>
      <c r="O288" s="18" t="n">
        <f aca="false">IF(E288&gt;0,CostoPedido,0)</f>
        <v>0</v>
      </c>
      <c r="P288" s="18" t="n">
        <f aca="false">CostoAlm*(F288+J288)/2</f>
        <v>680</v>
      </c>
      <c r="Q288" s="18" t="n">
        <f aca="false">CostoFijo*D288</f>
        <v>0</v>
      </c>
      <c r="R288" s="18" t="n">
        <f aca="false">M288-N288-O288-P288-Q288</f>
        <v>2039320</v>
      </c>
    </row>
    <row r="289" customFormat="false" ht="15" hidden="false" customHeight="true" outlineLevel="0" collapsed="false">
      <c r="A289" s="5" t="n">
        <f aca="false">A288+1</f>
        <v>284</v>
      </c>
      <c r="B289" s="16" t="n">
        <f aca="false">B288+IF(WEEKDAY(B288,2)=6,2,1)</f>
        <v>46353</v>
      </c>
      <c r="C289" s="5" t="n">
        <f aca="false">MONTH(B289)</f>
        <v>11</v>
      </c>
      <c r="D289" s="5" t="n">
        <f aca="false">IF(C289&lt;&gt;C288,1,0)</f>
        <v>0</v>
      </c>
      <c r="E289" s="17" t="n">
        <f aca="false">IF(L288=1,CantPedido,0)</f>
        <v>0</v>
      </c>
      <c r="F289" s="5" t="n">
        <f aca="false">J288+E289</f>
        <v>7</v>
      </c>
      <c r="G289" s="5" t="n">
        <f aca="false">RANDBETWEEN(3,7)</f>
        <v>4</v>
      </c>
      <c r="H289" s="5" t="n">
        <f aca="false">MIN(F289,G289)</f>
        <v>4</v>
      </c>
      <c r="I289" s="5" t="n">
        <f aca="false">G289-H289</f>
        <v>0</v>
      </c>
      <c r="J289" s="5" t="n">
        <f aca="false">F289-H289</f>
        <v>3</v>
      </c>
      <c r="K289" s="5" t="n">
        <f aca="false">IF(I289&gt;0,1,0)</f>
        <v>0</v>
      </c>
      <c r="L289" s="5" t="n">
        <f aca="false">IF(J289&lt;PuntoReorden,1,0)</f>
        <v>1</v>
      </c>
      <c r="M289" s="18" t="n">
        <f aca="false">PrecioVenta*H289</f>
        <v>2720000</v>
      </c>
      <c r="N289" s="18" t="n">
        <f aca="false">CostoUnitario*E289</f>
        <v>0</v>
      </c>
      <c r="O289" s="18" t="n">
        <f aca="false">IF(E289&gt;0,CostoPedido,0)</f>
        <v>0</v>
      </c>
      <c r="P289" s="18" t="n">
        <f aca="false">CostoAlm*(F289+J289)/2</f>
        <v>400</v>
      </c>
      <c r="Q289" s="18" t="n">
        <f aca="false">CostoFijo*D289</f>
        <v>0</v>
      </c>
      <c r="R289" s="18" t="n">
        <f aca="false">M289-N289-O289-P289-Q289</f>
        <v>2719600</v>
      </c>
    </row>
    <row r="290" customFormat="false" ht="15" hidden="false" customHeight="true" outlineLevel="0" collapsed="false">
      <c r="A290" s="5" t="n">
        <f aca="false">A289+1</f>
        <v>285</v>
      </c>
      <c r="B290" s="16" t="n">
        <f aca="false">B289+IF(WEEKDAY(B289,2)=6,2,1)</f>
        <v>46354</v>
      </c>
      <c r="C290" s="5" t="n">
        <f aca="false">MONTH(B290)</f>
        <v>11</v>
      </c>
      <c r="D290" s="5" t="n">
        <f aca="false">IF(C290&lt;&gt;C289,1,0)</f>
        <v>0</v>
      </c>
      <c r="E290" s="17" t="n">
        <f aca="false">IF(L289=1,CantPedido,0)</f>
        <v>15</v>
      </c>
      <c r="F290" s="5" t="n">
        <f aca="false">J289+E290</f>
        <v>18</v>
      </c>
      <c r="G290" s="5" t="n">
        <f aca="false">RANDBETWEEN(3,7)</f>
        <v>5</v>
      </c>
      <c r="H290" s="5" t="n">
        <f aca="false">MIN(F290,G290)</f>
        <v>5</v>
      </c>
      <c r="I290" s="5" t="n">
        <f aca="false">G290-H290</f>
        <v>0</v>
      </c>
      <c r="J290" s="5" t="n">
        <f aca="false">F290-H290</f>
        <v>13</v>
      </c>
      <c r="K290" s="5" t="n">
        <f aca="false">IF(I290&gt;0,1,0)</f>
        <v>0</v>
      </c>
      <c r="L290" s="5" t="n">
        <f aca="false">IF(J290&lt;PuntoReorden,1,0)</f>
        <v>0</v>
      </c>
      <c r="M290" s="18" t="n">
        <f aca="false">PrecioVenta*H290</f>
        <v>3400000</v>
      </c>
      <c r="N290" s="18" t="n">
        <f aca="false">CostoUnitario*E290</f>
        <v>9000000</v>
      </c>
      <c r="O290" s="18" t="n">
        <f aca="false">IF(E290&gt;0,CostoPedido,0)</f>
        <v>40000</v>
      </c>
      <c r="P290" s="18" t="n">
        <f aca="false">CostoAlm*(F290+J290)/2</f>
        <v>1240</v>
      </c>
      <c r="Q290" s="18" t="n">
        <f aca="false">CostoFijo*D290</f>
        <v>0</v>
      </c>
      <c r="R290" s="18" t="n">
        <f aca="false">M290-N290-O290-P290-Q290</f>
        <v>-5641240</v>
      </c>
    </row>
    <row r="291" customFormat="false" ht="15" hidden="false" customHeight="true" outlineLevel="0" collapsed="false">
      <c r="A291" s="5" t="n">
        <f aca="false">A290+1</f>
        <v>286</v>
      </c>
      <c r="B291" s="16" t="n">
        <f aca="false">B290+IF(WEEKDAY(B290,2)=6,2,1)</f>
        <v>46356</v>
      </c>
      <c r="C291" s="5" t="n">
        <f aca="false">MONTH(B291)</f>
        <v>11</v>
      </c>
      <c r="D291" s="5" t="n">
        <f aca="false">IF(C291&lt;&gt;C290,1,0)</f>
        <v>0</v>
      </c>
      <c r="E291" s="5" t="n">
        <f aca="false">IF(L290=1,CantPedido,0)</f>
        <v>0</v>
      </c>
      <c r="F291" s="5" t="n">
        <f aca="false">J290+E291</f>
        <v>13</v>
      </c>
      <c r="G291" s="5" t="n">
        <f aca="false">RANDBETWEEN(3,7)</f>
        <v>7</v>
      </c>
      <c r="H291" s="5" t="n">
        <f aca="false">MIN(F291,G291)</f>
        <v>7</v>
      </c>
      <c r="I291" s="5" t="n">
        <f aca="false">G291-H291</f>
        <v>0</v>
      </c>
      <c r="J291" s="5" t="n">
        <f aca="false">F291-H291</f>
        <v>6</v>
      </c>
      <c r="K291" s="5" t="n">
        <f aca="false">IF(I291&gt;0,1,0)</f>
        <v>0</v>
      </c>
      <c r="L291" s="5" t="n">
        <f aca="false">IF(J291&lt;PuntoReorden,1,0)</f>
        <v>1</v>
      </c>
      <c r="M291" s="18" t="n">
        <f aca="false">PrecioVenta*H291</f>
        <v>4760000</v>
      </c>
      <c r="N291" s="18" t="n">
        <f aca="false">CostoUnitario*E291</f>
        <v>0</v>
      </c>
      <c r="O291" s="18" t="n">
        <f aca="false">IF(E291&gt;0,CostoPedido,0)</f>
        <v>0</v>
      </c>
      <c r="P291" s="18" t="n">
        <f aca="false">CostoAlm*(F291+J291)/2</f>
        <v>760</v>
      </c>
      <c r="Q291" s="18" t="n">
        <f aca="false">CostoFijo*D291</f>
        <v>0</v>
      </c>
      <c r="R291" s="18" t="n">
        <f aca="false">M291-N291-O291-P291-Q291</f>
        <v>4759240</v>
      </c>
    </row>
    <row r="292" customFormat="false" ht="15" hidden="false" customHeight="true" outlineLevel="0" collapsed="false">
      <c r="A292" s="5" t="n">
        <f aca="false">A291+1</f>
        <v>287</v>
      </c>
      <c r="B292" s="16" t="n">
        <f aca="false">B291+IF(WEEKDAY(B291,2)=6,2,1)</f>
        <v>46357</v>
      </c>
      <c r="C292" s="5" t="n">
        <f aca="false">MONTH(B292)</f>
        <v>12</v>
      </c>
      <c r="D292" s="5" t="n">
        <f aca="false">IF(C292&lt;&gt;C291,1,0)</f>
        <v>1</v>
      </c>
      <c r="E292" s="17" t="n">
        <f aca="false">IF(L291=1,CantPedido,0)</f>
        <v>15</v>
      </c>
      <c r="F292" s="5" t="n">
        <f aca="false">J291+E292</f>
        <v>21</v>
      </c>
      <c r="G292" s="5" t="n">
        <f aca="false">RANDBETWEEN(3,7)</f>
        <v>5</v>
      </c>
      <c r="H292" s="5" t="n">
        <f aca="false">MIN(F292,G292)</f>
        <v>5</v>
      </c>
      <c r="I292" s="5" t="n">
        <f aca="false">G292-H292</f>
        <v>0</v>
      </c>
      <c r="J292" s="5" t="n">
        <f aca="false">F292-H292</f>
        <v>16</v>
      </c>
      <c r="K292" s="5" t="n">
        <f aca="false">IF(I292&gt;0,1,0)</f>
        <v>0</v>
      </c>
      <c r="L292" s="5" t="n">
        <f aca="false">IF(J292&lt;PuntoReorden,1,0)</f>
        <v>0</v>
      </c>
      <c r="M292" s="18" t="n">
        <f aca="false">PrecioVenta*H292</f>
        <v>3400000</v>
      </c>
      <c r="N292" s="18" t="n">
        <f aca="false">CostoUnitario*E292</f>
        <v>9000000</v>
      </c>
      <c r="O292" s="18" t="n">
        <f aca="false">IF(E292&gt;0,CostoPedido,0)</f>
        <v>40000</v>
      </c>
      <c r="P292" s="18" t="n">
        <f aca="false">CostoAlm*(F292+J292)/2</f>
        <v>1480</v>
      </c>
      <c r="Q292" s="18" t="n">
        <f aca="false">CostoFijo*D292</f>
        <v>1000000</v>
      </c>
      <c r="R292" s="18" t="n">
        <f aca="false">M292-N292-O292-P292-Q292</f>
        <v>-6641480</v>
      </c>
    </row>
    <row r="293" customFormat="false" ht="15" hidden="false" customHeight="true" outlineLevel="0" collapsed="false">
      <c r="A293" s="5" t="n">
        <f aca="false">A292+1</f>
        <v>288</v>
      </c>
      <c r="B293" s="16" t="n">
        <f aca="false">B292+IF(WEEKDAY(B292,2)=6,2,1)</f>
        <v>46358</v>
      </c>
      <c r="C293" s="5" t="n">
        <f aca="false">MONTH(B293)</f>
        <v>12</v>
      </c>
      <c r="D293" s="5" t="n">
        <f aca="false">IF(C293&lt;&gt;C292,1,0)</f>
        <v>0</v>
      </c>
      <c r="E293" s="17" t="n">
        <f aca="false">IF(L292=1,CantPedido,0)</f>
        <v>0</v>
      </c>
      <c r="F293" s="5" t="n">
        <f aca="false">J292+E293</f>
        <v>16</v>
      </c>
      <c r="G293" s="5" t="n">
        <f aca="false">RANDBETWEEN(3,7)</f>
        <v>6</v>
      </c>
      <c r="H293" s="5" t="n">
        <f aca="false">MIN(F293,G293)</f>
        <v>6</v>
      </c>
      <c r="I293" s="5" t="n">
        <f aca="false">G293-H293</f>
        <v>0</v>
      </c>
      <c r="J293" s="5" t="n">
        <f aca="false">F293-H293</f>
        <v>10</v>
      </c>
      <c r="K293" s="5" t="n">
        <f aca="false">IF(I293&gt;0,1,0)</f>
        <v>0</v>
      </c>
      <c r="L293" s="5" t="n">
        <f aca="false">IF(J293&lt;PuntoReorden,1,0)</f>
        <v>0</v>
      </c>
      <c r="M293" s="18" t="n">
        <f aca="false">PrecioVenta*H293</f>
        <v>4080000</v>
      </c>
      <c r="N293" s="18" t="n">
        <f aca="false">CostoUnitario*E293</f>
        <v>0</v>
      </c>
      <c r="O293" s="18" t="n">
        <f aca="false">IF(E293&gt;0,CostoPedido,0)</f>
        <v>0</v>
      </c>
      <c r="P293" s="18" t="n">
        <f aca="false">CostoAlm*(F293+J293)/2</f>
        <v>1040</v>
      </c>
      <c r="Q293" s="18" t="n">
        <f aca="false">CostoFijo*D293</f>
        <v>0</v>
      </c>
      <c r="R293" s="18" t="n">
        <f aca="false">M293-N293-O293-P293-Q293</f>
        <v>4078960</v>
      </c>
    </row>
    <row r="294" customFormat="false" ht="15" hidden="false" customHeight="true" outlineLevel="0" collapsed="false">
      <c r="A294" s="5" t="n">
        <f aca="false">A293+1</f>
        <v>289</v>
      </c>
      <c r="B294" s="16" t="n">
        <f aca="false">B293+IF(WEEKDAY(B293,2)=6,2,1)</f>
        <v>46359</v>
      </c>
      <c r="C294" s="5" t="n">
        <f aca="false">MONTH(B294)</f>
        <v>12</v>
      </c>
      <c r="D294" s="5" t="n">
        <f aca="false">IF(C294&lt;&gt;C293,1,0)</f>
        <v>0</v>
      </c>
      <c r="E294" s="5" t="n">
        <f aca="false">IF(L293=1,CantPedido,0)</f>
        <v>0</v>
      </c>
      <c r="F294" s="5" t="n">
        <f aca="false">J293+E294</f>
        <v>10</v>
      </c>
      <c r="G294" s="5" t="n">
        <f aca="false">RANDBETWEEN(3,7)</f>
        <v>3</v>
      </c>
      <c r="H294" s="5" t="n">
        <f aca="false">MIN(F294,G294)</f>
        <v>3</v>
      </c>
      <c r="I294" s="5" t="n">
        <f aca="false">G294-H294</f>
        <v>0</v>
      </c>
      <c r="J294" s="5" t="n">
        <f aca="false">F294-H294</f>
        <v>7</v>
      </c>
      <c r="K294" s="5" t="n">
        <f aca="false">IF(I294&gt;0,1,0)</f>
        <v>0</v>
      </c>
      <c r="L294" s="5" t="n">
        <f aca="false">IF(J294&lt;PuntoReorden,1,0)</f>
        <v>0</v>
      </c>
      <c r="M294" s="18" t="n">
        <f aca="false">PrecioVenta*H294</f>
        <v>2040000</v>
      </c>
      <c r="N294" s="18" t="n">
        <f aca="false">CostoUnitario*E294</f>
        <v>0</v>
      </c>
      <c r="O294" s="18" t="n">
        <f aca="false">IF(E294&gt;0,CostoPedido,0)</f>
        <v>0</v>
      </c>
      <c r="P294" s="18" t="n">
        <f aca="false">CostoAlm*(F294+J294)/2</f>
        <v>680</v>
      </c>
      <c r="Q294" s="18" t="n">
        <f aca="false">CostoFijo*D294</f>
        <v>0</v>
      </c>
      <c r="R294" s="18" t="n">
        <f aca="false">M294-N294-O294-P294-Q294</f>
        <v>2039320</v>
      </c>
    </row>
    <row r="295" customFormat="false" ht="15" hidden="false" customHeight="true" outlineLevel="0" collapsed="false">
      <c r="A295" s="5" t="n">
        <f aca="false">A294+1</f>
        <v>290</v>
      </c>
      <c r="B295" s="16" t="n">
        <f aca="false">B294+IF(WEEKDAY(B294,2)=6,2,1)</f>
        <v>46360</v>
      </c>
      <c r="C295" s="5" t="n">
        <f aca="false">MONTH(B295)</f>
        <v>12</v>
      </c>
      <c r="D295" s="5" t="n">
        <f aca="false">IF(C295&lt;&gt;C294,1,0)</f>
        <v>0</v>
      </c>
      <c r="E295" s="5" t="n">
        <f aca="false">IF(L294=1,CantPedido,0)</f>
        <v>0</v>
      </c>
      <c r="F295" s="5" t="n">
        <f aca="false">J294+E295</f>
        <v>7</v>
      </c>
      <c r="G295" s="5" t="n">
        <f aca="false">RANDBETWEEN(3,7)</f>
        <v>7</v>
      </c>
      <c r="H295" s="5" t="n">
        <f aca="false">MIN(F295,G295)</f>
        <v>7</v>
      </c>
      <c r="I295" s="5" t="n">
        <f aca="false">G295-H295</f>
        <v>0</v>
      </c>
      <c r="J295" s="5" t="n">
        <f aca="false">F295-H295</f>
        <v>0</v>
      </c>
      <c r="K295" s="5" t="n">
        <f aca="false">IF(I295&gt;0,1,0)</f>
        <v>0</v>
      </c>
      <c r="L295" s="5" t="n">
        <f aca="false">IF(J295&lt;PuntoReorden,1,0)</f>
        <v>1</v>
      </c>
      <c r="M295" s="18" t="n">
        <f aca="false">PrecioVenta*H295</f>
        <v>4760000</v>
      </c>
      <c r="N295" s="18" t="n">
        <f aca="false">CostoUnitario*E295</f>
        <v>0</v>
      </c>
      <c r="O295" s="18" t="n">
        <f aca="false">IF(E295&gt;0,CostoPedido,0)</f>
        <v>0</v>
      </c>
      <c r="P295" s="18" t="n">
        <f aca="false">CostoAlm*(F295+J295)/2</f>
        <v>280</v>
      </c>
      <c r="Q295" s="18" t="n">
        <f aca="false">CostoFijo*D295</f>
        <v>0</v>
      </c>
      <c r="R295" s="18" t="n">
        <f aca="false">M295-N295-O295-P295-Q295</f>
        <v>4759720</v>
      </c>
    </row>
    <row r="296" customFormat="false" ht="15" hidden="false" customHeight="true" outlineLevel="0" collapsed="false">
      <c r="A296" s="5" t="n">
        <f aca="false">A295+1</f>
        <v>291</v>
      </c>
      <c r="B296" s="16" t="n">
        <f aca="false">B295+IF(WEEKDAY(B295,2)=6,2,1)</f>
        <v>46361</v>
      </c>
      <c r="C296" s="5" t="n">
        <f aca="false">MONTH(B296)</f>
        <v>12</v>
      </c>
      <c r="D296" s="5" t="n">
        <f aca="false">IF(C296&lt;&gt;C295,1,0)</f>
        <v>0</v>
      </c>
      <c r="E296" s="17" t="n">
        <f aca="false">IF(L295=1,CantPedido,0)</f>
        <v>15</v>
      </c>
      <c r="F296" s="5" t="n">
        <f aca="false">J295+E296</f>
        <v>15</v>
      </c>
      <c r="G296" s="5" t="n">
        <f aca="false">RANDBETWEEN(3,7)</f>
        <v>6</v>
      </c>
      <c r="H296" s="5" t="n">
        <f aca="false">MIN(F296,G296)</f>
        <v>6</v>
      </c>
      <c r="I296" s="5" t="n">
        <f aca="false">G296-H296</f>
        <v>0</v>
      </c>
      <c r="J296" s="5" t="n">
        <f aca="false">F296-H296</f>
        <v>9</v>
      </c>
      <c r="K296" s="5" t="n">
        <f aca="false">IF(I296&gt;0,1,0)</f>
        <v>0</v>
      </c>
      <c r="L296" s="5" t="n">
        <f aca="false">IF(J296&lt;PuntoReorden,1,0)</f>
        <v>0</v>
      </c>
      <c r="M296" s="18" t="n">
        <f aca="false">PrecioVenta*H296</f>
        <v>4080000</v>
      </c>
      <c r="N296" s="18" t="n">
        <f aca="false">CostoUnitario*E296</f>
        <v>9000000</v>
      </c>
      <c r="O296" s="18" t="n">
        <f aca="false">IF(E296&gt;0,CostoPedido,0)</f>
        <v>40000</v>
      </c>
      <c r="P296" s="18" t="n">
        <f aca="false">CostoAlm*(F296+J296)/2</f>
        <v>960</v>
      </c>
      <c r="Q296" s="18" t="n">
        <f aca="false">CostoFijo*D296</f>
        <v>0</v>
      </c>
      <c r="R296" s="18" t="n">
        <f aca="false">M296-N296-O296-P296-Q296</f>
        <v>-4960960</v>
      </c>
    </row>
    <row r="297" customFormat="false" ht="15" hidden="false" customHeight="true" outlineLevel="0" collapsed="false">
      <c r="A297" s="5" t="n">
        <f aca="false">A296+1</f>
        <v>292</v>
      </c>
      <c r="B297" s="16" t="n">
        <f aca="false">B296+IF(WEEKDAY(B296,2)=6,2,1)</f>
        <v>46363</v>
      </c>
      <c r="C297" s="5" t="n">
        <f aca="false">MONTH(B297)</f>
        <v>12</v>
      </c>
      <c r="D297" s="5" t="n">
        <f aca="false">IF(C297&lt;&gt;C296,1,0)</f>
        <v>0</v>
      </c>
      <c r="E297" s="17" t="n">
        <f aca="false">IF(L296=1,CantPedido,0)</f>
        <v>0</v>
      </c>
      <c r="F297" s="5" t="n">
        <f aca="false">J296+E297</f>
        <v>9</v>
      </c>
      <c r="G297" s="5" t="n">
        <f aca="false">RANDBETWEEN(3,7)</f>
        <v>5</v>
      </c>
      <c r="H297" s="5" t="n">
        <f aca="false">MIN(F297,G297)</f>
        <v>5</v>
      </c>
      <c r="I297" s="5" t="n">
        <f aca="false">G297-H297</f>
        <v>0</v>
      </c>
      <c r="J297" s="5" t="n">
        <f aca="false">F297-H297</f>
        <v>4</v>
      </c>
      <c r="K297" s="5" t="n">
        <f aca="false">IF(I297&gt;0,1,0)</f>
        <v>0</v>
      </c>
      <c r="L297" s="5" t="n">
        <f aca="false">IF(J297&lt;PuntoReorden,1,0)</f>
        <v>1</v>
      </c>
      <c r="M297" s="18" t="n">
        <f aca="false">PrecioVenta*H297</f>
        <v>3400000</v>
      </c>
      <c r="N297" s="18" t="n">
        <f aca="false">CostoUnitario*E297</f>
        <v>0</v>
      </c>
      <c r="O297" s="18" t="n">
        <f aca="false">IF(E297&gt;0,CostoPedido,0)</f>
        <v>0</v>
      </c>
      <c r="P297" s="18" t="n">
        <f aca="false">CostoAlm*(F297+J297)/2</f>
        <v>520</v>
      </c>
      <c r="Q297" s="18" t="n">
        <f aca="false">CostoFijo*D297</f>
        <v>0</v>
      </c>
      <c r="R297" s="18" t="n">
        <f aca="false">M297-N297-O297-P297-Q297</f>
        <v>3399480</v>
      </c>
    </row>
    <row r="298" customFormat="false" ht="15" hidden="false" customHeight="true" outlineLevel="0" collapsed="false">
      <c r="A298" s="5" t="n">
        <f aca="false">A297+1</f>
        <v>293</v>
      </c>
      <c r="B298" s="16" t="n">
        <f aca="false">B297+IF(WEEKDAY(B297,2)=6,2,1)</f>
        <v>46364</v>
      </c>
      <c r="C298" s="5" t="n">
        <f aca="false">MONTH(B298)</f>
        <v>12</v>
      </c>
      <c r="D298" s="5" t="n">
        <f aca="false">IF(C298&lt;&gt;C297,1,0)</f>
        <v>0</v>
      </c>
      <c r="E298" s="17" t="n">
        <f aca="false">IF(L297=1,CantPedido,0)</f>
        <v>15</v>
      </c>
      <c r="F298" s="5" t="n">
        <f aca="false">J297+E298</f>
        <v>19</v>
      </c>
      <c r="G298" s="5" t="n">
        <f aca="false">RANDBETWEEN(3,7)</f>
        <v>7</v>
      </c>
      <c r="H298" s="5" t="n">
        <f aca="false">MIN(F298,G298)</f>
        <v>7</v>
      </c>
      <c r="I298" s="5" t="n">
        <f aca="false">G298-H298</f>
        <v>0</v>
      </c>
      <c r="J298" s="5" t="n">
        <f aca="false">F298-H298</f>
        <v>12</v>
      </c>
      <c r="K298" s="5" t="n">
        <f aca="false">IF(I298&gt;0,1,0)</f>
        <v>0</v>
      </c>
      <c r="L298" s="5" t="n">
        <f aca="false">IF(J298&lt;PuntoReorden,1,0)</f>
        <v>0</v>
      </c>
      <c r="M298" s="18" t="n">
        <f aca="false">PrecioVenta*H298</f>
        <v>4760000</v>
      </c>
      <c r="N298" s="18" t="n">
        <f aca="false">CostoUnitario*E298</f>
        <v>9000000</v>
      </c>
      <c r="O298" s="18" t="n">
        <f aca="false">IF(E298&gt;0,CostoPedido,0)</f>
        <v>40000</v>
      </c>
      <c r="P298" s="18" t="n">
        <f aca="false">CostoAlm*(F298+J298)/2</f>
        <v>1240</v>
      </c>
      <c r="Q298" s="18" t="n">
        <f aca="false">CostoFijo*D298</f>
        <v>0</v>
      </c>
      <c r="R298" s="18" t="n">
        <f aca="false">M298-N298-O298-P298-Q298</f>
        <v>-4281240</v>
      </c>
    </row>
    <row r="299" customFormat="false" ht="15" hidden="false" customHeight="true" outlineLevel="0" collapsed="false">
      <c r="A299" s="5" t="n">
        <f aca="false">A298+1</f>
        <v>294</v>
      </c>
      <c r="B299" s="16" t="n">
        <f aca="false">B298+IF(WEEKDAY(B298,2)=6,2,1)</f>
        <v>46365</v>
      </c>
      <c r="C299" s="5" t="n">
        <f aca="false">MONTH(B299)</f>
        <v>12</v>
      </c>
      <c r="D299" s="5" t="n">
        <f aca="false">IF(C299&lt;&gt;C298,1,0)</f>
        <v>0</v>
      </c>
      <c r="E299" s="17" t="n">
        <f aca="false">IF(L298=1,CantPedido,0)</f>
        <v>0</v>
      </c>
      <c r="F299" s="5" t="n">
        <f aca="false">J298+E299</f>
        <v>12</v>
      </c>
      <c r="G299" s="5" t="n">
        <f aca="false">RANDBETWEEN(3,7)</f>
        <v>5</v>
      </c>
      <c r="H299" s="5" t="n">
        <f aca="false">MIN(F299,G299)</f>
        <v>5</v>
      </c>
      <c r="I299" s="5" t="n">
        <f aca="false">G299-H299</f>
        <v>0</v>
      </c>
      <c r="J299" s="5" t="n">
        <f aca="false">F299-H299</f>
        <v>7</v>
      </c>
      <c r="K299" s="5" t="n">
        <f aca="false">IF(I299&gt;0,1,0)</f>
        <v>0</v>
      </c>
      <c r="L299" s="5" t="n">
        <f aca="false">IF(J299&lt;PuntoReorden,1,0)</f>
        <v>0</v>
      </c>
      <c r="M299" s="18" t="n">
        <f aca="false">PrecioVenta*H299</f>
        <v>3400000</v>
      </c>
      <c r="N299" s="18" t="n">
        <f aca="false">CostoUnitario*E299</f>
        <v>0</v>
      </c>
      <c r="O299" s="18" t="n">
        <f aca="false">IF(E299&gt;0,CostoPedido,0)</f>
        <v>0</v>
      </c>
      <c r="P299" s="18" t="n">
        <f aca="false">CostoAlm*(F299+J299)/2</f>
        <v>760</v>
      </c>
      <c r="Q299" s="18" t="n">
        <f aca="false">CostoFijo*D299</f>
        <v>0</v>
      </c>
      <c r="R299" s="18" t="n">
        <f aca="false">M299-N299-O299-P299-Q299</f>
        <v>3399240</v>
      </c>
    </row>
    <row r="300" customFormat="false" ht="15" hidden="false" customHeight="true" outlineLevel="0" collapsed="false">
      <c r="A300" s="5" t="n">
        <f aca="false">A299+1</f>
        <v>295</v>
      </c>
      <c r="B300" s="16" t="n">
        <f aca="false">B299+IF(WEEKDAY(B299,2)=6,2,1)</f>
        <v>46366</v>
      </c>
      <c r="C300" s="5" t="n">
        <f aca="false">MONTH(B300)</f>
        <v>12</v>
      </c>
      <c r="D300" s="5" t="n">
        <f aca="false">IF(C300&lt;&gt;C299,1,0)</f>
        <v>0</v>
      </c>
      <c r="E300" s="5" t="n">
        <f aca="false">IF(L299=1,CantPedido,0)</f>
        <v>0</v>
      </c>
      <c r="F300" s="5" t="n">
        <f aca="false">J299+E300</f>
        <v>7</v>
      </c>
      <c r="G300" s="5" t="n">
        <f aca="false">RANDBETWEEN(3,7)</f>
        <v>4</v>
      </c>
      <c r="H300" s="5" t="n">
        <f aca="false">MIN(F300,G300)</f>
        <v>4</v>
      </c>
      <c r="I300" s="5" t="n">
        <f aca="false">G300-H300</f>
        <v>0</v>
      </c>
      <c r="J300" s="5" t="n">
        <f aca="false">F300-H300</f>
        <v>3</v>
      </c>
      <c r="K300" s="5" t="n">
        <f aca="false">IF(I300&gt;0,1,0)</f>
        <v>0</v>
      </c>
      <c r="L300" s="5" t="n">
        <f aca="false">IF(J300&lt;PuntoReorden,1,0)</f>
        <v>1</v>
      </c>
      <c r="M300" s="18" t="n">
        <f aca="false">PrecioVenta*H300</f>
        <v>2720000</v>
      </c>
      <c r="N300" s="18" t="n">
        <f aca="false">CostoUnitario*E300</f>
        <v>0</v>
      </c>
      <c r="O300" s="18" t="n">
        <f aca="false">IF(E300&gt;0,CostoPedido,0)</f>
        <v>0</v>
      </c>
      <c r="P300" s="18" t="n">
        <f aca="false">CostoAlm*(F300+J300)/2</f>
        <v>400</v>
      </c>
      <c r="Q300" s="18" t="n">
        <f aca="false">CostoFijo*D300</f>
        <v>0</v>
      </c>
      <c r="R300" s="18" t="n">
        <f aca="false">M300-N300-O300-P300-Q300</f>
        <v>2719600</v>
      </c>
    </row>
    <row r="301" customFormat="false" ht="15" hidden="false" customHeight="true" outlineLevel="0" collapsed="false">
      <c r="A301" s="5" t="n">
        <f aca="false">A300+1</f>
        <v>296</v>
      </c>
      <c r="B301" s="16" t="n">
        <f aca="false">B300+IF(WEEKDAY(B300,2)=6,2,1)</f>
        <v>46367</v>
      </c>
      <c r="C301" s="5" t="n">
        <f aca="false">MONTH(B301)</f>
        <v>12</v>
      </c>
      <c r="D301" s="5" t="n">
        <f aca="false">IF(C301&lt;&gt;C300,1,0)</f>
        <v>0</v>
      </c>
      <c r="E301" s="17" t="n">
        <f aca="false">IF(L300=1,CantPedido,0)</f>
        <v>15</v>
      </c>
      <c r="F301" s="5" t="n">
        <f aca="false">J300+E301</f>
        <v>18</v>
      </c>
      <c r="G301" s="5" t="n">
        <f aca="false">RANDBETWEEN(3,7)</f>
        <v>7</v>
      </c>
      <c r="H301" s="5" t="n">
        <f aca="false">MIN(F301,G301)</f>
        <v>7</v>
      </c>
      <c r="I301" s="5" t="n">
        <f aca="false">G301-H301</f>
        <v>0</v>
      </c>
      <c r="J301" s="5" t="n">
        <f aca="false">F301-H301</f>
        <v>11</v>
      </c>
      <c r="K301" s="5" t="n">
        <f aca="false">IF(I301&gt;0,1,0)</f>
        <v>0</v>
      </c>
      <c r="L301" s="5" t="n">
        <f aca="false">IF(J301&lt;PuntoReorden,1,0)</f>
        <v>0</v>
      </c>
      <c r="M301" s="18" t="n">
        <f aca="false">PrecioVenta*H301</f>
        <v>4760000</v>
      </c>
      <c r="N301" s="18" t="n">
        <f aca="false">CostoUnitario*E301</f>
        <v>9000000</v>
      </c>
      <c r="O301" s="18" t="n">
        <f aca="false">IF(E301&gt;0,CostoPedido,0)</f>
        <v>40000</v>
      </c>
      <c r="P301" s="18" t="n">
        <f aca="false">CostoAlm*(F301+J301)/2</f>
        <v>1160</v>
      </c>
      <c r="Q301" s="18" t="n">
        <f aca="false">CostoFijo*D301</f>
        <v>0</v>
      </c>
      <c r="R301" s="18" t="n">
        <f aca="false">M301-N301-O301-P301-Q301</f>
        <v>-4281160</v>
      </c>
    </row>
    <row r="302" customFormat="false" ht="15" hidden="false" customHeight="true" outlineLevel="0" collapsed="false">
      <c r="A302" s="5" t="n">
        <f aca="false">A301+1</f>
        <v>297</v>
      </c>
      <c r="B302" s="16" t="n">
        <f aca="false">B301+IF(WEEKDAY(B301,2)=6,2,1)</f>
        <v>46368</v>
      </c>
      <c r="C302" s="5" t="n">
        <f aca="false">MONTH(B302)</f>
        <v>12</v>
      </c>
      <c r="D302" s="5" t="n">
        <f aca="false">IF(C302&lt;&gt;C301,1,0)</f>
        <v>0</v>
      </c>
      <c r="E302" s="5" t="n">
        <f aca="false">IF(L301=1,CantPedido,0)</f>
        <v>0</v>
      </c>
      <c r="F302" s="5" t="n">
        <f aca="false">J301+E302</f>
        <v>11</v>
      </c>
      <c r="G302" s="5" t="n">
        <f aca="false">RANDBETWEEN(3,7)</f>
        <v>4</v>
      </c>
      <c r="H302" s="5" t="n">
        <f aca="false">MIN(F302,G302)</f>
        <v>4</v>
      </c>
      <c r="I302" s="5" t="n">
        <f aca="false">G302-H302</f>
        <v>0</v>
      </c>
      <c r="J302" s="5" t="n">
        <f aca="false">F302-H302</f>
        <v>7</v>
      </c>
      <c r="K302" s="5" t="n">
        <f aca="false">IF(I302&gt;0,1,0)</f>
        <v>0</v>
      </c>
      <c r="L302" s="5" t="n">
        <f aca="false">IF(J302&lt;PuntoReorden,1,0)</f>
        <v>0</v>
      </c>
      <c r="M302" s="18" t="n">
        <f aca="false">PrecioVenta*H302</f>
        <v>2720000</v>
      </c>
      <c r="N302" s="18" t="n">
        <f aca="false">CostoUnitario*E302</f>
        <v>0</v>
      </c>
      <c r="O302" s="18" t="n">
        <f aca="false">IF(E302&gt;0,CostoPedido,0)</f>
        <v>0</v>
      </c>
      <c r="P302" s="18" t="n">
        <f aca="false">CostoAlm*(F302+J302)/2</f>
        <v>720</v>
      </c>
      <c r="Q302" s="18" t="n">
        <f aca="false">CostoFijo*D302</f>
        <v>0</v>
      </c>
      <c r="R302" s="18" t="n">
        <f aca="false">M302-N302-O302-P302-Q302</f>
        <v>2719280</v>
      </c>
    </row>
    <row r="303" customFormat="false" ht="15" hidden="false" customHeight="true" outlineLevel="0" collapsed="false">
      <c r="A303" s="5" t="n">
        <f aca="false">A302+1</f>
        <v>298</v>
      </c>
      <c r="B303" s="16" t="n">
        <f aca="false">B302+IF(WEEKDAY(B302,2)=6,2,1)</f>
        <v>46370</v>
      </c>
      <c r="C303" s="5" t="n">
        <f aca="false">MONTH(B303)</f>
        <v>12</v>
      </c>
      <c r="D303" s="5" t="n">
        <f aca="false">IF(C303&lt;&gt;C302,1,0)</f>
        <v>0</v>
      </c>
      <c r="E303" s="17" t="n">
        <f aca="false">IF(L302=1,CantPedido,0)</f>
        <v>0</v>
      </c>
      <c r="F303" s="5" t="n">
        <f aca="false">J302+E303</f>
        <v>7</v>
      </c>
      <c r="G303" s="5" t="n">
        <f aca="false">RANDBETWEEN(3,7)</f>
        <v>4</v>
      </c>
      <c r="H303" s="5" t="n">
        <f aca="false">MIN(F303,G303)</f>
        <v>4</v>
      </c>
      <c r="I303" s="5" t="n">
        <f aca="false">G303-H303</f>
        <v>0</v>
      </c>
      <c r="J303" s="5" t="n">
        <f aca="false">F303-H303</f>
        <v>3</v>
      </c>
      <c r="K303" s="5" t="n">
        <f aca="false">IF(I303&gt;0,1,0)</f>
        <v>0</v>
      </c>
      <c r="L303" s="5" t="n">
        <f aca="false">IF(J303&lt;PuntoReorden,1,0)</f>
        <v>1</v>
      </c>
      <c r="M303" s="18" t="n">
        <f aca="false">PrecioVenta*H303</f>
        <v>2720000</v>
      </c>
      <c r="N303" s="18" t="n">
        <f aca="false">CostoUnitario*E303</f>
        <v>0</v>
      </c>
      <c r="O303" s="18" t="n">
        <f aca="false">IF(E303&gt;0,CostoPedido,0)</f>
        <v>0</v>
      </c>
      <c r="P303" s="18" t="n">
        <f aca="false">CostoAlm*(F303+J303)/2</f>
        <v>400</v>
      </c>
      <c r="Q303" s="18" t="n">
        <f aca="false">CostoFijo*D303</f>
        <v>0</v>
      </c>
      <c r="R303" s="18" t="n">
        <f aca="false">M303-N303-O303-P303-Q303</f>
        <v>2719600</v>
      </c>
    </row>
    <row r="304" customFormat="false" ht="15" hidden="false" customHeight="true" outlineLevel="0" collapsed="false">
      <c r="A304" s="5" t="n">
        <f aca="false">A303+1</f>
        <v>299</v>
      </c>
      <c r="B304" s="16" t="n">
        <f aca="false">B303+IF(WEEKDAY(B303,2)=6,2,1)</f>
        <v>46371</v>
      </c>
      <c r="C304" s="5" t="n">
        <f aca="false">MONTH(B304)</f>
        <v>12</v>
      </c>
      <c r="D304" s="5" t="n">
        <f aca="false">IF(C304&lt;&gt;C303,1,0)</f>
        <v>0</v>
      </c>
      <c r="E304" s="17" t="n">
        <f aca="false">IF(L303=1,CantPedido,0)</f>
        <v>15</v>
      </c>
      <c r="F304" s="5" t="n">
        <f aca="false">J303+E304</f>
        <v>18</v>
      </c>
      <c r="G304" s="5" t="n">
        <f aca="false">RANDBETWEEN(3,7)</f>
        <v>3</v>
      </c>
      <c r="H304" s="5" t="n">
        <f aca="false">MIN(F304,G304)</f>
        <v>3</v>
      </c>
      <c r="I304" s="5" t="n">
        <f aca="false">G304-H304</f>
        <v>0</v>
      </c>
      <c r="J304" s="5" t="n">
        <f aca="false">F304-H304</f>
        <v>15</v>
      </c>
      <c r="K304" s="5" t="n">
        <f aca="false">IF(I304&gt;0,1,0)</f>
        <v>0</v>
      </c>
      <c r="L304" s="5" t="n">
        <f aca="false">IF(J304&lt;PuntoReorden,1,0)</f>
        <v>0</v>
      </c>
      <c r="M304" s="18" t="n">
        <f aca="false">PrecioVenta*H304</f>
        <v>2040000</v>
      </c>
      <c r="N304" s="18" t="n">
        <f aca="false">CostoUnitario*E304</f>
        <v>9000000</v>
      </c>
      <c r="O304" s="18" t="n">
        <f aca="false">IF(E304&gt;0,CostoPedido,0)</f>
        <v>40000</v>
      </c>
      <c r="P304" s="18" t="n">
        <f aca="false">CostoAlm*(F304+J304)/2</f>
        <v>1320</v>
      </c>
      <c r="Q304" s="18" t="n">
        <f aca="false">CostoFijo*D304</f>
        <v>0</v>
      </c>
      <c r="R304" s="18" t="n">
        <f aca="false">M304-N304-O304-P304-Q304</f>
        <v>-7001320</v>
      </c>
    </row>
    <row r="305" customFormat="false" ht="15" hidden="false" customHeight="true" outlineLevel="0" collapsed="false">
      <c r="A305" s="5" t="n">
        <f aca="false">A304+1</f>
        <v>300</v>
      </c>
      <c r="B305" s="16" t="n">
        <f aca="false">B304+IF(WEEKDAY(B304,2)=6,2,1)</f>
        <v>46372</v>
      </c>
      <c r="C305" s="5" t="n">
        <f aca="false">MONTH(B305)</f>
        <v>12</v>
      </c>
      <c r="D305" s="5" t="n">
        <f aca="false">IF(C305&lt;&gt;C304,1,0)</f>
        <v>0</v>
      </c>
      <c r="E305" s="17" t="n">
        <f aca="false">IF(L304=1,CantPedido,0)</f>
        <v>0</v>
      </c>
      <c r="F305" s="5" t="n">
        <f aca="false">J304+E305</f>
        <v>15</v>
      </c>
      <c r="G305" s="5" t="n">
        <f aca="false">RANDBETWEEN(3,7)</f>
        <v>3</v>
      </c>
      <c r="H305" s="5" t="n">
        <f aca="false">MIN(F305,G305)</f>
        <v>3</v>
      </c>
      <c r="I305" s="5" t="n">
        <f aca="false">G305-H305</f>
        <v>0</v>
      </c>
      <c r="J305" s="5" t="n">
        <f aca="false">F305-H305</f>
        <v>12</v>
      </c>
      <c r="K305" s="5" t="n">
        <f aca="false">IF(I305&gt;0,1,0)</f>
        <v>0</v>
      </c>
      <c r="L305" s="5" t="n">
        <f aca="false">IF(J305&lt;PuntoReorden,1,0)</f>
        <v>0</v>
      </c>
      <c r="M305" s="18" t="n">
        <f aca="false">PrecioVenta*H305</f>
        <v>2040000</v>
      </c>
      <c r="N305" s="18" t="n">
        <f aca="false">CostoUnitario*E305</f>
        <v>0</v>
      </c>
      <c r="O305" s="18" t="n">
        <f aca="false">IF(E305&gt;0,CostoPedido,0)</f>
        <v>0</v>
      </c>
      <c r="P305" s="18" t="n">
        <f aca="false">CostoAlm*(F305+J305)/2</f>
        <v>1080</v>
      </c>
      <c r="Q305" s="18" t="n">
        <f aca="false">CostoFijo*D305</f>
        <v>0</v>
      </c>
      <c r="R305" s="18" t="n">
        <f aca="false">M305-N305-O305-P305-Q305</f>
        <v>2038920</v>
      </c>
    </row>
    <row r="306" customFormat="false" ht="15" hidden="false" customHeight="true" outlineLevel="0" collapsed="false">
      <c r="A306" s="5" t="n">
        <f aca="false">A305+1</f>
        <v>301</v>
      </c>
      <c r="B306" s="16" t="n">
        <f aca="false">B305+IF(WEEKDAY(B305,2)=6,2,1)</f>
        <v>46373</v>
      </c>
      <c r="C306" s="5" t="n">
        <f aca="false">MONTH(B306)</f>
        <v>12</v>
      </c>
      <c r="D306" s="5" t="n">
        <f aca="false">IF(C306&lt;&gt;C305,1,0)</f>
        <v>0</v>
      </c>
      <c r="E306" s="5" t="n">
        <f aca="false">IF(L305=1,CantPedido,0)</f>
        <v>0</v>
      </c>
      <c r="F306" s="5" t="n">
        <f aca="false">J305+E306</f>
        <v>12</v>
      </c>
      <c r="G306" s="5" t="n">
        <f aca="false">RANDBETWEEN(3,7)</f>
        <v>6</v>
      </c>
      <c r="H306" s="5" t="n">
        <f aca="false">MIN(F306,G306)</f>
        <v>6</v>
      </c>
      <c r="I306" s="5" t="n">
        <f aca="false">G306-H306</f>
        <v>0</v>
      </c>
      <c r="J306" s="5" t="n">
        <f aca="false">F306-H306</f>
        <v>6</v>
      </c>
      <c r="K306" s="5" t="n">
        <f aca="false">IF(I306&gt;0,1,0)</f>
        <v>0</v>
      </c>
      <c r="L306" s="5" t="n">
        <f aca="false">IF(J306&lt;PuntoReorden,1,0)</f>
        <v>1</v>
      </c>
      <c r="M306" s="18" t="n">
        <f aca="false">PrecioVenta*H306</f>
        <v>4080000</v>
      </c>
      <c r="N306" s="18" t="n">
        <f aca="false">CostoUnitario*E306</f>
        <v>0</v>
      </c>
      <c r="O306" s="18" t="n">
        <f aca="false">IF(E306&gt;0,CostoPedido,0)</f>
        <v>0</v>
      </c>
      <c r="P306" s="18" t="n">
        <f aca="false">CostoAlm*(F306+J306)/2</f>
        <v>720</v>
      </c>
      <c r="Q306" s="18" t="n">
        <f aca="false">CostoFijo*D306</f>
        <v>0</v>
      </c>
      <c r="R306" s="18" t="n">
        <f aca="false">M306-N306-O306-P306-Q306</f>
        <v>4079280</v>
      </c>
    </row>
    <row r="307" customFormat="false" ht="15" hidden="false" customHeight="true" outlineLevel="0" collapsed="false">
      <c r="A307" s="5" t="n">
        <f aca="false">A306+1</f>
        <v>302</v>
      </c>
      <c r="B307" s="16" t="n">
        <f aca="false">B306+IF(WEEKDAY(B306,2)=6,2,1)</f>
        <v>46374</v>
      </c>
      <c r="C307" s="5" t="n">
        <f aca="false">MONTH(B307)</f>
        <v>12</v>
      </c>
      <c r="D307" s="5" t="n">
        <f aca="false">IF(C307&lt;&gt;C306,1,0)</f>
        <v>0</v>
      </c>
      <c r="E307" s="17" t="n">
        <f aca="false">IF(L306=1,CantPedido,0)</f>
        <v>15</v>
      </c>
      <c r="F307" s="5" t="n">
        <f aca="false">J306+E307</f>
        <v>21</v>
      </c>
      <c r="G307" s="5" t="n">
        <f aca="false">RANDBETWEEN(3,7)</f>
        <v>4</v>
      </c>
      <c r="H307" s="5" t="n">
        <f aca="false">MIN(F307,G307)</f>
        <v>4</v>
      </c>
      <c r="I307" s="5" t="n">
        <f aca="false">G307-H307</f>
        <v>0</v>
      </c>
      <c r="J307" s="5" t="n">
        <f aca="false">F307-H307</f>
        <v>17</v>
      </c>
      <c r="K307" s="5" t="n">
        <f aca="false">IF(I307&gt;0,1,0)</f>
        <v>0</v>
      </c>
      <c r="L307" s="5" t="n">
        <f aca="false">IF(J307&lt;PuntoReorden,1,0)</f>
        <v>0</v>
      </c>
      <c r="M307" s="18" t="n">
        <f aca="false">PrecioVenta*H307</f>
        <v>2720000</v>
      </c>
      <c r="N307" s="18" t="n">
        <f aca="false">CostoUnitario*E307</f>
        <v>9000000</v>
      </c>
      <c r="O307" s="18" t="n">
        <f aca="false">IF(E307&gt;0,CostoPedido,0)</f>
        <v>40000</v>
      </c>
      <c r="P307" s="18" t="n">
        <f aca="false">CostoAlm*(F307+J307)/2</f>
        <v>1520</v>
      </c>
      <c r="Q307" s="18" t="n">
        <f aca="false">CostoFijo*D307</f>
        <v>0</v>
      </c>
      <c r="R307" s="18" t="n">
        <f aca="false">M307-N307-O307-P307-Q307</f>
        <v>-6321520</v>
      </c>
    </row>
    <row r="308" customFormat="false" ht="15" hidden="false" customHeight="true" outlineLevel="0" collapsed="false">
      <c r="A308" s="5" t="n">
        <f aca="false">A307+1</f>
        <v>303</v>
      </c>
      <c r="B308" s="16" t="n">
        <f aca="false">B307+IF(WEEKDAY(B307,2)=6,2,1)</f>
        <v>46375</v>
      </c>
      <c r="C308" s="5" t="n">
        <f aca="false">MONTH(B308)</f>
        <v>12</v>
      </c>
      <c r="D308" s="5" t="n">
        <f aca="false">IF(C308&lt;&gt;C307,1,0)</f>
        <v>0</v>
      </c>
      <c r="E308" s="17" t="n">
        <f aca="false">IF(L307=1,CantPedido,0)</f>
        <v>0</v>
      </c>
      <c r="F308" s="5" t="n">
        <f aca="false">J307+E308</f>
        <v>17</v>
      </c>
      <c r="G308" s="5" t="n">
        <f aca="false">RANDBETWEEN(3,7)</f>
        <v>3</v>
      </c>
      <c r="H308" s="5" t="n">
        <f aca="false">MIN(F308,G308)</f>
        <v>3</v>
      </c>
      <c r="I308" s="5" t="n">
        <f aca="false">G308-H308</f>
        <v>0</v>
      </c>
      <c r="J308" s="5" t="n">
        <f aca="false">F308-H308</f>
        <v>14</v>
      </c>
      <c r="K308" s="5" t="n">
        <f aca="false">IF(I308&gt;0,1,0)</f>
        <v>0</v>
      </c>
      <c r="L308" s="5" t="n">
        <f aca="false">IF(J308&lt;PuntoReorden,1,0)</f>
        <v>0</v>
      </c>
      <c r="M308" s="18" t="n">
        <f aca="false">PrecioVenta*H308</f>
        <v>2040000</v>
      </c>
      <c r="N308" s="18" t="n">
        <f aca="false">CostoUnitario*E308</f>
        <v>0</v>
      </c>
      <c r="O308" s="18" t="n">
        <f aca="false">IF(E308&gt;0,CostoPedido,0)</f>
        <v>0</v>
      </c>
      <c r="P308" s="18" t="n">
        <f aca="false">CostoAlm*(F308+J308)/2</f>
        <v>1240</v>
      </c>
      <c r="Q308" s="18" t="n">
        <f aca="false">CostoFijo*D308</f>
        <v>0</v>
      </c>
      <c r="R308" s="18" t="n">
        <f aca="false">M308-N308-O308-P308-Q308</f>
        <v>2038760</v>
      </c>
    </row>
    <row r="309" customFormat="false" ht="15" hidden="false" customHeight="true" outlineLevel="0" collapsed="false">
      <c r="A309" s="5" t="n">
        <f aca="false">A308+1</f>
        <v>304</v>
      </c>
      <c r="B309" s="16" t="n">
        <f aca="false">B308+IF(WEEKDAY(B308,2)=6,2,1)</f>
        <v>46377</v>
      </c>
      <c r="C309" s="5" t="n">
        <f aca="false">MONTH(B309)</f>
        <v>12</v>
      </c>
      <c r="D309" s="5" t="n">
        <f aca="false">IF(C309&lt;&gt;C308,1,0)</f>
        <v>0</v>
      </c>
      <c r="E309" s="5" t="n">
        <f aca="false">IF(L308=1,CantPedido,0)</f>
        <v>0</v>
      </c>
      <c r="F309" s="5" t="n">
        <f aca="false">J308+E309</f>
        <v>14</v>
      </c>
      <c r="G309" s="5" t="n">
        <f aca="false">RANDBETWEEN(3,7)</f>
        <v>3</v>
      </c>
      <c r="H309" s="5" t="n">
        <f aca="false">MIN(F309,G309)</f>
        <v>3</v>
      </c>
      <c r="I309" s="5" t="n">
        <f aca="false">G309-H309</f>
        <v>0</v>
      </c>
      <c r="J309" s="5" t="n">
        <f aca="false">F309-H309</f>
        <v>11</v>
      </c>
      <c r="K309" s="5" t="n">
        <f aca="false">IF(I309&gt;0,1,0)</f>
        <v>0</v>
      </c>
      <c r="L309" s="5" t="n">
        <f aca="false">IF(J309&lt;PuntoReorden,1,0)</f>
        <v>0</v>
      </c>
      <c r="M309" s="18" t="n">
        <f aca="false">PrecioVenta*H309</f>
        <v>2040000</v>
      </c>
      <c r="N309" s="18" t="n">
        <f aca="false">CostoUnitario*E309</f>
        <v>0</v>
      </c>
      <c r="O309" s="18" t="n">
        <f aca="false">IF(E309&gt;0,CostoPedido,0)</f>
        <v>0</v>
      </c>
      <c r="P309" s="18" t="n">
        <f aca="false">CostoAlm*(F309+J309)/2</f>
        <v>1000</v>
      </c>
      <c r="Q309" s="18" t="n">
        <f aca="false">CostoFijo*D309</f>
        <v>0</v>
      </c>
      <c r="R309" s="18" t="n">
        <f aca="false">M309-N309-O309-P309-Q309</f>
        <v>2039000</v>
      </c>
    </row>
    <row r="310" customFormat="false" ht="15" hidden="false" customHeight="true" outlineLevel="0" collapsed="false">
      <c r="A310" s="5" t="n">
        <f aca="false">A309+1</f>
        <v>305</v>
      </c>
      <c r="B310" s="16" t="n">
        <f aca="false">B309+IF(WEEKDAY(B309,2)=6,2,1)</f>
        <v>46378</v>
      </c>
      <c r="C310" s="5" t="n">
        <f aca="false">MONTH(B310)</f>
        <v>12</v>
      </c>
      <c r="D310" s="5" t="n">
        <f aca="false">IF(C310&lt;&gt;C309,1,0)</f>
        <v>0</v>
      </c>
      <c r="E310" s="5" t="n">
        <f aca="false">IF(L309=1,CantPedido,0)</f>
        <v>0</v>
      </c>
      <c r="F310" s="5" t="n">
        <f aca="false">J309+E310</f>
        <v>11</v>
      </c>
      <c r="G310" s="5" t="n">
        <f aca="false">RANDBETWEEN(3,7)</f>
        <v>5</v>
      </c>
      <c r="H310" s="5" t="n">
        <f aca="false">MIN(F310,G310)</f>
        <v>5</v>
      </c>
      <c r="I310" s="5" t="n">
        <f aca="false">G310-H310</f>
        <v>0</v>
      </c>
      <c r="J310" s="5" t="n">
        <f aca="false">F310-H310</f>
        <v>6</v>
      </c>
      <c r="K310" s="5" t="n">
        <f aca="false">IF(I310&gt;0,1,0)</f>
        <v>0</v>
      </c>
      <c r="L310" s="5" t="n">
        <f aca="false">IF(J310&lt;PuntoReorden,1,0)</f>
        <v>1</v>
      </c>
      <c r="M310" s="18" t="n">
        <f aca="false">PrecioVenta*H310</f>
        <v>3400000</v>
      </c>
      <c r="N310" s="18" t="n">
        <f aca="false">CostoUnitario*E310</f>
        <v>0</v>
      </c>
      <c r="O310" s="18" t="n">
        <f aca="false">IF(E310&gt;0,CostoPedido,0)</f>
        <v>0</v>
      </c>
      <c r="P310" s="18" t="n">
        <f aca="false">CostoAlm*(F310+J310)/2</f>
        <v>680</v>
      </c>
      <c r="Q310" s="18" t="n">
        <f aca="false">CostoFijo*D310</f>
        <v>0</v>
      </c>
      <c r="R310" s="18" t="n">
        <f aca="false">M310-N310-O310-P310-Q310</f>
        <v>3399320</v>
      </c>
    </row>
    <row r="311" customFormat="false" ht="15" hidden="false" customHeight="true" outlineLevel="0" collapsed="false">
      <c r="A311" s="5" t="n">
        <f aca="false">A310+1</f>
        <v>306</v>
      </c>
      <c r="B311" s="16" t="n">
        <f aca="false">B310+IF(WEEKDAY(B310,2)=6,2,1)</f>
        <v>46379</v>
      </c>
      <c r="C311" s="5" t="n">
        <f aca="false">MONTH(B311)</f>
        <v>12</v>
      </c>
      <c r="D311" s="5" t="n">
        <f aca="false">IF(C311&lt;&gt;C310,1,0)</f>
        <v>0</v>
      </c>
      <c r="E311" s="17" t="n">
        <f aca="false">IF(L310=1,CantPedido,0)</f>
        <v>15</v>
      </c>
      <c r="F311" s="5" t="n">
        <f aca="false">J310+E311</f>
        <v>21</v>
      </c>
      <c r="G311" s="5" t="n">
        <f aca="false">RANDBETWEEN(3,7)</f>
        <v>5</v>
      </c>
      <c r="H311" s="5" t="n">
        <f aca="false">MIN(F311,G311)</f>
        <v>5</v>
      </c>
      <c r="I311" s="5" t="n">
        <f aca="false">G311-H311</f>
        <v>0</v>
      </c>
      <c r="J311" s="5" t="n">
        <f aca="false">F311-H311</f>
        <v>16</v>
      </c>
      <c r="K311" s="5" t="n">
        <f aca="false">IF(I311&gt;0,1,0)</f>
        <v>0</v>
      </c>
      <c r="L311" s="5" t="n">
        <f aca="false">IF(J311&lt;PuntoReorden,1,0)</f>
        <v>0</v>
      </c>
      <c r="M311" s="18" t="n">
        <f aca="false">PrecioVenta*H311</f>
        <v>3400000</v>
      </c>
      <c r="N311" s="18" t="n">
        <f aca="false">CostoUnitario*E311</f>
        <v>9000000</v>
      </c>
      <c r="O311" s="18" t="n">
        <f aca="false">IF(E311&gt;0,CostoPedido,0)</f>
        <v>40000</v>
      </c>
      <c r="P311" s="18" t="n">
        <f aca="false">CostoAlm*(F311+J311)/2</f>
        <v>1480</v>
      </c>
      <c r="Q311" s="18" t="n">
        <f aca="false">CostoFijo*D311</f>
        <v>0</v>
      </c>
      <c r="R311" s="18" t="n">
        <f aca="false">M311-N311-O311-P311-Q311</f>
        <v>-5641480</v>
      </c>
    </row>
    <row r="312" customFormat="false" ht="15" hidden="false" customHeight="true" outlineLevel="0" collapsed="false">
      <c r="A312" s="5" t="n">
        <f aca="false">A311+1</f>
        <v>307</v>
      </c>
      <c r="B312" s="16" t="n">
        <f aca="false">B311+IF(WEEKDAY(B311,2)=6,2,1)</f>
        <v>46380</v>
      </c>
      <c r="C312" s="5" t="n">
        <f aca="false">MONTH(B312)</f>
        <v>12</v>
      </c>
      <c r="D312" s="5" t="n">
        <f aca="false">IF(C312&lt;&gt;C311,1,0)</f>
        <v>0</v>
      </c>
      <c r="E312" s="5" t="n">
        <f aca="false">IF(L311=1,CantPedido,0)</f>
        <v>0</v>
      </c>
      <c r="F312" s="5" t="n">
        <f aca="false">J311+E312</f>
        <v>16</v>
      </c>
      <c r="G312" s="5" t="n">
        <f aca="false">RANDBETWEEN(3,7)</f>
        <v>3</v>
      </c>
      <c r="H312" s="5" t="n">
        <f aca="false">MIN(F312,G312)</f>
        <v>3</v>
      </c>
      <c r="I312" s="5" t="n">
        <f aca="false">G312-H312</f>
        <v>0</v>
      </c>
      <c r="J312" s="5" t="n">
        <f aca="false">F312-H312</f>
        <v>13</v>
      </c>
      <c r="K312" s="5" t="n">
        <f aca="false">IF(I312&gt;0,1,0)</f>
        <v>0</v>
      </c>
      <c r="L312" s="5" t="n">
        <f aca="false">IF(J312&lt;PuntoReorden,1,0)</f>
        <v>0</v>
      </c>
      <c r="M312" s="18" t="n">
        <f aca="false">PrecioVenta*H312</f>
        <v>2040000</v>
      </c>
      <c r="N312" s="18" t="n">
        <f aca="false">CostoUnitario*E312</f>
        <v>0</v>
      </c>
      <c r="O312" s="18" t="n">
        <f aca="false">IF(E312&gt;0,CostoPedido,0)</f>
        <v>0</v>
      </c>
      <c r="P312" s="18" t="n">
        <f aca="false">CostoAlm*(F312+J312)/2</f>
        <v>1160</v>
      </c>
      <c r="Q312" s="18" t="n">
        <f aca="false">CostoFijo*D312</f>
        <v>0</v>
      </c>
      <c r="R312" s="18" t="n">
        <f aca="false">M312-N312-O312-P312-Q312</f>
        <v>2038840</v>
      </c>
    </row>
    <row r="313" customFormat="false" ht="15" hidden="false" customHeight="true" outlineLevel="0" collapsed="false">
      <c r="A313" s="5" t="n">
        <f aca="false">A312+1</f>
        <v>308</v>
      </c>
      <c r="B313" s="16" t="n">
        <f aca="false">B312+IF(WEEKDAY(B312,2)=6,2,1)</f>
        <v>46381</v>
      </c>
      <c r="C313" s="5" t="n">
        <f aca="false">MONTH(B313)</f>
        <v>12</v>
      </c>
      <c r="D313" s="5" t="n">
        <f aca="false">IF(C313&lt;&gt;C312,1,0)</f>
        <v>0</v>
      </c>
      <c r="E313" s="17" t="n">
        <f aca="false">IF(L312=1,CantPedido,0)</f>
        <v>0</v>
      </c>
      <c r="F313" s="5" t="n">
        <f aca="false">J312+E313</f>
        <v>13</v>
      </c>
      <c r="G313" s="5" t="n">
        <f aca="false">RANDBETWEEN(3,7)</f>
        <v>4</v>
      </c>
      <c r="H313" s="5" t="n">
        <f aca="false">MIN(F313,G313)</f>
        <v>4</v>
      </c>
      <c r="I313" s="5" t="n">
        <f aca="false">G313-H313</f>
        <v>0</v>
      </c>
      <c r="J313" s="5" t="n">
        <f aca="false">F313-H313</f>
        <v>9</v>
      </c>
      <c r="K313" s="5" t="n">
        <f aca="false">IF(I313&gt;0,1,0)</f>
        <v>0</v>
      </c>
      <c r="L313" s="5" t="n">
        <f aca="false">IF(J313&lt;PuntoReorden,1,0)</f>
        <v>0</v>
      </c>
      <c r="M313" s="18" t="n">
        <f aca="false">PrecioVenta*H313</f>
        <v>2720000</v>
      </c>
      <c r="N313" s="18" t="n">
        <f aca="false">CostoUnitario*E313</f>
        <v>0</v>
      </c>
      <c r="O313" s="18" t="n">
        <f aca="false">IF(E313&gt;0,CostoPedido,0)</f>
        <v>0</v>
      </c>
      <c r="P313" s="18" t="n">
        <f aca="false">CostoAlm*(F313+J313)/2</f>
        <v>880</v>
      </c>
      <c r="Q313" s="18" t="n">
        <f aca="false">CostoFijo*D313</f>
        <v>0</v>
      </c>
      <c r="R313" s="18" t="n">
        <f aca="false">M313-N313-O313-P313-Q313</f>
        <v>2719120</v>
      </c>
    </row>
    <row r="314" customFormat="false" ht="15" hidden="false" customHeight="true" outlineLevel="0" collapsed="false">
      <c r="A314" s="5" t="n">
        <f aca="false">A313+1</f>
        <v>309</v>
      </c>
      <c r="B314" s="16" t="n">
        <f aca="false">B313+IF(WEEKDAY(B313,2)=6,2,1)</f>
        <v>46382</v>
      </c>
      <c r="C314" s="5" t="n">
        <f aca="false">MONTH(B314)</f>
        <v>12</v>
      </c>
      <c r="D314" s="5" t="n">
        <f aca="false">IF(C314&lt;&gt;C313,1,0)</f>
        <v>0</v>
      </c>
      <c r="E314" s="5" t="n">
        <f aca="false">IF(L313=1,CantPedido,0)</f>
        <v>0</v>
      </c>
      <c r="F314" s="5" t="n">
        <f aca="false">J313+E314</f>
        <v>9</v>
      </c>
      <c r="G314" s="5" t="n">
        <f aca="false">RANDBETWEEN(3,7)</f>
        <v>3</v>
      </c>
      <c r="H314" s="5" t="n">
        <f aca="false">MIN(F314,G314)</f>
        <v>3</v>
      </c>
      <c r="I314" s="5" t="n">
        <f aca="false">G314-H314</f>
        <v>0</v>
      </c>
      <c r="J314" s="5" t="n">
        <f aca="false">F314-H314</f>
        <v>6</v>
      </c>
      <c r="K314" s="5" t="n">
        <f aca="false">IF(I314&gt;0,1,0)</f>
        <v>0</v>
      </c>
      <c r="L314" s="5" t="n">
        <f aca="false">IF(J314&lt;PuntoReorden,1,0)</f>
        <v>1</v>
      </c>
      <c r="M314" s="18" t="n">
        <f aca="false">PrecioVenta*H314</f>
        <v>2040000</v>
      </c>
      <c r="N314" s="18" t="n">
        <f aca="false">CostoUnitario*E314</f>
        <v>0</v>
      </c>
      <c r="O314" s="18" t="n">
        <f aca="false">IF(E314&gt;0,CostoPedido,0)</f>
        <v>0</v>
      </c>
      <c r="P314" s="18" t="n">
        <f aca="false">CostoAlm*(F314+J314)/2</f>
        <v>600</v>
      </c>
      <c r="Q314" s="18" t="n">
        <f aca="false">CostoFijo*D314</f>
        <v>0</v>
      </c>
      <c r="R314" s="18" t="n">
        <f aca="false">M314-N314-O314-P314-Q314</f>
        <v>2039400</v>
      </c>
    </row>
    <row r="315" customFormat="false" ht="15" hidden="false" customHeight="true" outlineLevel="0" collapsed="false">
      <c r="A315" s="5" t="n">
        <f aca="false">A314+1</f>
        <v>310</v>
      </c>
      <c r="B315" s="16" t="n">
        <f aca="false">B314+IF(WEEKDAY(B314,2)=6,2,1)</f>
        <v>46384</v>
      </c>
      <c r="C315" s="5" t="n">
        <f aca="false">MONTH(B315)</f>
        <v>12</v>
      </c>
      <c r="D315" s="5" t="n">
        <f aca="false">IF(C315&lt;&gt;C314,1,0)</f>
        <v>0</v>
      </c>
      <c r="E315" s="17" t="n">
        <f aca="false">IF(L314=1,CantPedido,0)</f>
        <v>15</v>
      </c>
      <c r="F315" s="5" t="n">
        <f aca="false">J314+E315</f>
        <v>21</v>
      </c>
      <c r="G315" s="5" t="n">
        <f aca="false">RANDBETWEEN(3,7)</f>
        <v>4</v>
      </c>
      <c r="H315" s="5" t="n">
        <f aca="false">MIN(F315,G315)</f>
        <v>4</v>
      </c>
      <c r="I315" s="5" t="n">
        <f aca="false">G315-H315</f>
        <v>0</v>
      </c>
      <c r="J315" s="5" t="n">
        <f aca="false">F315-H315</f>
        <v>17</v>
      </c>
      <c r="K315" s="5" t="n">
        <f aca="false">IF(I315&gt;0,1,0)</f>
        <v>0</v>
      </c>
      <c r="L315" s="5" t="n">
        <f aca="false">IF(J315&lt;PuntoReorden,1,0)</f>
        <v>0</v>
      </c>
      <c r="M315" s="18" t="n">
        <f aca="false">PrecioVenta*H315</f>
        <v>2720000</v>
      </c>
      <c r="N315" s="18" t="n">
        <f aca="false">CostoUnitario*E315</f>
        <v>9000000</v>
      </c>
      <c r="O315" s="18" t="n">
        <f aca="false">IF(E315&gt;0,CostoPedido,0)</f>
        <v>40000</v>
      </c>
      <c r="P315" s="18" t="n">
        <f aca="false">CostoAlm*(F315+J315)/2</f>
        <v>1520</v>
      </c>
      <c r="Q315" s="18" t="n">
        <f aca="false">CostoFijo*D315</f>
        <v>0</v>
      </c>
      <c r="R315" s="18" t="n">
        <f aca="false">M315-N315-O315-P315-Q315</f>
        <v>-6321520</v>
      </c>
    </row>
    <row r="316" customFormat="false" ht="15" hidden="false" customHeight="true" outlineLevel="0" collapsed="false">
      <c r="A316" s="5" t="n">
        <f aca="false">A315+1</f>
        <v>311</v>
      </c>
      <c r="B316" s="16" t="n">
        <f aca="false">B315+IF(WEEKDAY(B315,2)=6,2,1)</f>
        <v>46385</v>
      </c>
      <c r="C316" s="5" t="n">
        <f aca="false">MONTH(B316)</f>
        <v>12</v>
      </c>
      <c r="D316" s="5" t="n">
        <f aca="false">IF(C316&lt;&gt;C315,1,0)</f>
        <v>0</v>
      </c>
      <c r="E316" s="5" t="n">
        <f aca="false">IF(L315=1,CantPedido,0)</f>
        <v>0</v>
      </c>
      <c r="F316" s="5" t="n">
        <f aca="false">J315+E316</f>
        <v>17</v>
      </c>
      <c r="G316" s="5" t="n">
        <f aca="false">RANDBETWEEN(3,7)</f>
        <v>7</v>
      </c>
      <c r="H316" s="5" t="n">
        <f aca="false">MIN(F316,G316)</f>
        <v>7</v>
      </c>
      <c r="I316" s="5" t="n">
        <f aca="false">G316-H316</f>
        <v>0</v>
      </c>
      <c r="J316" s="5" t="n">
        <f aca="false">F316-H316</f>
        <v>10</v>
      </c>
      <c r="K316" s="5" t="n">
        <f aca="false">IF(I316&gt;0,1,0)</f>
        <v>0</v>
      </c>
      <c r="L316" s="5" t="n">
        <f aca="false">IF(J316&lt;PuntoReorden,1,0)</f>
        <v>0</v>
      </c>
      <c r="M316" s="18" t="n">
        <f aca="false">PrecioVenta*H316</f>
        <v>4760000</v>
      </c>
      <c r="N316" s="18" t="n">
        <f aca="false">CostoUnitario*E316</f>
        <v>0</v>
      </c>
      <c r="O316" s="18" t="n">
        <f aca="false">IF(E316&gt;0,CostoPedido,0)</f>
        <v>0</v>
      </c>
      <c r="P316" s="18" t="n">
        <f aca="false">CostoAlm*(F316+J316)/2</f>
        <v>1080</v>
      </c>
      <c r="Q316" s="18" t="n">
        <f aca="false">CostoFijo*D316</f>
        <v>0</v>
      </c>
      <c r="R316" s="18" t="n">
        <f aca="false">M316-N316-O316-P316-Q316</f>
        <v>4758920</v>
      </c>
    </row>
    <row r="317" customFormat="false" ht="15" hidden="false" customHeight="true" outlineLevel="0" collapsed="false">
      <c r="A317" s="5" t="n">
        <f aca="false">A316+1</f>
        <v>312</v>
      </c>
      <c r="B317" s="16" t="n">
        <f aca="false">B316+IF(WEEKDAY(B316,2)=6,2,1)</f>
        <v>46386</v>
      </c>
      <c r="C317" s="5" t="n">
        <f aca="false">MONTH(B317)</f>
        <v>12</v>
      </c>
      <c r="D317" s="5" t="n">
        <f aca="false">IF(C317&lt;&gt;C316,1,0)</f>
        <v>0</v>
      </c>
      <c r="E317" s="17" t="n">
        <f aca="false">IF(L316=1,CantPedido,0)</f>
        <v>0</v>
      </c>
      <c r="F317" s="5" t="n">
        <f aca="false">J316+E317</f>
        <v>10</v>
      </c>
      <c r="G317" s="5" t="n">
        <f aca="false">RANDBETWEEN(3,7)</f>
        <v>7</v>
      </c>
      <c r="H317" s="5" t="n">
        <f aca="false">MIN(F317,G317)</f>
        <v>7</v>
      </c>
      <c r="I317" s="5" t="n">
        <f aca="false">G317-H317</f>
        <v>0</v>
      </c>
      <c r="J317" s="5" t="n">
        <f aca="false">F317-H317</f>
        <v>3</v>
      </c>
      <c r="K317" s="5" t="n">
        <f aca="false">IF(I317&gt;0,1,0)</f>
        <v>0</v>
      </c>
      <c r="L317" s="5" t="n">
        <f aca="false">IF(J317&lt;PuntoReorden,1,0)</f>
        <v>1</v>
      </c>
      <c r="M317" s="18" t="n">
        <f aca="false">PrecioVenta*H317</f>
        <v>4760000</v>
      </c>
      <c r="N317" s="18" t="n">
        <f aca="false">CostoUnitario*E317</f>
        <v>0</v>
      </c>
      <c r="O317" s="18" t="n">
        <f aca="false">IF(E317&gt;0,CostoPedido,0)</f>
        <v>0</v>
      </c>
      <c r="P317" s="18" t="n">
        <f aca="false">CostoAlm*(F317+J317)/2</f>
        <v>520</v>
      </c>
      <c r="Q317" s="18" t="n">
        <f aca="false">CostoFijo*D317</f>
        <v>0</v>
      </c>
      <c r="R317" s="18" t="n">
        <f aca="false">M317-N317-O317-P317-Q317</f>
        <v>4759480</v>
      </c>
    </row>
    <row r="318" customFormat="false" ht="15" hidden="false" customHeight="true" outlineLevel="0" collapsed="false">
      <c r="A318" s="5" t="n">
        <f aca="false">A317+1</f>
        <v>313</v>
      </c>
      <c r="B318" s="16" t="n">
        <f aca="false">B317+IF(WEEKDAY(B317,2)=6,2,1)</f>
        <v>46387</v>
      </c>
      <c r="C318" s="5" t="n">
        <f aca="false">MONTH(B318)</f>
        <v>12</v>
      </c>
      <c r="D318" s="5" t="n">
        <f aca="false">IF(C318&lt;&gt;C317,1,0)</f>
        <v>0</v>
      </c>
      <c r="E318" s="17" t="n">
        <f aca="false">IF(L317=1,CantPedido,0)</f>
        <v>15</v>
      </c>
      <c r="F318" s="5" t="n">
        <f aca="false">J317+E318</f>
        <v>18</v>
      </c>
      <c r="G318" s="5" t="n">
        <f aca="false">RANDBETWEEN(3,7)</f>
        <v>6</v>
      </c>
      <c r="H318" s="5" t="n">
        <f aca="false">MIN(F318,G318)</f>
        <v>6</v>
      </c>
      <c r="I318" s="5" t="n">
        <f aca="false">G318-H318</f>
        <v>0</v>
      </c>
      <c r="J318" s="5" t="n">
        <f aca="false">F318-H318</f>
        <v>12</v>
      </c>
      <c r="K318" s="5" t="n">
        <f aca="false">IF(I318&gt;0,1,0)</f>
        <v>0</v>
      </c>
      <c r="L318" s="5" t="n">
        <f aca="false">IF(J318&lt;PuntoReorden,1,0)</f>
        <v>0</v>
      </c>
      <c r="M318" s="18" t="n">
        <f aca="false">PrecioVenta*H318</f>
        <v>4080000</v>
      </c>
      <c r="N318" s="18" t="n">
        <f aca="false">CostoUnitario*E318</f>
        <v>9000000</v>
      </c>
      <c r="O318" s="18" t="n">
        <f aca="false">IF(E318&gt;0,CostoPedido,0)</f>
        <v>40000</v>
      </c>
      <c r="P318" s="18" t="n">
        <f aca="false">CostoAlm*(F318+J318)/2</f>
        <v>1200</v>
      </c>
      <c r="Q318" s="18" t="n">
        <f aca="false">CostoFijo*D318</f>
        <v>0</v>
      </c>
      <c r="R318" s="18" t="n">
        <f aca="false">M318-N318-O318-P318-Q318</f>
        <v>-4961200</v>
      </c>
    </row>
  </sheetData>
  <autoFilter ref="A5:R3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6796875" defaultRowHeight="15" customHeight="true"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8"/>
    <col collapsed="false" customWidth="true" hidden="false" outlineLevel="0" max="4" min="4" style="1" width="14"/>
    <col collapsed="false" customWidth="true" hidden="false" outlineLevel="0" max="6" min="5" style="1" width="16"/>
    <col collapsed="false" customWidth="true" hidden="false" outlineLevel="0" max="8" min="7" style="1" width="10"/>
    <col collapsed="false" customWidth="true" hidden="false" outlineLevel="0" max="12" min="9" style="1" width="14"/>
    <col collapsed="false" customWidth="true" hidden="false" outlineLevel="0" max="15" min="13" style="1" width="16"/>
    <col collapsed="false" customWidth="true" hidden="false" outlineLevel="0" max="16" min="16" style="1" width="18"/>
    <col collapsed="false" customWidth="true" hidden="false" outlineLevel="0" max="17" min="17" style="1" width="15"/>
    <col collapsed="false" customWidth="true" hidden="false" outlineLevel="0" max="18" min="18" style="1" width="18"/>
    <col collapsed="false" customWidth="true" hidden="false" outlineLevel="0" max="20" min="20" style="1" width="30"/>
    <col collapsed="false" customWidth="true" hidden="false" outlineLevel="0" max="21" min="21" style="1" width="18"/>
    <col collapsed="false" customWidth="true" hidden="false" outlineLevel="0" max="23" min="23" style="1" width="12"/>
    <col collapsed="false" customWidth="true" hidden="false" outlineLevel="0" max="24" min="24" style="1" width="20"/>
    <col collapsed="false" customWidth="true" hidden="false" outlineLevel="0" max="26" min="25" style="1" width="18"/>
    <col collapsed="false" customWidth="true" hidden="false" outlineLevel="0" max="28" min="28" style="1" width="31"/>
    <col collapsed="false" customWidth="true" hidden="false" outlineLevel="0" max="31" min="29" style="1" width="18"/>
    <col collapsed="false" customWidth="true" hidden="false" outlineLevel="0" max="32" min="32" style="1" width="14"/>
  </cols>
  <sheetData>
    <row r="1" customFormat="false" ht="15" hidden="false" customHeight="true" outlineLevel="0" collapsed="false">
      <c r="A1" s="2" t="s">
        <v>77</v>
      </c>
      <c r="W1" s="3" t="s">
        <v>36</v>
      </c>
    </row>
    <row r="2" customFormat="false" ht="15" hidden="false" customHeight="true" outlineLevel="0" collapsed="false">
      <c r="A2" s="3" t="s">
        <v>37</v>
      </c>
    </row>
    <row r="4" customFormat="false" ht="15" hidden="false" customHeight="true" outlineLevel="0" collapsed="false">
      <c r="AB4" s="11" t="s">
        <v>38</v>
      </c>
    </row>
    <row r="5" customFormat="false" ht="42" hidden="false" customHeight="true" outlineLevel="0" collapsed="false">
      <c r="A5" s="4" t="s">
        <v>39</v>
      </c>
      <c r="B5" s="4" t="s">
        <v>40</v>
      </c>
      <c r="C5" s="4" t="s">
        <v>41</v>
      </c>
      <c r="D5" s="4" t="s">
        <v>42</v>
      </c>
      <c r="E5" s="4" t="s">
        <v>43</v>
      </c>
      <c r="F5" s="4" t="s">
        <v>44</v>
      </c>
      <c r="G5" s="4" t="s">
        <v>6</v>
      </c>
      <c r="H5" s="4" t="s">
        <v>45</v>
      </c>
      <c r="I5" s="4" t="s">
        <v>46</v>
      </c>
      <c r="J5" s="4" t="s">
        <v>47</v>
      </c>
      <c r="K5" s="4" t="s">
        <v>48</v>
      </c>
      <c r="L5" s="4" t="s">
        <v>49</v>
      </c>
      <c r="M5" s="4" t="s">
        <v>50</v>
      </c>
      <c r="N5" s="4" t="s">
        <v>51</v>
      </c>
      <c r="O5" s="4" t="s">
        <v>52</v>
      </c>
      <c r="P5" s="4" t="s">
        <v>53</v>
      </c>
      <c r="Q5" s="4" t="s">
        <v>54</v>
      </c>
      <c r="R5" s="4" t="s">
        <v>55</v>
      </c>
      <c r="T5" s="11" t="s">
        <v>56</v>
      </c>
      <c r="W5" s="4" t="s">
        <v>57</v>
      </c>
      <c r="X5" s="4" t="s">
        <v>58</v>
      </c>
      <c r="Y5" s="4" t="s">
        <v>59</v>
      </c>
      <c r="Z5" s="4" t="s">
        <v>60</v>
      </c>
      <c r="AB5" s="5" t="s">
        <v>61</v>
      </c>
      <c r="AC5" s="15" t="n">
        <f aca="false">AVERAGE(X7:X106)</f>
        <v>103097462</v>
      </c>
    </row>
    <row r="6" customFormat="false" ht="15" hidden="false" customHeight="true" outlineLevel="0" collapsed="false">
      <c r="A6" s="5" t="n">
        <v>1</v>
      </c>
      <c r="B6" s="16" t="n">
        <f aca="false">DATE(AnioSim,1,1)</f>
        <v>46023</v>
      </c>
      <c r="C6" s="5" t="n">
        <f aca="false">MONTH(B6)</f>
        <v>1</v>
      </c>
      <c r="D6" s="5" t="n">
        <v>1</v>
      </c>
      <c r="E6" s="17" t="n">
        <f aca="false">CantPedido</f>
        <v>15</v>
      </c>
      <c r="F6" s="17" t="n">
        <f aca="false">E6</f>
        <v>15</v>
      </c>
      <c r="G6" s="5" t="n">
        <f aca="true">VLOOKUP(RAND(),TablaEmpirica,2,TRUE())</f>
        <v>4</v>
      </c>
      <c r="H6" s="5" t="n">
        <f aca="false">MIN(F6,G6)</f>
        <v>4</v>
      </c>
      <c r="I6" s="5" t="n">
        <f aca="false">G6-H6</f>
        <v>0</v>
      </c>
      <c r="J6" s="5" t="n">
        <f aca="false">F6-H6</f>
        <v>11</v>
      </c>
      <c r="K6" s="5" t="n">
        <f aca="false">IF(I6&gt;0,1,0)</f>
        <v>0</v>
      </c>
      <c r="L6" s="5" t="n">
        <f aca="false">IF(J6&lt;PuntoReorden,1,0)</f>
        <v>0</v>
      </c>
      <c r="M6" s="18" t="n">
        <f aca="false">PrecioVenta*H6</f>
        <v>2720000</v>
      </c>
      <c r="N6" s="18" t="n">
        <f aca="false">CostoUnitario*E6</f>
        <v>9000000</v>
      </c>
      <c r="O6" s="18" t="n">
        <f aca="false">IF(E6&gt;0,CostoPedido,0)</f>
        <v>40000</v>
      </c>
      <c r="P6" s="18" t="n">
        <f aca="false">CostoAlm*(F6+J6)/2</f>
        <v>1040</v>
      </c>
      <c r="Q6" s="18" t="n">
        <f aca="false">CostoFijo*D6</f>
        <v>1000000</v>
      </c>
      <c r="R6" s="18" t="n">
        <f aca="false">M6-N6-O6-P6-Q6</f>
        <v>-7321040</v>
      </c>
      <c r="T6" s="5" t="s">
        <v>58</v>
      </c>
      <c r="U6" s="15" t="n">
        <f aca="false">SUM(R6:R318)</f>
        <v>97949600</v>
      </c>
      <c r="X6" s="18" t="n">
        <f aca="false">U6</f>
        <v>97949600</v>
      </c>
      <c r="Y6" s="19" t="n">
        <f aca="false">U7</f>
        <v>0</v>
      </c>
      <c r="Z6" s="19" t="n">
        <f aca="false">U8</f>
        <v>0</v>
      </c>
      <c r="AB6" s="5" t="s">
        <v>62</v>
      </c>
      <c r="AC6" s="15" t="n">
        <f aca="false">STDEV(X7:X106)</f>
        <v>3025031.59794166</v>
      </c>
    </row>
    <row r="7" customFormat="false" ht="15" hidden="false" customHeight="true" outlineLevel="0" collapsed="false">
      <c r="A7" s="5" t="n">
        <f aca="false">A6+1</f>
        <v>2</v>
      </c>
      <c r="B7" s="16" t="n">
        <f aca="false">B6+IF(WEEKDAY(B6,2)=6,2,1)</f>
        <v>46024</v>
      </c>
      <c r="C7" s="5" t="n">
        <f aca="false">MONTH(B7)</f>
        <v>1</v>
      </c>
      <c r="D7" s="5" t="n">
        <f aca="false">IF(C7&lt;&gt;C6,1,0)</f>
        <v>0</v>
      </c>
      <c r="E7" s="5" t="n">
        <f aca="false">IF(L6=1,CantPedido,0)</f>
        <v>0</v>
      </c>
      <c r="F7" s="5" t="n">
        <f aca="false">J6+E7</f>
        <v>11</v>
      </c>
      <c r="G7" s="5" t="n">
        <f aca="true">VLOOKUP(RAND(),TablaEmpirica,2,TRUE())</f>
        <v>5</v>
      </c>
      <c r="H7" s="5" t="n">
        <f aca="false">MIN(F7,G7)</f>
        <v>5</v>
      </c>
      <c r="I7" s="5" t="n">
        <f aca="false">G7-H7</f>
        <v>0</v>
      </c>
      <c r="J7" s="5" t="n">
        <f aca="false">F7-H7</f>
        <v>6</v>
      </c>
      <c r="K7" s="5" t="n">
        <f aca="false">IF(I7&gt;0,1,0)</f>
        <v>0</v>
      </c>
      <c r="L7" s="5" t="n">
        <f aca="false">IF(J7&lt;PuntoReorden,1,0)</f>
        <v>1</v>
      </c>
      <c r="M7" s="18" t="n">
        <f aca="false">PrecioVenta*H7</f>
        <v>3400000</v>
      </c>
      <c r="N7" s="18" t="n">
        <f aca="false">CostoUnitario*E7</f>
        <v>0</v>
      </c>
      <c r="O7" s="18" t="n">
        <f aca="false">IF(E7&gt;0,CostoPedido,0)</f>
        <v>0</v>
      </c>
      <c r="P7" s="18" t="n">
        <f aca="false">CostoAlm*(F7+J7)/2</f>
        <v>680</v>
      </c>
      <c r="Q7" s="18" t="n">
        <f aca="false">CostoFijo*D7</f>
        <v>0</v>
      </c>
      <c r="R7" s="18" t="n">
        <f aca="false">M7-N7-O7-P7-Q7</f>
        <v>3399320</v>
      </c>
      <c r="T7" s="5" t="s">
        <v>63</v>
      </c>
      <c r="U7" s="20" t="n">
        <f aca="false">SUM(K6:K318)/COUNT(A6:A318)</f>
        <v>0</v>
      </c>
      <c r="W7" s="5" t="n">
        <v>1</v>
      </c>
      <c r="X7" s="21" t="n">
        <v>102915360</v>
      </c>
      <c r="Y7" s="22" t="n">
        <v>0</v>
      </c>
      <c r="Z7" s="22" t="n">
        <v>0</v>
      </c>
      <c r="AB7" s="5" t="s">
        <v>64</v>
      </c>
      <c r="AC7" s="20" t="n">
        <f aca="false">AVERAGE(Y7:Y106)</f>
        <v>0</v>
      </c>
    </row>
    <row r="8" customFormat="false" ht="15" hidden="false" customHeight="true" outlineLevel="0" collapsed="false">
      <c r="A8" s="5" t="n">
        <f aca="false">A7+1</f>
        <v>3</v>
      </c>
      <c r="B8" s="16" t="n">
        <f aca="false">B7+IF(WEEKDAY(B7,2)=6,2,1)</f>
        <v>46025</v>
      </c>
      <c r="C8" s="5" t="n">
        <f aca="false">MONTH(B8)</f>
        <v>1</v>
      </c>
      <c r="D8" s="5" t="n">
        <f aca="false">IF(C8&lt;&gt;C7,1,0)</f>
        <v>0</v>
      </c>
      <c r="E8" s="17" t="n">
        <f aca="false">IF(L7=1,CantPedido,0)</f>
        <v>15</v>
      </c>
      <c r="F8" s="5" t="n">
        <f aca="false">J7+E8</f>
        <v>21</v>
      </c>
      <c r="G8" s="5" t="n">
        <f aca="true">VLOOKUP(RAND(),TablaEmpirica,2,TRUE())</f>
        <v>5</v>
      </c>
      <c r="H8" s="5" t="n">
        <f aca="false">MIN(F8,G8)</f>
        <v>5</v>
      </c>
      <c r="I8" s="5" t="n">
        <f aca="false">G8-H8</f>
        <v>0</v>
      </c>
      <c r="J8" s="5" t="n">
        <f aca="false">F8-H8</f>
        <v>16</v>
      </c>
      <c r="K8" s="5" t="n">
        <f aca="false">IF(I8&gt;0,1,0)</f>
        <v>0</v>
      </c>
      <c r="L8" s="5" t="n">
        <f aca="false">IF(J8&lt;PuntoReorden,1,0)</f>
        <v>0</v>
      </c>
      <c r="M8" s="18" t="n">
        <f aca="false">PrecioVenta*H8</f>
        <v>3400000</v>
      </c>
      <c r="N8" s="18" t="n">
        <f aca="false">CostoUnitario*E8</f>
        <v>9000000</v>
      </c>
      <c r="O8" s="18" t="n">
        <f aca="false">IF(E8&gt;0,CostoPedido,0)</f>
        <v>40000</v>
      </c>
      <c r="P8" s="18" t="n">
        <f aca="false">CostoAlm*(F8+J8)/2</f>
        <v>1480</v>
      </c>
      <c r="Q8" s="18" t="n">
        <f aca="false">CostoFijo*D8</f>
        <v>0</v>
      </c>
      <c r="R8" s="18" t="n">
        <f aca="false">M8-N8-O8-P8-Q8</f>
        <v>-5641480</v>
      </c>
      <c r="T8" s="5" t="s">
        <v>65</v>
      </c>
      <c r="U8" s="20" t="n">
        <f aca="false">AVERAGE(I6:I318)</f>
        <v>0</v>
      </c>
      <c r="W8" s="5" t="n">
        <v>2</v>
      </c>
      <c r="X8" s="21" t="n">
        <v>102712600</v>
      </c>
      <c r="Y8" s="22" t="n">
        <v>0</v>
      </c>
      <c r="Z8" s="22" t="n">
        <v>0</v>
      </c>
      <c r="AB8" s="5" t="s">
        <v>66</v>
      </c>
      <c r="AC8" s="20" t="n">
        <f aca="false">AVERAGE(Z7:Z106)</f>
        <v>0</v>
      </c>
    </row>
    <row r="9" customFormat="false" ht="15" hidden="false" customHeight="true" outlineLevel="0" collapsed="false">
      <c r="A9" s="5" t="n">
        <f aca="false">A8+1</f>
        <v>4</v>
      </c>
      <c r="B9" s="16" t="n">
        <f aca="false">B8+IF(WEEKDAY(B8,2)=6,2,1)</f>
        <v>46027</v>
      </c>
      <c r="C9" s="5" t="n">
        <f aca="false">MONTH(B9)</f>
        <v>1</v>
      </c>
      <c r="D9" s="5" t="n">
        <f aca="false">IF(C9&lt;&gt;C8,1,0)</f>
        <v>0</v>
      </c>
      <c r="E9" s="5" t="n">
        <f aca="false">IF(L8=1,CantPedido,0)</f>
        <v>0</v>
      </c>
      <c r="F9" s="5" t="n">
        <f aca="false">J8+E9</f>
        <v>16</v>
      </c>
      <c r="G9" s="5" t="n">
        <f aca="true">VLOOKUP(RAND(),TablaEmpirica,2,TRUE())</f>
        <v>5</v>
      </c>
      <c r="H9" s="5" t="n">
        <f aca="false">MIN(F9,G9)</f>
        <v>5</v>
      </c>
      <c r="I9" s="5" t="n">
        <f aca="false">G9-H9</f>
        <v>0</v>
      </c>
      <c r="J9" s="5" t="n">
        <f aca="false">F9-H9</f>
        <v>11</v>
      </c>
      <c r="K9" s="5" t="n">
        <f aca="false">IF(I9&gt;0,1,0)</f>
        <v>0</v>
      </c>
      <c r="L9" s="5" t="n">
        <f aca="false">IF(J9&lt;PuntoReorden,1,0)</f>
        <v>0</v>
      </c>
      <c r="M9" s="18" t="n">
        <f aca="false">PrecioVenta*H9</f>
        <v>3400000</v>
      </c>
      <c r="N9" s="18" t="n">
        <f aca="false">CostoUnitario*E9</f>
        <v>0</v>
      </c>
      <c r="O9" s="18" t="n">
        <f aca="false">IF(E9&gt;0,CostoPedido,0)</f>
        <v>0</v>
      </c>
      <c r="P9" s="18" t="n">
        <f aca="false">CostoAlm*(F9+J9)/2</f>
        <v>1080</v>
      </c>
      <c r="Q9" s="18" t="n">
        <f aca="false">CostoFijo*D9</f>
        <v>0</v>
      </c>
      <c r="R9" s="18" t="n">
        <f aca="false">M9-N9-O9-P9-Q9</f>
        <v>3398920</v>
      </c>
      <c r="W9" s="5" t="n">
        <v>3</v>
      </c>
      <c r="X9" s="21" t="n">
        <v>104954520</v>
      </c>
      <c r="Y9" s="22" t="n">
        <v>0</v>
      </c>
      <c r="Z9" s="22" t="n">
        <v>0</v>
      </c>
    </row>
    <row r="10" customFormat="false" ht="15" hidden="false" customHeight="true" outlineLevel="0" collapsed="false">
      <c r="A10" s="5" t="n">
        <f aca="false">A9+1</f>
        <v>5</v>
      </c>
      <c r="B10" s="16" t="n">
        <f aca="false">B9+IF(WEEKDAY(B9,2)=6,2,1)</f>
        <v>46028</v>
      </c>
      <c r="C10" s="5" t="n">
        <f aca="false">MONTH(B10)</f>
        <v>1</v>
      </c>
      <c r="D10" s="5" t="n">
        <f aca="false">IF(C10&lt;&gt;C9,1,0)</f>
        <v>0</v>
      </c>
      <c r="E10" s="5" t="n">
        <f aca="false">IF(L9=1,CantPedido,0)</f>
        <v>0</v>
      </c>
      <c r="F10" s="5" t="n">
        <f aca="false">J9+E10</f>
        <v>11</v>
      </c>
      <c r="G10" s="5" t="n">
        <f aca="true">VLOOKUP(RAND(),TablaEmpirica,2,TRUE())</f>
        <v>5</v>
      </c>
      <c r="H10" s="5" t="n">
        <f aca="false">MIN(F10,G10)</f>
        <v>5</v>
      </c>
      <c r="I10" s="5" t="n">
        <f aca="false">G10-H10</f>
        <v>0</v>
      </c>
      <c r="J10" s="5" t="n">
        <f aca="false">F10-H10</f>
        <v>6</v>
      </c>
      <c r="K10" s="5" t="n">
        <f aca="false">IF(I10&gt;0,1,0)</f>
        <v>0</v>
      </c>
      <c r="L10" s="5" t="n">
        <f aca="false">IF(J10&lt;PuntoReorden,1,0)</f>
        <v>1</v>
      </c>
      <c r="M10" s="18" t="n">
        <f aca="false">PrecioVenta*H10</f>
        <v>3400000</v>
      </c>
      <c r="N10" s="18" t="n">
        <f aca="false">CostoUnitario*E10</f>
        <v>0</v>
      </c>
      <c r="O10" s="18" t="n">
        <f aca="false">IF(E10&gt;0,CostoPedido,0)</f>
        <v>0</v>
      </c>
      <c r="P10" s="18" t="n">
        <f aca="false">CostoAlm*(F10+J10)/2</f>
        <v>680</v>
      </c>
      <c r="Q10" s="18" t="n">
        <f aca="false">CostoFijo*D10</f>
        <v>0</v>
      </c>
      <c r="R10" s="18" t="n">
        <f aca="false">M10-N10-O10-P10-Q10</f>
        <v>3399320</v>
      </c>
      <c r="W10" s="5" t="n">
        <v>4</v>
      </c>
      <c r="X10" s="21" t="n">
        <v>103589960</v>
      </c>
      <c r="Y10" s="22" t="n">
        <v>0</v>
      </c>
      <c r="Z10" s="22" t="n">
        <v>0</v>
      </c>
    </row>
    <row r="11" customFormat="false" ht="15" hidden="false" customHeight="true" outlineLevel="0" collapsed="false">
      <c r="A11" s="5" t="n">
        <f aca="false">A10+1</f>
        <v>6</v>
      </c>
      <c r="B11" s="16" t="n">
        <f aca="false">B10+IF(WEEKDAY(B10,2)=6,2,1)</f>
        <v>46029</v>
      </c>
      <c r="C11" s="5" t="n">
        <f aca="false">MONTH(B11)</f>
        <v>1</v>
      </c>
      <c r="D11" s="5" t="n">
        <f aca="false">IF(C11&lt;&gt;C10,1,0)</f>
        <v>0</v>
      </c>
      <c r="E11" s="17" t="n">
        <f aca="false">IF(L10=1,CantPedido,0)</f>
        <v>15</v>
      </c>
      <c r="F11" s="5" t="n">
        <f aca="false">J10+E11</f>
        <v>21</v>
      </c>
      <c r="G11" s="5" t="n">
        <f aca="true">VLOOKUP(RAND(),TablaEmpirica,2,TRUE())</f>
        <v>5</v>
      </c>
      <c r="H11" s="5" t="n">
        <f aca="false">MIN(F11,G11)</f>
        <v>5</v>
      </c>
      <c r="I11" s="5" t="n">
        <f aca="false">G11-H11</f>
        <v>0</v>
      </c>
      <c r="J11" s="5" t="n">
        <f aca="false">F11-H11</f>
        <v>16</v>
      </c>
      <c r="K11" s="5" t="n">
        <f aca="false">IF(I11&gt;0,1,0)</f>
        <v>0</v>
      </c>
      <c r="L11" s="5" t="n">
        <f aca="false">IF(J11&lt;PuntoReorden,1,0)</f>
        <v>0</v>
      </c>
      <c r="M11" s="18" t="n">
        <f aca="false">PrecioVenta*H11</f>
        <v>3400000</v>
      </c>
      <c r="N11" s="18" t="n">
        <f aca="false">CostoUnitario*E11</f>
        <v>9000000</v>
      </c>
      <c r="O11" s="18" t="n">
        <f aca="false">IF(E11&gt;0,CostoPedido,0)</f>
        <v>40000</v>
      </c>
      <c r="P11" s="18" t="n">
        <f aca="false">CostoAlm*(F11+J11)/2</f>
        <v>1480</v>
      </c>
      <c r="Q11" s="18" t="n">
        <f aca="false">CostoFijo*D11</f>
        <v>0</v>
      </c>
      <c r="R11" s="18" t="n">
        <f aca="false">M11-N11-O11-P11-Q11</f>
        <v>-5641480</v>
      </c>
      <c r="W11" s="5" t="n">
        <v>5</v>
      </c>
      <c r="X11" s="21" t="n">
        <v>102917200</v>
      </c>
      <c r="Y11" s="22" t="n">
        <v>0</v>
      </c>
      <c r="Z11" s="22" t="n">
        <v>0</v>
      </c>
      <c r="AB11" s="11" t="s">
        <v>67</v>
      </c>
    </row>
    <row r="12" customFormat="false" ht="15" hidden="false" customHeight="true" outlineLevel="0" collapsed="false">
      <c r="A12" s="5" t="n">
        <f aca="false">A11+1</f>
        <v>7</v>
      </c>
      <c r="B12" s="16" t="n">
        <f aca="false">B11+IF(WEEKDAY(B11,2)=6,2,1)</f>
        <v>46030</v>
      </c>
      <c r="C12" s="5" t="n">
        <f aca="false">MONTH(B12)</f>
        <v>1</v>
      </c>
      <c r="D12" s="5" t="n">
        <f aca="false">IF(C12&lt;&gt;C11,1,0)</f>
        <v>0</v>
      </c>
      <c r="E12" s="17" t="n">
        <f aca="false">IF(L11=1,CantPedido,0)</f>
        <v>0</v>
      </c>
      <c r="F12" s="5" t="n">
        <f aca="false">J11+E12</f>
        <v>16</v>
      </c>
      <c r="G12" s="5" t="n">
        <f aca="true">VLOOKUP(RAND(),TablaEmpirica,2,TRUE())</f>
        <v>5</v>
      </c>
      <c r="H12" s="5" t="n">
        <f aca="false">MIN(F12,G12)</f>
        <v>5</v>
      </c>
      <c r="I12" s="5" t="n">
        <f aca="false">G12-H12</f>
        <v>0</v>
      </c>
      <c r="J12" s="5" t="n">
        <f aca="false">F12-H12</f>
        <v>11</v>
      </c>
      <c r="K12" s="5" t="n">
        <f aca="false">IF(I12&gt;0,1,0)</f>
        <v>0</v>
      </c>
      <c r="L12" s="5" t="n">
        <f aca="false">IF(J12&lt;PuntoReorden,1,0)</f>
        <v>0</v>
      </c>
      <c r="M12" s="18" t="n">
        <f aca="false">PrecioVenta*H12</f>
        <v>3400000</v>
      </c>
      <c r="N12" s="18" t="n">
        <f aca="false">CostoUnitario*E12</f>
        <v>0</v>
      </c>
      <c r="O12" s="18" t="n">
        <f aca="false">IF(E12&gt;0,CostoPedido,0)</f>
        <v>0</v>
      </c>
      <c r="P12" s="18" t="n">
        <f aca="false">CostoAlm*(F12+J12)/2</f>
        <v>1080</v>
      </c>
      <c r="Q12" s="18" t="n">
        <f aca="false">CostoFijo*D12</f>
        <v>0</v>
      </c>
      <c r="R12" s="18" t="n">
        <f aca="false">M12-N12-O12-P12-Q12</f>
        <v>3398920</v>
      </c>
      <c r="W12" s="5" t="n">
        <v>6</v>
      </c>
      <c r="X12" s="21" t="n">
        <v>107955760</v>
      </c>
      <c r="Y12" s="22" t="n">
        <v>0</v>
      </c>
      <c r="Z12" s="22" t="n">
        <v>0</v>
      </c>
      <c r="AB12" s="5" t="s">
        <v>68</v>
      </c>
      <c r="AC12" s="15" t="n">
        <f aca="false">MIN(X7:X106)</f>
        <v>96512000</v>
      </c>
    </row>
    <row r="13" customFormat="false" ht="15" hidden="false" customHeight="true" outlineLevel="0" collapsed="false">
      <c r="A13" s="5" t="n">
        <f aca="false">A12+1</f>
        <v>8</v>
      </c>
      <c r="B13" s="16" t="n">
        <f aca="false">B12+IF(WEEKDAY(B12,2)=6,2,1)</f>
        <v>46031</v>
      </c>
      <c r="C13" s="5" t="n">
        <f aca="false">MONTH(B13)</f>
        <v>1</v>
      </c>
      <c r="D13" s="5" t="n">
        <f aca="false">IF(C13&lt;&gt;C12,1,0)</f>
        <v>0</v>
      </c>
      <c r="E13" s="5" t="n">
        <f aca="false">IF(L12=1,CantPedido,0)</f>
        <v>0</v>
      </c>
      <c r="F13" s="5" t="n">
        <f aca="false">J12+E13</f>
        <v>11</v>
      </c>
      <c r="G13" s="5" t="n">
        <f aca="true">VLOOKUP(RAND(),TablaEmpirica,2,TRUE())</f>
        <v>3</v>
      </c>
      <c r="H13" s="5" t="n">
        <f aca="false">MIN(F13,G13)</f>
        <v>3</v>
      </c>
      <c r="I13" s="5" t="n">
        <f aca="false">G13-H13</f>
        <v>0</v>
      </c>
      <c r="J13" s="5" t="n">
        <f aca="false">F13-H13</f>
        <v>8</v>
      </c>
      <c r="K13" s="5" t="n">
        <f aca="false">IF(I13&gt;0,1,0)</f>
        <v>0</v>
      </c>
      <c r="L13" s="5" t="n">
        <f aca="false">IF(J13&lt;PuntoReorden,1,0)</f>
        <v>0</v>
      </c>
      <c r="M13" s="18" t="n">
        <f aca="false">PrecioVenta*H13</f>
        <v>2040000</v>
      </c>
      <c r="N13" s="18" t="n">
        <f aca="false">CostoUnitario*E13</f>
        <v>0</v>
      </c>
      <c r="O13" s="18" t="n">
        <f aca="false">IF(E13&gt;0,CostoPedido,0)</f>
        <v>0</v>
      </c>
      <c r="P13" s="18" t="n">
        <f aca="false">CostoAlm*(F13+J13)/2</f>
        <v>760</v>
      </c>
      <c r="Q13" s="18" t="n">
        <f aca="false">CostoFijo*D13</f>
        <v>0</v>
      </c>
      <c r="R13" s="18" t="n">
        <f aca="false">M13-N13-O13-P13-Q13</f>
        <v>2039240</v>
      </c>
      <c r="W13" s="5" t="n">
        <v>7</v>
      </c>
      <c r="X13" s="21" t="n">
        <v>106591920</v>
      </c>
      <c r="Y13" s="22" t="n">
        <v>0</v>
      </c>
      <c r="Z13" s="22" t="n">
        <v>0</v>
      </c>
      <c r="AB13" s="5" t="s">
        <v>69</v>
      </c>
      <c r="AC13" s="15" t="n">
        <f aca="false">MAX(X7:X106)</f>
        <v>111156640</v>
      </c>
    </row>
    <row r="14" customFormat="false" ht="15" hidden="false" customHeight="true" outlineLevel="0" collapsed="false">
      <c r="A14" s="5" t="n">
        <f aca="false">A13+1</f>
        <v>9</v>
      </c>
      <c r="B14" s="16" t="n">
        <f aca="false">B13+IF(WEEKDAY(B13,2)=6,2,1)</f>
        <v>46032</v>
      </c>
      <c r="C14" s="5" t="n">
        <f aca="false">MONTH(B14)</f>
        <v>1</v>
      </c>
      <c r="D14" s="5" t="n">
        <f aca="false">IF(C14&lt;&gt;C13,1,0)</f>
        <v>0</v>
      </c>
      <c r="E14" s="17" t="n">
        <f aca="false">IF(L13=1,CantPedido,0)</f>
        <v>0</v>
      </c>
      <c r="F14" s="5" t="n">
        <f aca="false">J13+E14</f>
        <v>8</v>
      </c>
      <c r="G14" s="5" t="n">
        <f aca="true">VLOOKUP(RAND(),TablaEmpirica,2,TRUE())</f>
        <v>6</v>
      </c>
      <c r="H14" s="5" t="n">
        <f aca="false">MIN(F14,G14)</f>
        <v>6</v>
      </c>
      <c r="I14" s="5" t="n">
        <f aca="false">G14-H14</f>
        <v>0</v>
      </c>
      <c r="J14" s="5" t="n">
        <f aca="false">F14-H14</f>
        <v>2</v>
      </c>
      <c r="K14" s="5" t="n">
        <f aca="false">IF(I14&gt;0,1,0)</f>
        <v>0</v>
      </c>
      <c r="L14" s="5" t="n">
        <f aca="false">IF(J14&lt;PuntoReorden,1,0)</f>
        <v>1</v>
      </c>
      <c r="M14" s="18" t="n">
        <f aca="false">PrecioVenta*H14</f>
        <v>4080000</v>
      </c>
      <c r="N14" s="18" t="n">
        <f aca="false">CostoUnitario*E14</f>
        <v>0</v>
      </c>
      <c r="O14" s="18" t="n">
        <f aca="false">IF(E14&gt;0,CostoPedido,0)</f>
        <v>0</v>
      </c>
      <c r="P14" s="18" t="n">
        <f aca="false">CostoAlm*(F14+J14)/2</f>
        <v>400</v>
      </c>
      <c r="Q14" s="18" t="n">
        <f aca="false">CostoFijo*D14</f>
        <v>0</v>
      </c>
      <c r="R14" s="18" t="n">
        <f aca="false">M14-N14-O14-P14-Q14</f>
        <v>4079600</v>
      </c>
      <c r="W14" s="5" t="n">
        <v>8</v>
      </c>
      <c r="X14" s="21" t="n">
        <v>105625520</v>
      </c>
      <c r="Y14" s="22" t="n">
        <v>0</v>
      </c>
      <c r="Z14" s="22" t="n">
        <v>0</v>
      </c>
      <c r="AB14" s="5" t="s">
        <v>70</v>
      </c>
      <c r="AC14" s="15" t="n">
        <f aca="false">IF(AC13=AC12,1,(AC13-AC12)/10)</f>
        <v>1464464</v>
      </c>
    </row>
    <row r="15" customFormat="false" ht="15" hidden="false" customHeight="true" outlineLevel="0" collapsed="false">
      <c r="A15" s="5" t="n">
        <f aca="false">A14+1</f>
        <v>10</v>
      </c>
      <c r="B15" s="16" t="n">
        <f aca="false">B14+IF(WEEKDAY(B14,2)=6,2,1)</f>
        <v>46034</v>
      </c>
      <c r="C15" s="5" t="n">
        <f aca="false">MONTH(B15)</f>
        <v>1</v>
      </c>
      <c r="D15" s="5" t="n">
        <f aca="false">IF(C15&lt;&gt;C14,1,0)</f>
        <v>0</v>
      </c>
      <c r="E15" s="17" t="n">
        <f aca="false">IF(L14=1,CantPedido,0)</f>
        <v>15</v>
      </c>
      <c r="F15" s="5" t="n">
        <f aca="false">J14+E15</f>
        <v>17</v>
      </c>
      <c r="G15" s="5" t="n">
        <f aca="true">VLOOKUP(RAND(),TablaEmpirica,2,TRUE())</f>
        <v>3</v>
      </c>
      <c r="H15" s="5" t="n">
        <f aca="false">MIN(F15,G15)</f>
        <v>3</v>
      </c>
      <c r="I15" s="5" t="n">
        <f aca="false">G15-H15</f>
        <v>0</v>
      </c>
      <c r="J15" s="5" t="n">
        <f aca="false">F15-H15</f>
        <v>14</v>
      </c>
      <c r="K15" s="5" t="n">
        <f aca="false">IF(I15&gt;0,1,0)</f>
        <v>0</v>
      </c>
      <c r="L15" s="5" t="n">
        <f aca="false">IF(J15&lt;PuntoReorden,1,0)</f>
        <v>0</v>
      </c>
      <c r="M15" s="18" t="n">
        <f aca="false">PrecioVenta*H15</f>
        <v>2040000</v>
      </c>
      <c r="N15" s="18" t="n">
        <f aca="false">CostoUnitario*E15</f>
        <v>9000000</v>
      </c>
      <c r="O15" s="18" t="n">
        <f aca="false">IF(E15&gt;0,CostoPedido,0)</f>
        <v>40000</v>
      </c>
      <c r="P15" s="18" t="n">
        <f aca="false">CostoAlm*(F15+J15)/2</f>
        <v>1240</v>
      </c>
      <c r="Q15" s="18" t="n">
        <f aca="false">CostoFijo*D15</f>
        <v>0</v>
      </c>
      <c r="R15" s="18" t="n">
        <f aca="false">M15-N15-O15-P15-Q15</f>
        <v>-7001240</v>
      </c>
      <c r="W15" s="5" t="n">
        <v>9</v>
      </c>
      <c r="X15" s="21" t="n">
        <v>101746840</v>
      </c>
      <c r="Y15" s="22" t="n">
        <v>0</v>
      </c>
      <c r="Z15" s="22" t="n">
        <v>0</v>
      </c>
    </row>
    <row r="16" customFormat="false" ht="23.25" hidden="false" customHeight="true" outlineLevel="0" collapsed="false">
      <c r="A16" s="5" t="n">
        <f aca="false">A15+1</f>
        <v>11</v>
      </c>
      <c r="B16" s="16" t="n">
        <f aca="false">B15+IF(WEEKDAY(B15,2)=6,2,1)</f>
        <v>46035</v>
      </c>
      <c r="C16" s="5" t="n">
        <f aca="false">MONTH(B16)</f>
        <v>1</v>
      </c>
      <c r="D16" s="5" t="n">
        <f aca="false">IF(C16&lt;&gt;C15,1,0)</f>
        <v>0</v>
      </c>
      <c r="E16" s="5" t="n">
        <f aca="false">IF(L15=1,CantPedido,0)</f>
        <v>0</v>
      </c>
      <c r="F16" s="5" t="n">
        <f aca="false">J15+E16</f>
        <v>14</v>
      </c>
      <c r="G16" s="5" t="n">
        <f aca="true">VLOOKUP(RAND(),TablaEmpirica,2,TRUE())</f>
        <v>3</v>
      </c>
      <c r="H16" s="5" t="n">
        <f aca="false">MIN(F16,G16)</f>
        <v>3</v>
      </c>
      <c r="I16" s="5" t="n">
        <f aca="false">G16-H16</f>
        <v>0</v>
      </c>
      <c r="J16" s="5" t="n">
        <f aca="false">F16-H16</f>
        <v>11</v>
      </c>
      <c r="K16" s="5" t="n">
        <f aca="false">IF(I16&gt;0,1,0)</f>
        <v>0</v>
      </c>
      <c r="L16" s="5" t="n">
        <f aca="false">IF(J16&lt;PuntoReorden,1,0)</f>
        <v>0</v>
      </c>
      <c r="M16" s="18" t="n">
        <f aca="false">PrecioVenta*H16</f>
        <v>2040000</v>
      </c>
      <c r="N16" s="18" t="n">
        <f aca="false">CostoUnitario*E16</f>
        <v>0</v>
      </c>
      <c r="O16" s="18" t="n">
        <f aca="false">IF(E16&gt;0,CostoPedido,0)</f>
        <v>0</v>
      </c>
      <c r="P16" s="18" t="n">
        <f aca="false">CostoAlm*(F16+J16)/2</f>
        <v>1000</v>
      </c>
      <c r="Q16" s="18" t="n">
        <f aca="false">CostoFijo*D16</f>
        <v>0</v>
      </c>
      <c r="R16" s="18" t="n">
        <f aca="false">M16-N16-O16-P16-Q16</f>
        <v>2039000</v>
      </c>
      <c r="W16" s="5" t="n">
        <v>10</v>
      </c>
      <c r="X16" s="21" t="n">
        <v>109995800</v>
      </c>
      <c r="Y16" s="22" t="n">
        <v>0</v>
      </c>
      <c r="Z16" s="22" t="n">
        <v>0</v>
      </c>
      <c r="AB16" s="4" t="s">
        <v>71</v>
      </c>
      <c r="AC16" s="4" t="s">
        <v>72</v>
      </c>
      <c r="AD16" s="4" t="s">
        <v>73</v>
      </c>
      <c r="AE16" s="4" t="s">
        <v>74</v>
      </c>
      <c r="AF16" s="4" t="s">
        <v>75</v>
      </c>
    </row>
    <row r="17" customFormat="false" ht="15" hidden="false" customHeight="true" outlineLevel="0" collapsed="false">
      <c r="A17" s="5" t="n">
        <f aca="false">A16+1</f>
        <v>12</v>
      </c>
      <c r="B17" s="16" t="n">
        <f aca="false">B16+IF(WEEKDAY(B16,2)=6,2,1)</f>
        <v>46036</v>
      </c>
      <c r="C17" s="5" t="n">
        <f aca="false">MONTH(B17)</f>
        <v>1</v>
      </c>
      <c r="D17" s="5" t="n">
        <f aca="false">IF(C17&lt;&gt;C16,1,0)</f>
        <v>0</v>
      </c>
      <c r="E17" s="17" t="n">
        <f aca="false">IF(L16=1,CantPedido,0)</f>
        <v>0</v>
      </c>
      <c r="F17" s="5" t="n">
        <f aca="false">J16+E17</f>
        <v>11</v>
      </c>
      <c r="G17" s="5" t="n">
        <f aca="true">VLOOKUP(RAND(),TablaEmpirica,2,TRUE())</f>
        <v>5</v>
      </c>
      <c r="H17" s="5" t="n">
        <f aca="false">MIN(F17,G17)</f>
        <v>5</v>
      </c>
      <c r="I17" s="5" t="n">
        <f aca="false">G17-H17</f>
        <v>0</v>
      </c>
      <c r="J17" s="5" t="n">
        <f aca="false">F17-H17</f>
        <v>6</v>
      </c>
      <c r="K17" s="5" t="n">
        <f aca="false">IF(I17&gt;0,1,0)</f>
        <v>0</v>
      </c>
      <c r="L17" s="5" t="n">
        <f aca="false">IF(J17&lt;PuntoReorden,1,0)</f>
        <v>1</v>
      </c>
      <c r="M17" s="18" t="n">
        <f aca="false">PrecioVenta*H17</f>
        <v>3400000</v>
      </c>
      <c r="N17" s="18" t="n">
        <f aca="false">CostoUnitario*E17</f>
        <v>0</v>
      </c>
      <c r="O17" s="18" t="n">
        <f aca="false">IF(E17&gt;0,CostoPedido,0)</f>
        <v>0</v>
      </c>
      <c r="P17" s="18" t="n">
        <f aca="false">CostoAlm*(F17+J17)/2</f>
        <v>680</v>
      </c>
      <c r="Q17" s="18" t="n">
        <f aca="false">CostoFijo*D17</f>
        <v>0</v>
      </c>
      <c r="R17" s="18" t="n">
        <f aca="false">M17-N17-O17-P17-Q17</f>
        <v>3399320</v>
      </c>
      <c r="W17" s="5" t="n">
        <v>11</v>
      </c>
      <c r="X17" s="21" t="n">
        <v>100671440</v>
      </c>
      <c r="Y17" s="22" t="n">
        <v>0</v>
      </c>
      <c r="Z17" s="22" t="n">
        <v>0</v>
      </c>
      <c r="AB17" s="5" t="n">
        <v>1</v>
      </c>
      <c r="AC17" s="18" t="n">
        <f aca="false">$AC$12+(AB17-1)*$AC$14</f>
        <v>96512000</v>
      </c>
      <c r="AD17" s="18" t="n">
        <f aca="false">AC17+$AC$14</f>
        <v>97976464</v>
      </c>
      <c r="AE17" s="23" t="n">
        <f aca="false">(AC17+AD17)/2/1000000</f>
        <v>97.244232</v>
      </c>
      <c r="AF17" s="5" t="n">
        <f aca="false">COUNTIFS($X$7:$X$106,"&gt;="&amp;AC17,$X$7:$X$106,"&lt;"&amp;AD17)</f>
        <v>5</v>
      </c>
    </row>
    <row r="18" customFormat="false" ht="15" hidden="false" customHeight="true" outlineLevel="0" collapsed="false">
      <c r="A18" s="5" t="n">
        <f aca="false">A17+1</f>
        <v>13</v>
      </c>
      <c r="B18" s="16" t="n">
        <f aca="false">B17+IF(WEEKDAY(B17,2)=6,2,1)</f>
        <v>46037</v>
      </c>
      <c r="C18" s="5" t="n">
        <f aca="false">MONTH(B18)</f>
        <v>1</v>
      </c>
      <c r="D18" s="5" t="n">
        <f aca="false">IF(C18&lt;&gt;C17,1,0)</f>
        <v>0</v>
      </c>
      <c r="E18" s="17" t="n">
        <f aca="false">IF(L17=1,CantPedido,0)</f>
        <v>15</v>
      </c>
      <c r="F18" s="5" t="n">
        <f aca="false">J17+E18</f>
        <v>21</v>
      </c>
      <c r="G18" s="5" t="n">
        <f aca="true">VLOOKUP(RAND(),TablaEmpirica,2,TRUE())</f>
        <v>5</v>
      </c>
      <c r="H18" s="5" t="n">
        <f aca="false">MIN(F18,G18)</f>
        <v>5</v>
      </c>
      <c r="I18" s="5" t="n">
        <f aca="false">G18-H18</f>
        <v>0</v>
      </c>
      <c r="J18" s="5" t="n">
        <f aca="false">F18-H18</f>
        <v>16</v>
      </c>
      <c r="K18" s="5" t="n">
        <f aca="false">IF(I18&gt;0,1,0)</f>
        <v>0</v>
      </c>
      <c r="L18" s="5" t="n">
        <f aca="false">IF(J18&lt;PuntoReorden,1,0)</f>
        <v>0</v>
      </c>
      <c r="M18" s="18" t="n">
        <f aca="false">PrecioVenta*H18</f>
        <v>3400000</v>
      </c>
      <c r="N18" s="18" t="n">
        <f aca="false">CostoUnitario*E18</f>
        <v>9000000</v>
      </c>
      <c r="O18" s="18" t="n">
        <f aca="false">IF(E18&gt;0,CostoPedido,0)</f>
        <v>40000</v>
      </c>
      <c r="P18" s="18" t="n">
        <f aca="false">CostoAlm*(F18+J18)/2</f>
        <v>1480</v>
      </c>
      <c r="Q18" s="18" t="n">
        <f aca="false">CostoFijo*D18</f>
        <v>0</v>
      </c>
      <c r="R18" s="18" t="n">
        <f aca="false">M18-N18-O18-P18-Q18</f>
        <v>-5641480</v>
      </c>
      <c r="W18" s="5" t="n">
        <v>12</v>
      </c>
      <c r="X18" s="21" t="n">
        <v>97950800</v>
      </c>
      <c r="Y18" s="22" t="n">
        <v>0</v>
      </c>
      <c r="Z18" s="22" t="n">
        <v>0</v>
      </c>
      <c r="AB18" s="5" t="n">
        <v>2</v>
      </c>
      <c r="AC18" s="18" t="n">
        <f aca="false">$AC$12+(AB18-1)*$AC$14</f>
        <v>97976464</v>
      </c>
      <c r="AD18" s="18" t="n">
        <f aca="false">AC18+$AC$14</f>
        <v>99440928</v>
      </c>
      <c r="AE18" s="23" t="n">
        <f aca="false">(AC18+AD18)/2/1000000</f>
        <v>98.708696</v>
      </c>
      <c r="AF18" s="5" t="n">
        <f aca="false">COUNTIFS($X$7:$X$106,"&gt;="&amp;AC18,$X$7:$X$106,"&lt;"&amp;AD18)</f>
        <v>5</v>
      </c>
    </row>
    <row r="19" customFormat="false" ht="15" hidden="false" customHeight="true" outlineLevel="0" collapsed="false">
      <c r="A19" s="5" t="n">
        <f aca="false">A18+1</f>
        <v>14</v>
      </c>
      <c r="B19" s="16" t="n">
        <f aca="false">B18+IF(WEEKDAY(B18,2)=6,2,1)</f>
        <v>46038</v>
      </c>
      <c r="C19" s="5" t="n">
        <f aca="false">MONTH(B19)</f>
        <v>1</v>
      </c>
      <c r="D19" s="5" t="n">
        <f aca="false">IF(C19&lt;&gt;C18,1,0)</f>
        <v>0</v>
      </c>
      <c r="E19" s="5" t="n">
        <f aca="false">IF(L18=1,CantPedido,0)</f>
        <v>0</v>
      </c>
      <c r="F19" s="5" t="n">
        <f aca="false">J18+E19</f>
        <v>16</v>
      </c>
      <c r="G19" s="5" t="n">
        <f aca="true">VLOOKUP(RAND(),TablaEmpirica,2,TRUE())</f>
        <v>6</v>
      </c>
      <c r="H19" s="5" t="n">
        <f aca="false">MIN(F19,G19)</f>
        <v>6</v>
      </c>
      <c r="I19" s="5" t="n">
        <f aca="false">G19-H19</f>
        <v>0</v>
      </c>
      <c r="J19" s="5" t="n">
        <f aca="false">F19-H19</f>
        <v>10</v>
      </c>
      <c r="K19" s="5" t="n">
        <f aca="false">IF(I19&gt;0,1,0)</f>
        <v>0</v>
      </c>
      <c r="L19" s="5" t="n">
        <f aca="false">IF(J19&lt;PuntoReorden,1,0)</f>
        <v>0</v>
      </c>
      <c r="M19" s="18" t="n">
        <f aca="false">PrecioVenta*H19</f>
        <v>4080000</v>
      </c>
      <c r="N19" s="18" t="n">
        <f aca="false">CostoUnitario*E19</f>
        <v>0</v>
      </c>
      <c r="O19" s="18" t="n">
        <f aca="false">IF(E19&gt;0,CostoPedido,0)</f>
        <v>0</v>
      </c>
      <c r="P19" s="18" t="n">
        <f aca="false">CostoAlm*(F19+J19)/2</f>
        <v>1040</v>
      </c>
      <c r="Q19" s="18" t="n">
        <f aca="false">CostoFijo*D19</f>
        <v>0</v>
      </c>
      <c r="R19" s="18" t="n">
        <f aca="false">M19-N19-O19-P19-Q19</f>
        <v>4078960</v>
      </c>
      <c r="W19" s="5" t="n">
        <v>13</v>
      </c>
      <c r="X19" s="21" t="n">
        <v>106104960</v>
      </c>
      <c r="Y19" s="22" t="n">
        <v>0</v>
      </c>
      <c r="Z19" s="22" t="n">
        <v>0</v>
      </c>
      <c r="AB19" s="5" t="n">
        <v>3</v>
      </c>
      <c r="AC19" s="18" t="n">
        <f aca="false">$AC$12+(AB19-1)*$AC$14</f>
        <v>99440928</v>
      </c>
      <c r="AD19" s="18" t="n">
        <f aca="false">AC19+$AC$14</f>
        <v>100905392</v>
      </c>
      <c r="AE19" s="23" t="n">
        <f aca="false">(AC19+AD19)/2/1000000</f>
        <v>100.17316</v>
      </c>
      <c r="AF19" s="5" t="n">
        <f aca="false">COUNTIFS($X$7:$X$106,"&gt;="&amp;AC19,$X$7:$X$106,"&lt;"&amp;AD19)</f>
        <v>14</v>
      </c>
    </row>
    <row r="20" customFormat="false" ht="15" hidden="false" customHeight="true" outlineLevel="0" collapsed="false">
      <c r="A20" s="5" t="n">
        <f aca="false">A19+1</f>
        <v>15</v>
      </c>
      <c r="B20" s="16" t="n">
        <f aca="false">B19+IF(WEEKDAY(B19,2)=6,2,1)</f>
        <v>46039</v>
      </c>
      <c r="C20" s="5" t="n">
        <f aca="false">MONTH(B20)</f>
        <v>1</v>
      </c>
      <c r="D20" s="5" t="n">
        <f aca="false">IF(C20&lt;&gt;C19,1,0)</f>
        <v>0</v>
      </c>
      <c r="E20" s="17" t="n">
        <f aca="false">IF(L19=1,CantPedido,0)</f>
        <v>0</v>
      </c>
      <c r="F20" s="5" t="n">
        <f aca="false">J19+E20</f>
        <v>10</v>
      </c>
      <c r="G20" s="5" t="n">
        <f aca="true">VLOOKUP(RAND(),TablaEmpirica,2,TRUE())</f>
        <v>5</v>
      </c>
      <c r="H20" s="5" t="n">
        <f aca="false">MIN(F20,G20)</f>
        <v>5</v>
      </c>
      <c r="I20" s="5" t="n">
        <f aca="false">G20-H20</f>
        <v>0</v>
      </c>
      <c r="J20" s="5" t="n">
        <f aca="false">F20-H20</f>
        <v>5</v>
      </c>
      <c r="K20" s="5" t="n">
        <f aca="false">IF(I20&gt;0,1,0)</f>
        <v>0</v>
      </c>
      <c r="L20" s="5" t="n">
        <f aca="false">IF(J20&lt;PuntoReorden,1,0)</f>
        <v>1</v>
      </c>
      <c r="M20" s="18" t="n">
        <f aca="false">PrecioVenta*H20</f>
        <v>3400000</v>
      </c>
      <c r="N20" s="18" t="n">
        <f aca="false">CostoUnitario*E20</f>
        <v>0</v>
      </c>
      <c r="O20" s="18" t="n">
        <f aca="false">IF(E20&gt;0,CostoPedido,0)</f>
        <v>0</v>
      </c>
      <c r="P20" s="18" t="n">
        <f aca="false">CostoAlm*(F20+J20)/2</f>
        <v>600</v>
      </c>
      <c r="Q20" s="18" t="n">
        <f aca="false">CostoFijo*D20</f>
        <v>0</v>
      </c>
      <c r="R20" s="18" t="n">
        <f aca="false">M20-N20-O20-P20-Q20</f>
        <v>3399400</v>
      </c>
      <c r="W20" s="5" t="n">
        <v>14</v>
      </c>
      <c r="X20" s="21" t="n">
        <v>99315920</v>
      </c>
      <c r="Y20" s="22" t="n">
        <v>0</v>
      </c>
      <c r="Z20" s="22" t="n">
        <v>0</v>
      </c>
      <c r="AB20" s="5" t="n">
        <v>4</v>
      </c>
      <c r="AC20" s="18" t="n">
        <f aca="false">$AC$12+(AB20-1)*$AC$14</f>
        <v>100905392</v>
      </c>
      <c r="AD20" s="18" t="n">
        <f aca="false">AC20+$AC$14</f>
        <v>102369856</v>
      </c>
      <c r="AE20" s="23" t="n">
        <f aca="false">(AC20+AD20)/2/1000000</f>
        <v>101.637624</v>
      </c>
      <c r="AF20" s="5" t="n">
        <f aca="false">COUNTIFS($X$7:$X$106,"&gt;="&amp;AC20,$X$7:$X$106,"&lt;"&amp;AD20)</f>
        <v>18</v>
      </c>
    </row>
    <row r="21" customFormat="false" ht="15" hidden="false" customHeight="true" outlineLevel="0" collapsed="false">
      <c r="A21" s="5" t="n">
        <f aca="false">A20+1</f>
        <v>16</v>
      </c>
      <c r="B21" s="16" t="n">
        <f aca="false">B20+IF(WEEKDAY(B20,2)=6,2,1)</f>
        <v>46041</v>
      </c>
      <c r="C21" s="5" t="n">
        <f aca="false">MONTH(B21)</f>
        <v>1</v>
      </c>
      <c r="D21" s="5" t="n">
        <f aca="false">IF(C21&lt;&gt;C20,1,0)</f>
        <v>0</v>
      </c>
      <c r="E21" s="17" t="n">
        <f aca="false">IF(L20=1,CantPedido,0)</f>
        <v>15</v>
      </c>
      <c r="F21" s="5" t="n">
        <f aca="false">J20+E21</f>
        <v>20</v>
      </c>
      <c r="G21" s="5" t="n">
        <f aca="true">VLOOKUP(RAND(),TablaEmpirica,2,TRUE())</f>
        <v>6</v>
      </c>
      <c r="H21" s="5" t="n">
        <f aca="false">MIN(F21,G21)</f>
        <v>6</v>
      </c>
      <c r="I21" s="5" t="n">
        <f aca="false">G21-H21</f>
        <v>0</v>
      </c>
      <c r="J21" s="5" t="n">
        <f aca="false">F21-H21</f>
        <v>14</v>
      </c>
      <c r="K21" s="5" t="n">
        <f aca="false">IF(I21&gt;0,1,0)</f>
        <v>0</v>
      </c>
      <c r="L21" s="5" t="n">
        <f aca="false">IF(J21&lt;PuntoReorden,1,0)</f>
        <v>0</v>
      </c>
      <c r="M21" s="18" t="n">
        <f aca="false">PrecioVenta*H21</f>
        <v>4080000</v>
      </c>
      <c r="N21" s="18" t="n">
        <f aca="false">CostoUnitario*E21</f>
        <v>9000000</v>
      </c>
      <c r="O21" s="18" t="n">
        <f aca="false">IF(E21&gt;0,CostoPedido,0)</f>
        <v>40000</v>
      </c>
      <c r="P21" s="18" t="n">
        <f aca="false">CostoAlm*(F21+J21)/2</f>
        <v>1360</v>
      </c>
      <c r="Q21" s="18" t="n">
        <f aca="false">CostoFijo*D21</f>
        <v>0</v>
      </c>
      <c r="R21" s="18" t="n">
        <f aca="false">M21-N21-O21-P21-Q21</f>
        <v>-4961360</v>
      </c>
      <c r="W21" s="5" t="n">
        <v>15</v>
      </c>
      <c r="X21" s="21" t="n">
        <v>99990040</v>
      </c>
      <c r="Y21" s="22" t="n">
        <v>0</v>
      </c>
      <c r="Z21" s="22" t="n">
        <v>0</v>
      </c>
      <c r="AB21" s="5" t="n">
        <v>5</v>
      </c>
      <c r="AC21" s="18" t="n">
        <f aca="false">$AC$12+(AB21-1)*$AC$14</f>
        <v>102369856</v>
      </c>
      <c r="AD21" s="18" t="n">
        <f aca="false">AC21+$AC$14</f>
        <v>103834320</v>
      </c>
      <c r="AE21" s="23" t="n">
        <f aca="false">(AC21+AD21)/2/1000000</f>
        <v>103.102088</v>
      </c>
      <c r="AF21" s="5" t="n">
        <f aca="false">COUNTIFS($X$7:$X$106,"&gt;="&amp;AC21,$X$7:$X$106,"&lt;"&amp;AD21)</f>
        <v>22</v>
      </c>
    </row>
    <row r="22" customFormat="false" ht="15" hidden="false" customHeight="true" outlineLevel="0" collapsed="false">
      <c r="A22" s="5" t="n">
        <f aca="false">A21+1</f>
        <v>17</v>
      </c>
      <c r="B22" s="16" t="n">
        <f aca="false">B21+IF(WEEKDAY(B21,2)=6,2,1)</f>
        <v>46042</v>
      </c>
      <c r="C22" s="5" t="n">
        <f aca="false">MONTH(B22)</f>
        <v>1</v>
      </c>
      <c r="D22" s="5" t="n">
        <f aca="false">IF(C22&lt;&gt;C21,1,0)</f>
        <v>0</v>
      </c>
      <c r="E22" s="17" t="n">
        <f aca="false">IF(L21=1,CantPedido,0)</f>
        <v>0</v>
      </c>
      <c r="F22" s="5" t="n">
        <f aca="false">J21+E22</f>
        <v>14</v>
      </c>
      <c r="G22" s="5" t="n">
        <f aca="true">VLOOKUP(RAND(),TablaEmpirica,2,TRUE())</f>
        <v>4</v>
      </c>
      <c r="H22" s="5" t="n">
        <f aca="false">MIN(F22,G22)</f>
        <v>4</v>
      </c>
      <c r="I22" s="5" t="n">
        <f aca="false">G22-H22</f>
        <v>0</v>
      </c>
      <c r="J22" s="5" t="n">
        <f aca="false">F22-H22</f>
        <v>10</v>
      </c>
      <c r="K22" s="5" t="n">
        <f aca="false">IF(I22&gt;0,1,0)</f>
        <v>0</v>
      </c>
      <c r="L22" s="5" t="n">
        <f aca="false">IF(J22&lt;PuntoReorden,1,0)</f>
        <v>0</v>
      </c>
      <c r="M22" s="18" t="n">
        <f aca="false">PrecioVenta*H22</f>
        <v>2720000</v>
      </c>
      <c r="N22" s="18" t="n">
        <f aca="false">CostoUnitario*E22</f>
        <v>0</v>
      </c>
      <c r="O22" s="18" t="n">
        <f aca="false">IF(E22&gt;0,CostoPedido,0)</f>
        <v>0</v>
      </c>
      <c r="P22" s="18" t="n">
        <f aca="false">CostoAlm*(F22+J22)/2</f>
        <v>960</v>
      </c>
      <c r="Q22" s="18" t="n">
        <f aca="false">CostoFijo*D22</f>
        <v>0</v>
      </c>
      <c r="R22" s="18" t="n">
        <f aca="false">M22-N22-O22-P22-Q22</f>
        <v>2719040</v>
      </c>
      <c r="W22" s="5" t="n">
        <v>16</v>
      </c>
      <c r="X22" s="21" t="n">
        <v>96786200</v>
      </c>
      <c r="Y22" s="22" t="n">
        <v>0</v>
      </c>
      <c r="Z22" s="22" t="n">
        <v>0</v>
      </c>
      <c r="AB22" s="5" t="n">
        <v>6</v>
      </c>
      <c r="AC22" s="18" t="n">
        <f aca="false">$AC$12+(AB22-1)*$AC$14</f>
        <v>103834320</v>
      </c>
      <c r="AD22" s="18" t="n">
        <f aca="false">AC22+$AC$14</f>
        <v>105298784</v>
      </c>
      <c r="AE22" s="23" t="n">
        <f aca="false">(AC22+AD22)/2/1000000</f>
        <v>104.566552</v>
      </c>
      <c r="AF22" s="5" t="n">
        <f aca="false">COUNTIFS($X$7:$X$106,"&gt;="&amp;AC22,$X$7:$X$106,"&lt;"&amp;AD22)</f>
        <v>12</v>
      </c>
    </row>
    <row r="23" customFormat="false" ht="15" hidden="false" customHeight="true" outlineLevel="0" collapsed="false">
      <c r="A23" s="5" t="n">
        <f aca="false">A22+1</f>
        <v>18</v>
      </c>
      <c r="B23" s="16" t="n">
        <f aca="false">B22+IF(WEEKDAY(B22,2)=6,2,1)</f>
        <v>46043</v>
      </c>
      <c r="C23" s="5" t="n">
        <f aca="false">MONTH(B23)</f>
        <v>1</v>
      </c>
      <c r="D23" s="5" t="n">
        <f aca="false">IF(C23&lt;&gt;C22,1,0)</f>
        <v>0</v>
      </c>
      <c r="E23" s="5" t="n">
        <f aca="false">IF(L22=1,CantPedido,0)</f>
        <v>0</v>
      </c>
      <c r="F23" s="5" t="n">
        <f aca="false">J22+E23</f>
        <v>10</v>
      </c>
      <c r="G23" s="5" t="n">
        <f aca="true">VLOOKUP(RAND(),TablaEmpirica,2,TRUE())</f>
        <v>6</v>
      </c>
      <c r="H23" s="5" t="n">
        <f aca="false">MIN(F23,G23)</f>
        <v>6</v>
      </c>
      <c r="I23" s="5" t="n">
        <f aca="false">G23-H23</f>
        <v>0</v>
      </c>
      <c r="J23" s="5" t="n">
        <f aca="false">F23-H23</f>
        <v>4</v>
      </c>
      <c r="K23" s="5" t="n">
        <f aca="false">IF(I23&gt;0,1,0)</f>
        <v>0</v>
      </c>
      <c r="L23" s="5" t="n">
        <f aca="false">IF(J23&lt;PuntoReorden,1,0)</f>
        <v>1</v>
      </c>
      <c r="M23" s="18" t="n">
        <f aca="false">PrecioVenta*H23</f>
        <v>4080000</v>
      </c>
      <c r="N23" s="18" t="n">
        <f aca="false">CostoUnitario*E23</f>
        <v>0</v>
      </c>
      <c r="O23" s="18" t="n">
        <f aca="false">IF(E23&gt;0,CostoPedido,0)</f>
        <v>0</v>
      </c>
      <c r="P23" s="18" t="n">
        <f aca="false">CostoAlm*(F23+J23)/2</f>
        <v>560</v>
      </c>
      <c r="Q23" s="18" t="n">
        <f aca="false">CostoFijo*D23</f>
        <v>0</v>
      </c>
      <c r="R23" s="18" t="n">
        <f aca="false">M23-N23-O23-P23-Q23</f>
        <v>4079440</v>
      </c>
      <c r="W23" s="5" t="n">
        <v>17</v>
      </c>
      <c r="X23" s="21" t="n">
        <v>103308960</v>
      </c>
      <c r="Y23" s="22" t="n">
        <v>0</v>
      </c>
      <c r="Z23" s="22" t="n">
        <v>0</v>
      </c>
      <c r="AB23" s="5" t="n">
        <v>7</v>
      </c>
      <c r="AC23" s="18" t="n">
        <f aca="false">$AC$12+(AB23-1)*$AC$14</f>
        <v>105298784</v>
      </c>
      <c r="AD23" s="18" t="n">
        <f aca="false">AC23+$AC$14</f>
        <v>106763248</v>
      </c>
      <c r="AE23" s="23" t="n">
        <f aca="false">(AC23+AD23)/2/1000000</f>
        <v>106.031016</v>
      </c>
      <c r="AF23" s="5" t="n">
        <f aca="false">COUNTIFS($X$7:$X$106,"&gt;="&amp;AC23,$X$7:$X$106,"&lt;"&amp;AD23)</f>
        <v>11</v>
      </c>
    </row>
    <row r="24" customFormat="false" ht="15" hidden="false" customHeight="true" outlineLevel="0" collapsed="false">
      <c r="A24" s="5" t="n">
        <f aca="false">A23+1</f>
        <v>19</v>
      </c>
      <c r="B24" s="16" t="n">
        <f aca="false">B23+IF(WEEKDAY(B23,2)=6,2,1)</f>
        <v>46044</v>
      </c>
      <c r="C24" s="5" t="n">
        <f aca="false">MONTH(B24)</f>
        <v>1</v>
      </c>
      <c r="D24" s="5" t="n">
        <f aca="false">IF(C24&lt;&gt;C23,1,0)</f>
        <v>0</v>
      </c>
      <c r="E24" s="17" t="n">
        <f aca="false">IF(L23=1,CantPedido,0)</f>
        <v>15</v>
      </c>
      <c r="F24" s="5" t="n">
        <f aca="false">J23+E24</f>
        <v>19</v>
      </c>
      <c r="G24" s="5" t="n">
        <f aca="true">VLOOKUP(RAND(),TablaEmpirica,2,TRUE())</f>
        <v>6</v>
      </c>
      <c r="H24" s="5" t="n">
        <f aca="false">MIN(F24,G24)</f>
        <v>6</v>
      </c>
      <c r="I24" s="5" t="n">
        <f aca="false">G24-H24</f>
        <v>0</v>
      </c>
      <c r="J24" s="5" t="n">
        <f aca="false">F24-H24</f>
        <v>13</v>
      </c>
      <c r="K24" s="5" t="n">
        <f aca="false">IF(I24&gt;0,1,0)</f>
        <v>0</v>
      </c>
      <c r="L24" s="5" t="n">
        <f aca="false">IF(J24&lt;PuntoReorden,1,0)</f>
        <v>0</v>
      </c>
      <c r="M24" s="18" t="n">
        <f aca="false">PrecioVenta*H24</f>
        <v>4080000</v>
      </c>
      <c r="N24" s="18" t="n">
        <f aca="false">CostoUnitario*E24</f>
        <v>9000000</v>
      </c>
      <c r="O24" s="18" t="n">
        <f aca="false">IF(E24&gt;0,CostoPedido,0)</f>
        <v>40000</v>
      </c>
      <c r="P24" s="18" t="n">
        <f aca="false">CostoAlm*(F24+J24)/2</f>
        <v>1280</v>
      </c>
      <c r="Q24" s="18" t="n">
        <f aca="false">CostoFijo*D24</f>
        <v>0</v>
      </c>
      <c r="R24" s="18" t="n">
        <f aca="false">M24-N24-O24-P24-Q24</f>
        <v>-4961280</v>
      </c>
      <c r="W24" s="5" t="n">
        <v>18</v>
      </c>
      <c r="X24" s="21" t="n">
        <v>100473240</v>
      </c>
      <c r="Y24" s="22" t="n">
        <v>0</v>
      </c>
      <c r="Z24" s="22" t="n">
        <v>0</v>
      </c>
      <c r="AB24" s="5" t="n">
        <v>8</v>
      </c>
      <c r="AC24" s="18" t="n">
        <f aca="false">$AC$12+(AB24-1)*$AC$14</f>
        <v>106763248</v>
      </c>
      <c r="AD24" s="18" t="n">
        <f aca="false">AC24+$AC$14</f>
        <v>108227712</v>
      </c>
      <c r="AE24" s="23" t="n">
        <f aca="false">(AC24+AD24)/2/1000000</f>
        <v>107.49548</v>
      </c>
      <c r="AF24" s="5" t="n">
        <f aca="false">COUNTIFS($X$7:$X$106,"&gt;="&amp;AC24,$X$7:$X$106,"&lt;"&amp;AD24)</f>
        <v>7</v>
      </c>
    </row>
    <row r="25" customFormat="false" ht="15" hidden="false" customHeight="true" outlineLevel="0" collapsed="false">
      <c r="A25" s="5" t="n">
        <f aca="false">A24+1</f>
        <v>20</v>
      </c>
      <c r="B25" s="16" t="n">
        <f aca="false">B24+IF(WEEKDAY(B24,2)=6,2,1)</f>
        <v>46045</v>
      </c>
      <c r="C25" s="5" t="n">
        <f aca="false">MONTH(B25)</f>
        <v>1</v>
      </c>
      <c r="D25" s="5" t="n">
        <f aca="false">IF(C25&lt;&gt;C24,1,0)</f>
        <v>0</v>
      </c>
      <c r="E25" s="17" t="n">
        <f aca="false">IF(L24=1,CantPedido,0)</f>
        <v>0</v>
      </c>
      <c r="F25" s="5" t="n">
        <f aca="false">J24+E25</f>
        <v>13</v>
      </c>
      <c r="G25" s="5" t="n">
        <f aca="true">VLOOKUP(RAND(),TablaEmpirica,2,TRUE())</f>
        <v>6</v>
      </c>
      <c r="H25" s="5" t="n">
        <f aca="false">MIN(F25,G25)</f>
        <v>6</v>
      </c>
      <c r="I25" s="5" t="n">
        <f aca="false">G25-H25</f>
        <v>0</v>
      </c>
      <c r="J25" s="5" t="n">
        <f aca="false">F25-H25</f>
        <v>7</v>
      </c>
      <c r="K25" s="5" t="n">
        <f aca="false">IF(I25&gt;0,1,0)</f>
        <v>0</v>
      </c>
      <c r="L25" s="5" t="n">
        <f aca="false">IF(J25&lt;PuntoReorden,1,0)</f>
        <v>0</v>
      </c>
      <c r="M25" s="18" t="n">
        <f aca="false">PrecioVenta*H25</f>
        <v>4080000</v>
      </c>
      <c r="N25" s="18" t="n">
        <f aca="false">CostoUnitario*E25</f>
        <v>0</v>
      </c>
      <c r="O25" s="18" t="n">
        <f aca="false">IF(E25&gt;0,CostoPedido,0)</f>
        <v>0</v>
      </c>
      <c r="P25" s="18" t="n">
        <f aca="false">CostoAlm*(F25+J25)/2</f>
        <v>800</v>
      </c>
      <c r="Q25" s="18" t="n">
        <f aca="false">CostoFijo*D25</f>
        <v>0</v>
      </c>
      <c r="R25" s="18" t="n">
        <f aca="false">M25-N25-O25-P25-Q25</f>
        <v>4079200</v>
      </c>
      <c r="W25" s="5" t="n">
        <v>19</v>
      </c>
      <c r="X25" s="21" t="n">
        <v>99589880</v>
      </c>
      <c r="Y25" s="22" t="n">
        <v>0</v>
      </c>
      <c r="Z25" s="22" t="n">
        <v>0</v>
      </c>
      <c r="AB25" s="5" t="n">
        <v>9</v>
      </c>
      <c r="AC25" s="18" t="n">
        <f aca="false">$AC$12+(AB25-1)*$AC$14</f>
        <v>108227712</v>
      </c>
      <c r="AD25" s="18" t="n">
        <f aca="false">AC25+$AC$14</f>
        <v>109692176</v>
      </c>
      <c r="AE25" s="23" t="n">
        <f aca="false">(AC25+AD25)/2/1000000</f>
        <v>108.959944</v>
      </c>
      <c r="AF25" s="5" t="n">
        <f aca="false">COUNTIFS($X$7:$X$106,"&gt;="&amp;AC25,$X$7:$X$106,"&lt;"&amp;AD25)</f>
        <v>3</v>
      </c>
    </row>
    <row r="26" customFormat="false" ht="15" hidden="false" customHeight="true" outlineLevel="0" collapsed="false">
      <c r="A26" s="5" t="n">
        <f aca="false">A25+1</f>
        <v>21</v>
      </c>
      <c r="B26" s="16" t="n">
        <f aca="false">B25+IF(WEEKDAY(B25,2)=6,2,1)</f>
        <v>46046</v>
      </c>
      <c r="C26" s="5" t="n">
        <f aca="false">MONTH(B26)</f>
        <v>1</v>
      </c>
      <c r="D26" s="5" t="n">
        <f aca="false">IF(C26&lt;&gt;C25,1,0)</f>
        <v>0</v>
      </c>
      <c r="E26" s="5" t="n">
        <f aca="false">IF(L25=1,CantPedido,0)</f>
        <v>0</v>
      </c>
      <c r="F26" s="5" t="n">
        <f aca="false">J25+E26</f>
        <v>7</v>
      </c>
      <c r="G26" s="5" t="n">
        <f aca="true">VLOOKUP(RAND(),TablaEmpirica,2,TRUE())</f>
        <v>5</v>
      </c>
      <c r="H26" s="5" t="n">
        <f aca="false">MIN(F26,G26)</f>
        <v>5</v>
      </c>
      <c r="I26" s="5" t="n">
        <f aca="false">G26-H26</f>
        <v>0</v>
      </c>
      <c r="J26" s="5" t="n">
        <f aca="false">F26-H26</f>
        <v>2</v>
      </c>
      <c r="K26" s="5" t="n">
        <f aca="false">IF(I26&gt;0,1,0)</f>
        <v>0</v>
      </c>
      <c r="L26" s="5" t="n">
        <f aca="false">IF(J26&lt;PuntoReorden,1,0)</f>
        <v>1</v>
      </c>
      <c r="M26" s="18" t="n">
        <f aca="false">PrecioVenta*H26</f>
        <v>3400000</v>
      </c>
      <c r="N26" s="18" t="n">
        <f aca="false">CostoUnitario*E26</f>
        <v>0</v>
      </c>
      <c r="O26" s="18" t="n">
        <f aca="false">IF(E26&gt;0,CostoPedido,0)</f>
        <v>0</v>
      </c>
      <c r="P26" s="18" t="n">
        <f aca="false">CostoAlm*(F26+J26)/2</f>
        <v>360</v>
      </c>
      <c r="Q26" s="18" t="n">
        <f aca="false">CostoFijo*D26</f>
        <v>0</v>
      </c>
      <c r="R26" s="18" t="n">
        <f aca="false">M26-N26-O26-P26-Q26</f>
        <v>3399640</v>
      </c>
      <c r="W26" s="5" t="n">
        <v>20</v>
      </c>
      <c r="X26" s="21" t="n">
        <v>106787640</v>
      </c>
      <c r="Y26" s="22" t="n">
        <v>0</v>
      </c>
      <c r="Z26" s="22" t="n">
        <v>0</v>
      </c>
      <c r="AB26" s="5" t="n">
        <v>10</v>
      </c>
      <c r="AC26" s="18" t="n">
        <f aca="false">$AC$12+(AB26-1)*$AC$14</f>
        <v>109692176</v>
      </c>
      <c r="AD26" s="18" t="n">
        <f aca="false">AC26+$AC$14</f>
        <v>111156640</v>
      </c>
      <c r="AE26" s="23" t="n">
        <f aca="false">(AC26+AD26)/2/1000000</f>
        <v>110.424408</v>
      </c>
      <c r="AF26" s="5" t="n">
        <f aca="false">COUNTIFS($X$7:$X$106,"&gt;="&amp;AC26,$X$7:$X$106,"&lt;="&amp;AD26)</f>
        <v>3</v>
      </c>
    </row>
    <row r="27" customFormat="false" ht="15" hidden="false" customHeight="true" outlineLevel="0" collapsed="false">
      <c r="A27" s="5" t="n">
        <f aca="false">A26+1</f>
        <v>22</v>
      </c>
      <c r="B27" s="16" t="n">
        <f aca="false">B26+IF(WEEKDAY(B26,2)=6,2,1)</f>
        <v>46048</v>
      </c>
      <c r="C27" s="5" t="n">
        <f aca="false">MONTH(B27)</f>
        <v>1</v>
      </c>
      <c r="D27" s="5" t="n">
        <f aca="false">IF(C27&lt;&gt;C26,1,0)</f>
        <v>0</v>
      </c>
      <c r="E27" s="17" t="n">
        <f aca="false">IF(L26=1,CantPedido,0)</f>
        <v>15</v>
      </c>
      <c r="F27" s="5" t="n">
        <f aca="false">J26+E27</f>
        <v>17</v>
      </c>
      <c r="G27" s="5" t="n">
        <f aca="true">VLOOKUP(RAND(),TablaEmpirica,2,TRUE())</f>
        <v>3</v>
      </c>
      <c r="H27" s="5" t="n">
        <f aca="false">MIN(F27,G27)</f>
        <v>3</v>
      </c>
      <c r="I27" s="5" t="n">
        <f aca="false">G27-H27</f>
        <v>0</v>
      </c>
      <c r="J27" s="5" t="n">
        <f aca="false">F27-H27</f>
        <v>14</v>
      </c>
      <c r="K27" s="5" t="n">
        <f aca="false">IF(I27&gt;0,1,0)</f>
        <v>0</v>
      </c>
      <c r="L27" s="5" t="n">
        <f aca="false">IF(J27&lt;PuntoReorden,1,0)</f>
        <v>0</v>
      </c>
      <c r="M27" s="18" t="n">
        <f aca="false">PrecioVenta*H27</f>
        <v>2040000</v>
      </c>
      <c r="N27" s="18" t="n">
        <f aca="false">CostoUnitario*E27</f>
        <v>9000000</v>
      </c>
      <c r="O27" s="18" t="n">
        <f aca="false">IF(E27&gt;0,CostoPedido,0)</f>
        <v>40000</v>
      </c>
      <c r="P27" s="18" t="n">
        <f aca="false">CostoAlm*(F27+J27)/2</f>
        <v>1240</v>
      </c>
      <c r="Q27" s="18" t="n">
        <f aca="false">CostoFijo*D27</f>
        <v>0</v>
      </c>
      <c r="R27" s="18" t="n">
        <f aca="false">M27-N27-O27-P27-Q27</f>
        <v>-7001240</v>
      </c>
      <c r="W27" s="5" t="n">
        <v>21</v>
      </c>
      <c r="X27" s="21" t="n">
        <v>103188200</v>
      </c>
      <c r="Y27" s="22" t="n">
        <v>0</v>
      </c>
      <c r="Z27" s="22" t="n">
        <v>0</v>
      </c>
      <c r="AE27" s="11" t="s">
        <v>76</v>
      </c>
      <c r="AF27" s="11" t="n">
        <f aca="false">SUM(AF17:AF26)</f>
        <v>100</v>
      </c>
    </row>
    <row r="28" customFormat="false" ht="15" hidden="false" customHeight="true" outlineLevel="0" collapsed="false">
      <c r="A28" s="5" t="n">
        <f aca="false">A27+1</f>
        <v>23</v>
      </c>
      <c r="B28" s="16" t="n">
        <f aca="false">B27+IF(WEEKDAY(B27,2)=6,2,1)</f>
        <v>46049</v>
      </c>
      <c r="C28" s="5" t="n">
        <f aca="false">MONTH(B28)</f>
        <v>1</v>
      </c>
      <c r="D28" s="5" t="n">
        <f aca="false">IF(C28&lt;&gt;C27,1,0)</f>
        <v>0</v>
      </c>
      <c r="E28" s="17" t="n">
        <f aca="false">IF(L27=1,CantPedido,0)</f>
        <v>0</v>
      </c>
      <c r="F28" s="5" t="n">
        <f aca="false">J27+E28</f>
        <v>14</v>
      </c>
      <c r="G28" s="5" t="n">
        <f aca="true">VLOOKUP(RAND(),TablaEmpirica,2,TRUE())</f>
        <v>6</v>
      </c>
      <c r="H28" s="5" t="n">
        <f aca="false">MIN(F28,G28)</f>
        <v>6</v>
      </c>
      <c r="I28" s="5" t="n">
        <f aca="false">G28-H28</f>
        <v>0</v>
      </c>
      <c r="J28" s="5" t="n">
        <f aca="false">F28-H28</f>
        <v>8</v>
      </c>
      <c r="K28" s="5" t="n">
        <f aca="false">IF(I28&gt;0,1,0)</f>
        <v>0</v>
      </c>
      <c r="L28" s="5" t="n">
        <f aca="false">IF(J28&lt;PuntoReorden,1,0)</f>
        <v>0</v>
      </c>
      <c r="M28" s="18" t="n">
        <f aca="false">PrecioVenta*H28</f>
        <v>4080000</v>
      </c>
      <c r="N28" s="18" t="n">
        <f aca="false">CostoUnitario*E28</f>
        <v>0</v>
      </c>
      <c r="O28" s="18" t="n">
        <f aca="false">IF(E28&gt;0,CostoPedido,0)</f>
        <v>0</v>
      </c>
      <c r="P28" s="18" t="n">
        <f aca="false">CostoAlm*(F28+J28)/2</f>
        <v>880</v>
      </c>
      <c r="Q28" s="18" t="n">
        <f aca="false">CostoFijo*D28</f>
        <v>0</v>
      </c>
      <c r="R28" s="18" t="n">
        <f aca="false">M28-N28-O28-P28-Q28</f>
        <v>4079120</v>
      </c>
      <c r="W28" s="5" t="n">
        <v>22</v>
      </c>
      <c r="X28" s="21" t="n">
        <v>99789840</v>
      </c>
      <c r="Y28" s="22" t="n">
        <v>0</v>
      </c>
      <c r="Z28" s="22" t="n">
        <v>0</v>
      </c>
    </row>
    <row r="29" customFormat="false" ht="15" hidden="false" customHeight="true" outlineLevel="0" collapsed="false">
      <c r="A29" s="5" t="n">
        <f aca="false">A28+1</f>
        <v>24</v>
      </c>
      <c r="B29" s="16" t="n">
        <f aca="false">B28+IF(WEEKDAY(B28,2)=6,2,1)</f>
        <v>46050</v>
      </c>
      <c r="C29" s="5" t="n">
        <f aca="false">MONTH(B29)</f>
        <v>1</v>
      </c>
      <c r="D29" s="5" t="n">
        <f aca="false">IF(C29&lt;&gt;C28,1,0)</f>
        <v>0</v>
      </c>
      <c r="E29" s="5" t="n">
        <f aca="false">IF(L28=1,CantPedido,0)</f>
        <v>0</v>
      </c>
      <c r="F29" s="5" t="n">
        <f aca="false">J28+E29</f>
        <v>8</v>
      </c>
      <c r="G29" s="5" t="n">
        <f aca="true">VLOOKUP(RAND(),TablaEmpirica,2,TRUE())</f>
        <v>6</v>
      </c>
      <c r="H29" s="5" t="n">
        <f aca="false">MIN(F29,G29)</f>
        <v>6</v>
      </c>
      <c r="I29" s="5" t="n">
        <f aca="false">G29-H29</f>
        <v>0</v>
      </c>
      <c r="J29" s="5" t="n">
        <f aca="false">F29-H29</f>
        <v>2</v>
      </c>
      <c r="K29" s="5" t="n">
        <f aca="false">IF(I29&gt;0,1,0)</f>
        <v>0</v>
      </c>
      <c r="L29" s="5" t="n">
        <f aca="false">IF(J29&lt;PuntoReorden,1,0)</f>
        <v>1</v>
      </c>
      <c r="M29" s="18" t="n">
        <f aca="false">PrecioVenta*H29</f>
        <v>4080000</v>
      </c>
      <c r="N29" s="18" t="n">
        <f aca="false">CostoUnitario*E29</f>
        <v>0</v>
      </c>
      <c r="O29" s="18" t="n">
        <f aca="false">IF(E29&gt;0,CostoPedido,0)</f>
        <v>0</v>
      </c>
      <c r="P29" s="18" t="n">
        <f aca="false">CostoAlm*(F29+J29)/2</f>
        <v>400</v>
      </c>
      <c r="Q29" s="18" t="n">
        <f aca="false">CostoFijo*D29</f>
        <v>0</v>
      </c>
      <c r="R29" s="18" t="n">
        <f aca="false">M29-N29-O29-P29-Q29</f>
        <v>4079600</v>
      </c>
      <c r="W29" s="5" t="n">
        <v>23</v>
      </c>
      <c r="X29" s="21" t="n">
        <v>96792040</v>
      </c>
      <c r="Y29" s="22" t="n">
        <v>0</v>
      </c>
      <c r="Z29" s="22" t="n">
        <v>0</v>
      </c>
    </row>
    <row r="30" customFormat="false" ht="15" hidden="false" customHeight="true" outlineLevel="0" collapsed="false">
      <c r="A30" s="5" t="n">
        <f aca="false">A29+1</f>
        <v>25</v>
      </c>
      <c r="B30" s="16" t="n">
        <f aca="false">B29+IF(WEEKDAY(B29,2)=6,2,1)</f>
        <v>46051</v>
      </c>
      <c r="C30" s="5" t="n">
        <f aca="false">MONTH(B30)</f>
        <v>1</v>
      </c>
      <c r="D30" s="5" t="n">
        <f aca="false">IF(C30&lt;&gt;C29,1,0)</f>
        <v>0</v>
      </c>
      <c r="E30" s="17" t="n">
        <f aca="false">IF(L29=1,CantPedido,0)</f>
        <v>15</v>
      </c>
      <c r="F30" s="5" t="n">
        <f aca="false">J29+E30</f>
        <v>17</v>
      </c>
      <c r="G30" s="5" t="n">
        <f aca="true">VLOOKUP(RAND(),TablaEmpirica,2,TRUE())</f>
        <v>5</v>
      </c>
      <c r="H30" s="5" t="n">
        <f aca="false">MIN(F30,G30)</f>
        <v>5</v>
      </c>
      <c r="I30" s="5" t="n">
        <f aca="false">G30-H30</f>
        <v>0</v>
      </c>
      <c r="J30" s="5" t="n">
        <f aca="false">F30-H30</f>
        <v>12</v>
      </c>
      <c r="K30" s="5" t="n">
        <f aca="false">IF(I30&gt;0,1,0)</f>
        <v>0</v>
      </c>
      <c r="L30" s="5" t="n">
        <f aca="false">IF(J30&lt;PuntoReorden,1,0)</f>
        <v>0</v>
      </c>
      <c r="M30" s="18" t="n">
        <f aca="false">PrecioVenta*H30</f>
        <v>3400000</v>
      </c>
      <c r="N30" s="18" t="n">
        <f aca="false">CostoUnitario*E30</f>
        <v>9000000</v>
      </c>
      <c r="O30" s="18" t="n">
        <f aca="false">IF(E30&gt;0,CostoPedido,0)</f>
        <v>40000</v>
      </c>
      <c r="P30" s="18" t="n">
        <f aca="false">CostoAlm*(F30+J30)/2</f>
        <v>1160</v>
      </c>
      <c r="Q30" s="18" t="n">
        <f aca="false">CostoFijo*D30</f>
        <v>0</v>
      </c>
      <c r="R30" s="18" t="n">
        <f aca="false">M30-N30-O30-P30-Q30</f>
        <v>-5641160</v>
      </c>
      <c r="W30" s="5" t="n">
        <v>24</v>
      </c>
      <c r="X30" s="21" t="n">
        <v>106792680</v>
      </c>
      <c r="Y30" s="22" t="n">
        <v>0</v>
      </c>
      <c r="Z30" s="22" t="n">
        <v>0</v>
      </c>
    </row>
    <row r="31" customFormat="false" ht="15" hidden="false" customHeight="true" outlineLevel="0" collapsed="false">
      <c r="A31" s="5" t="n">
        <f aca="false">A30+1</f>
        <v>26</v>
      </c>
      <c r="B31" s="16" t="n">
        <f aca="false">B30+IF(WEEKDAY(B30,2)=6,2,1)</f>
        <v>46052</v>
      </c>
      <c r="C31" s="5" t="n">
        <f aca="false">MONTH(B31)</f>
        <v>1</v>
      </c>
      <c r="D31" s="5" t="n">
        <f aca="false">IF(C31&lt;&gt;C30,1,0)</f>
        <v>0</v>
      </c>
      <c r="E31" s="17" t="n">
        <f aca="false">IF(L30=1,CantPedido,0)</f>
        <v>0</v>
      </c>
      <c r="F31" s="5" t="n">
        <f aca="false">J30+E31</f>
        <v>12</v>
      </c>
      <c r="G31" s="5" t="n">
        <f aca="true">VLOOKUP(RAND(),TablaEmpirica,2,TRUE())</f>
        <v>5</v>
      </c>
      <c r="H31" s="5" t="n">
        <f aca="false">MIN(F31,G31)</f>
        <v>5</v>
      </c>
      <c r="I31" s="5" t="n">
        <f aca="false">G31-H31</f>
        <v>0</v>
      </c>
      <c r="J31" s="5" t="n">
        <f aca="false">F31-H31</f>
        <v>7</v>
      </c>
      <c r="K31" s="5" t="n">
        <f aca="false">IF(I31&gt;0,1,0)</f>
        <v>0</v>
      </c>
      <c r="L31" s="5" t="n">
        <f aca="false">IF(J31&lt;PuntoReorden,1,0)</f>
        <v>0</v>
      </c>
      <c r="M31" s="18" t="n">
        <f aca="false">PrecioVenta*H31</f>
        <v>3400000</v>
      </c>
      <c r="N31" s="18" t="n">
        <f aca="false">CostoUnitario*E31</f>
        <v>0</v>
      </c>
      <c r="O31" s="18" t="n">
        <f aca="false">IF(E31&gt;0,CostoPedido,0)</f>
        <v>0</v>
      </c>
      <c r="P31" s="18" t="n">
        <f aca="false">CostoAlm*(F31+J31)/2</f>
        <v>760</v>
      </c>
      <c r="Q31" s="18" t="n">
        <f aca="false">CostoFijo*D31</f>
        <v>0</v>
      </c>
      <c r="R31" s="18" t="n">
        <f aca="false">M31-N31-O31-P31-Q31</f>
        <v>3399240</v>
      </c>
      <c r="W31" s="5" t="n">
        <v>25</v>
      </c>
      <c r="X31" s="21" t="n">
        <v>103112440</v>
      </c>
      <c r="Y31" s="22" t="n">
        <v>0</v>
      </c>
      <c r="Z31" s="22" t="n">
        <v>0</v>
      </c>
    </row>
    <row r="32" customFormat="false" ht="15" hidden="false" customHeight="true" outlineLevel="0" collapsed="false">
      <c r="A32" s="5" t="n">
        <f aca="false">A31+1</f>
        <v>27</v>
      </c>
      <c r="B32" s="16" t="n">
        <f aca="false">B31+IF(WEEKDAY(B31,2)=6,2,1)</f>
        <v>46053</v>
      </c>
      <c r="C32" s="5" t="n">
        <f aca="false">MONTH(B32)</f>
        <v>1</v>
      </c>
      <c r="D32" s="5" t="n">
        <f aca="false">IF(C32&lt;&gt;C31,1,0)</f>
        <v>0</v>
      </c>
      <c r="E32" s="5" t="n">
        <f aca="false">IF(L31=1,CantPedido,0)</f>
        <v>0</v>
      </c>
      <c r="F32" s="5" t="n">
        <f aca="false">J31+E32</f>
        <v>7</v>
      </c>
      <c r="G32" s="5" t="n">
        <f aca="true">VLOOKUP(RAND(),TablaEmpirica,2,TRUE())</f>
        <v>5</v>
      </c>
      <c r="H32" s="5" t="n">
        <f aca="false">MIN(F32,G32)</f>
        <v>5</v>
      </c>
      <c r="I32" s="5" t="n">
        <f aca="false">G32-H32</f>
        <v>0</v>
      </c>
      <c r="J32" s="5" t="n">
        <f aca="false">F32-H32</f>
        <v>2</v>
      </c>
      <c r="K32" s="5" t="n">
        <f aca="false">IF(I32&gt;0,1,0)</f>
        <v>0</v>
      </c>
      <c r="L32" s="5" t="n">
        <f aca="false">IF(J32&lt;PuntoReorden,1,0)</f>
        <v>1</v>
      </c>
      <c r="M32" s="18" t="n">
        <f aca="false">PrecioVenta*H32</f>
        <v>3400000</v>
      </c>
      <c r="N32" s="18" t="n">
        <f aca="false">CostoUnitario*E32</f>
        <v>0</v>
      </c>
      <c r="O32" s="18" t="n">
        <f aca="false">IF(E32&gt;0,CostoPedido,0)</f>
        <v>0</v>
      </c>
      <c r="P32" s="18" t="n">
        <f aca="false">CostoAlm*(F32+J32)/2</f>
        <v>360</v>
      </c>
      <c r="Q32" s="18" t="n">
        <f aca="false">CostoFijo*D32</f>
        <v>0</v>
      </c>
      <c r="R32" s="18" t="n">
        <f aca="false">M32-N32-O32-P32-Q32</f>
        <v>3399640</v>
      </c>
      <c r="W32" s="5" t="n">
        <v>26</v>
      </c>
      <c r="X32" s="21" t="n">
        <v>100872520</v>
      </c>
      <c r="Y32" s="22" t="n">
        <v>0</v>
      </c>
      <c r="Z32" s="22" t="n">
        <v>0</v>
      </c>
    </row>
    <row r="33" customFormat="false" ht="15" hidden="false" customHeight="true" outlineLevel="0" collapsed="false">
      <c r="A33" s="5" t="n">
        <f aca="false">A32+1</f>
        <v>28</v>
      </c>
      <c r="B33" s="16" t="n">
        <f aca="false">B32+IF(WEEKDAY(B32,2)=6,2,1)</f>
        <v>46055</v>
      </c>
      <c r="C33" s="5" t="n">
        <f aca="false">MONTH(B33)</f>
        <v>2</v>
      </c>
      <c r="D33" s="5" t="n">
        <f aca="false">IF(C33&lt;&gt;C32,1,0)</f>
        <v>1</v>
      </c>
      <c r="E33" s="17" t="n">
        <f aca="false">IF(L32=1,CantPedido,0)</f>
        <v>15</v>
      </c>
      <c r="F33" s="5" t="n">
        <f aca="false">J32+E33</f>
        <v>17</v>
      </c>
      <c r="G33" s="5" t="n">
        <f aca="true">VLOOKUP(RAND(),TablaEmpirica,2,TRUE())</f>
        <v>6</v>
      </c>
      <c r="H33" s="5" t="n">
        <f aca="false">MIN(F33,G33)</f>
        <v>6</v>
      </c>
      <c r="I33" s="5" t="n">
        <f aca="false">G33-H33</f>
        <v>0</v>
      </c>
      <c r="J33" s="5" t="n">
        <f aca="false">F33-H33</f>
        <v>11</v>
      </c>
      <c r="K33" s="5" t="n">
        <f aca="false">IF(I33&gt;0,1,0)</f>
        <v>0</v>
      </c>
      <c r="L33" s="5" t="n">
        <f aca="false">IF(J33&lt;PuntoReorden,1,0)</f>
        <v>0</v>
      </c>
      <c r="M33" s="18" t="n">
        <f aca="false">PrecioVenta*H33</f>
        <v>4080000</v>
      </c>
      <c r="N33" s="18" t="n">
        <f aca="false">CostoUnitario*E33</f>
        <v>9000000</v>
      </c>
      <c r="O33" s="18" t="n">
        <f aca="false">IF(E33&gt;0,CostoPedido,0)</f>
        <v>40000</v>
      </c>
      <c r="P33" s="18" t="n">
        <f aca="false">CostoAlm*(F33+J33)/2</f>
        <v>1120</v>
      </c>
      <c r="Q33" s="18" t="n">
        <f aca="false">CostoFijo*D33</f>
        <v>1000000</v>
      </c>
      <c r="R33" s="18" t="n">
        <f aca="false">M33-N33-O33-P33-Q33</f>
        <v>-5961120</v>
      </c>
      <c r="W33" s="5" t="n">
        <v>27</v>
      </c>
      <c r="X33" s="21" t="n">
        <v>101349480</v>
      </c>
      <c r="Y33" s="22" t="n">
        <v>0</v>
      </c>
      <c r="Z33" s="22" t="n">
        <v>0</v>
      </c>
    </row>
    <row r="34" customFormat="false" ht="15" hidden="false" customHeight="true" outlineLevel="0" collapsed="false">
      <c r="A34" s="5" t="n">
        <f aca="false">A33+1</f>
        <v>29</v>
      </c>
      <c r="B34" s="16" t="n">
        <f aca="false">B33+IF(WEEKDAY(B33,2)=6,2,1)</f>
        <v>46056</v>
      </c>
      <c r="C34" s="5" t="n">
        <f aca="false">MONTH(B34)</f>
        <v>2</v>
      </c>
      <c r="D34" s="5" t="n">
        <f aca="false">IF(C34&lt;&gt;C33,1,0)</f>
        <v>0</v>
      </c>
      <c r="E34" s="5" t="n">
        <f aca="false">IF(L33=1,CantPedido,0)</f>
        <v>0</v>
      </c>
      <c r="F34" s="5" t="n">
        <f aca="false">J33+E34</f>
        <v>11</v>
      </c>
      <c r="G34" s="5" t="n">
        <f aca="true">VLOOKUP(RAND(),TablaEmpirica,2,TRUE())</f>
        <v>6</v>
      </c>
      <c r="H34" s="5" t="n">
        <f aca="false">MIN(F34,G34)</f>
        <v>6</v>
      </c>
      <c r="I34" s="5" t="n">
        <f aca="false">G34-H34</f>
        <v>0</v>
      </c>
      <c r="J34" s="5" t="n">
        <f aca="false">F34-H34</f>
        <v>5</v>
      </c>
      <c r="K34" s="5" t="n">
        <f aca="false">IF(I34&gt;0,1,0)</f>
        <v>0</v>
      </c>
      <c r="L34" s="5" t="n">
        <f aca="false">IF(J34&lt;PuntoReorden,1,0)</f>
        <v>1</v>
      </c>
      <c r="M34" s="18" t="n">
        <f aca="false">PrecioVenta*H34</f>
        <v>4080000</v>
      </c>
      <c r="N34" s="18" t="n">
        <f aca="false">CostoUnitario*E34</f>
        <v>0</v>
      </c>
      <c r="O34" s="18" t="n">
        <f aca="false">IF(E34&gt;0,CostoPedido,0)</f>
        <v>0</v>
      </c>
      <c r="P34" s="18" t="n">
        <f aca="false">CostoAlm*(F34+J34)/2</f>
        <v>640</v>
      </c>
      <c r="Q34" s="18" t="n">
        <f aca="false">CostoFijo*D34</f>
        <v>0</v>
      </c>
      <c r="R34" s="18" t="n">
        <f aca="false">M34-N34-O34-P34-Q34</f>
        <v>4079360</v>
      </c>
      <c r="W34" s="5" t="n">
        <v>28</v>
      </c>
      <c r="X34" s="21" t="n">
        <v>101634080</v>
      </c>
      <c r="Y34" s="22" t="n">
        <v>0</v>
      </c>
      <c r="Z34" s="22" t="n">
        <v>0</v>
      </c>
    </row>
    <row r="35" customFormat="false" ht="15" hidden="false" customHeight="true" outlineLevel="0" collapsed="false">
      <c r="A35" s="5" t="n">
        <f aca="false">A34+1</f>
        <v>30</v>
      </c>
      <c r="B35" s="16" t="n">
        <f aca="false">B34+IF(WEEKDAY(B34,2)=6,2,1)</f>
        <v>46057</v>
      </c>
      <c r="C35" s="5" t="n">
        <f aca="false">MONTH(B35)</f>
        <v>2</v>
      </c>
      <c r="D35" s="5" t="n">
        <f aca="false">IF(C35&lt;&gt;C34,1,0)</f>
        <v>0</v>
      </c>
      <c r="E35" s="17" t="n">
        <f aca="false">IF(L34=1,CantPedido,0)</f>
        <v>15</v>
      </c>
      <c r="F35" s="5" t="n">
        <f aca="false">J34+E35</f>
        <v>20</v>
      </c>
      <c r="G35" s="5" t="n">
        <f aca="true">VLOOKUP(RAND(),TablaEmpirica,2,TRUE())</f>
        <v>5</v>
      </c>
      <c r="H35" s="5" t="n">
        <f aca="false">MIN(F35,G35)</f>
        <v>5</v>
      </c>
      <c r="I35" s="5" t="n">
        <f aca="false">G35-H35</f>
        <v>0</v>
      </c>
      <c r="J35" s="5" t="n">
        <f aca="false">F35-H35</f>
        <v>15</v>
      </c>
      <c r="K35" s="5" t="n">
        <f aca="false">IF(I35&gt;0,1,0)</f>
        <v>0</v>
      </c>
      <c r="L35" s="5" t="n">
        <f aca="false">IF(J35&lt;PuntoReorden,1,0)</f>
        <v>0</v>
      </c>
      <c r="M35" s="18" t="n">
        <f aca="false">PrecioVenta*H35</f>
        <v>3400000</v>
      </c>
      <c r="N35" s="18" t="n">
        <f aca="false">CostoUnitario*E35</f>
        <v>9000000</v>
      </c>
      <c r="O35" s="18" t="n">
        <f aca="false">IF(E35&gt;0,CostoPedido,0)</f>
        <v>40000</v>
      </c>
      <c r="P35" s="18" t="n">
        <f aca="false">CostoAlm*(F35+J35)/2</f>
        <v>1400</v>
      </c>
      <c r="Q35" s="18" t="n">
        <f aca="false">CostoFijo*D35</f>
        <v>0</v>
      </c>
      <c r="R35" s="18" t="n">
        <f aca="false">M35-N35-O35-P35-Q35</f>
        <v>-5641400</v>
      </c>
      <c r="W35" s="5" t="n">
        <v>29</v>
      </c>
      <c r="X35" s="21" t="n">
        <v>98157000</v>
      </c>
      <c r="Y35" s="22" t="n">
        <v>0</v>
      </c>
      <c r="Z35" s="22" t="n">
        <v>0</v>
      </c>
    </row>
    <row r="36" customFormat="false" ht="15" hidden="false" customHeight="true" outlineLevel="0" collapsed="false">
      <c r="A36" s="5" t="n">
        <f aca="false">A35+1</f>
        <v>31</v>
      </c>
      <c r="B36" s="16" t="n">
        <f aca="false">B35+IF(WEEKDAY(B35,2)=6,2,1)</f>
        <v>46058</v>
      </c>
      <c r="C36" s="5" t="n">
        <f aca="false">MONTH(B36)</f>
        <v>2</v>
      </c>
      <c r="D36" s="5" t="n">
        <f aca="false">IF(C36&lt;&gt;C35,1,0)</f>
        <v>0</v>
      </c>
      <c r="E36" s="5" t="n">
        <f aca="false">IF(L35=1,CantPedido,0)</f>
        <v>0</v>
      </c>
      <c r="F36" s="5" t="n">
        <f aca="false">J35+E36</f>
        <v>15</v>
      </c>
      <c r="G36" s="5" t="n">
        <f aca="true">VLOOKUP(RAND(),TablaEmpirica,2,TRUE())</f>
        <v>6</v>
      </c>
      <c r="H36" s="5" t="n">
        <f aca="false">MIN(F36,G36)</f>
        <v>6</v>
      </c>
      <c r="I36" s="5" t="n">
        <f aca="false">G36-H36</f>
        <v>0</v>
      </c>
      <c r="J36" s="5" t="n">
        <f aca="false">F36-H36</f>
        <v>9</v>
      </c>
      <c r="K36" s="5" t="n">
        <f aca="false">IF(I36&gt;0,1,0)</f>
        <v>0</v>
      </c>
      <c r="L36" s="5" t="n">
        <f aca="false">IF(J36&lt;PuntoReorden,1,0)</f>
        <v>0</v>
      </c>
      <c r="M36" s="18" t="n">
        <f aca="false">PrecioVenta*H36</f>
        <v>4080000</v>
      </c>
      <c r="N36" s="18" t="n">
        <f aca="false">CostoUnitario*E36</f>
        <v>0</v>
      </c>
      <c r="O36" s="18" t="n">
        <f aca="false">IF(E36&gt;0,CostoPedido,0)</f>
        <v>0</v>
      </c>
      <c r="P36" s="18" t="n">
        <f aca="false">CostoAlm*(F36+J36)/2</f>
        <v>960</v>
      </c>
      <c r="Q36" s="18" t="n">
        <f aca="false">CostoFijo*D36</f>
        <v>0</v>
      </c>
      <c r="R36" s="18" t="n">
        <f aca="false">M36-N36-O36-P36-Q36</f>
        <v>4079040</v>
      </c>
      <c r="W36" s="5" t="n">
        <v>30</v>
      </c>
      <c r="X36" s="21" t="n">
        <v>96512000</v>
      </c>
      <c r="Y36" s="22" t="n">
        <v>0</v>
      </c>
      <c r="Z36" s="22" t="n">
        <v>0</v>
      </c>
    </row>
    <row r="37" customFormat="false" ht="15" hidden="false" customHeight="true" outlineLevel="0" collapsed="false">
      <c r="A37" s="5" t="n">
        <f aca="false">A36+1</f>
        <v>32</v>
      </c>
      <c r="B37" s="16" t="n">
        <f aca="false">B36+IF(WEEKDAY(B36,2)=6,2,1)</f>
        <v>46059</v>
      </c>
      <c r="C37" s="5" t="n">
        <f aca="false">MONTH(B37)</f>
        <v>2</v>
      </c>
      <c r="D37" s="5" t="n">
        <f aca="false">IF(C37&lt;&gt;C36,1,0)</f>
        <v>0</v>
      </c>
      <c r="E37" s="5" t="n">
        <f aca="false">IF(L36=1,CantPedido,0)</f>
        <v>0</v>
      </c>
      <c r="F37" s="5" t="n">
        <f aca="false">J36+E37</f>
        <v>9</v>
      </c>
      <c r="G37" s="5" t="n">
        <f aca="true">VLOOKUP(RAND(),TablaEmpirica,2,TRUE())</f>
        <v>5</v>
      </c>
      <c r="H37" s="5" t="n">
        <f aca="false">MIN(F37,G37)</f>
        <v>5</v>
      </c>
      <c r="I37" s="5" t="n">
        <f aca="false">G37-H37</f>
        <v>0</v>
      </c>
      <c r="J37" s="5" t="n">
        <f aca="false">F37-H37</f>
        <v>4</v>
      </c>
      <c r="K37" s="5" t="n">
        <f aca="false">IF(I37&gt;0,1,0)</f>
        <v>0</v>
      </c>
      <c r="L37" s="5" t="n">
        <f aca="false">IF(J37&lt;PuntoReorden,1,0)</f>
        <v>1</v>
      </c>
      <c r="M37" s="18" t="n">
        <f aca="false">PrecioVenta*H37</f>
        <v>3400000</v>
      </c>
      <c r="N37" s="18" t="n">
        <f aca="false">CostoUnitario*E37</f>
        <v>0</v>
      </c>
      <c r="O37" s="18" t="n">
        <f aca="false">IF(E37&gt;0,CostoPedido,0)</f>
        <v>0</v>
      </c>
      <c r="P37" s="18" t="n">
        <f aca="false">CostoAlm*(F37+J37)/2</f>
        <v>520</v>
      </c>
      <c r="Q37" s="18" t="n">
        <f aca="false">CostoFijo*D37</f>
        <v>0</v>
      </c>
      <c r="R37" s="18" t="n">
        <f aca="false">M37-N37-O37-P37-Q37</f>
        <v>3399480</v>
      </c>
      <c r="W37" s="5" t="n">
        <v>31</v>
      </c>
      <c r="X37" s="21" t="n">
        <v>102712440</v>
      </c>
      <c r="Y37" s="22" t="n">
        <v>0</v>
      </c>
      <c r="Z37" s="22" t="n">
        <v>0</v>
      </c>
    </row>
    <row r="38" customFormat="false" ht="15" hidden="false" customHeight="true" outlineLevel="0" collapsed="false">
      <c r="A38" s="5" t="n">
        <f aca="false">A37+1</f>
        <v>33</v>
      </c>
      <c r="B38" s="16" t="n">
        <f aca="false">B37+IF(WEEKDAY(B37,2)=6,2,1)</f>
        <v>46060</v>
      </c>
      <c r="C38" s="5" t="n">
        <f aca="false">MONTH(B38)</f>
        <v>2</v>
      </c>
      <c r="D38" s="5" t="n">
        <f aca="false">IF(C38&lt;&gt;C37,1,0)</f>
        <v>0</v>
      </c>
      <c r="E38" s="17" t="n">
        <f aca="false">IF(L37=1,CantPedido,0)</f>
        <v>15</v>
      </c>
      <c r="F38" s="5" t="n">
        <f aca="false">J37+E38</f>
        <v>19</v>
      </c>
      <c r="G38" s="5" t="n">
        <f aca="true">VLOOKUP(RAND(),TablaEmpirica,2,TRUE())</f>
        <v>5</v>
      </c>
      <c r="H38" s="5" t="n">
        <f aca="false">MIN(F38,G38)</f>
        <v>5</v>
      </c>
      <c r="I38" s="5" t="n">
        <f aca="false">G38-H38</f>
        <v>0</v>
      </c>
      <c r="J38" s="5" t="n">
        <f aca="false">F38-H38</f>
        <v>14</v>
      </c>
      <c r="K38" s="5" t="n">
        <f aca="false">IF(I38&gt;0,1,0)</f>
        <v>0</v>
      </c>
      <c r="L38" s="5" t="n">
        <f aca="false">IF(J38&lt;PuntoReorden,1,0)</f>
        <v>0</v>
      </c>
      <c r="M38" s="18" t="n">
        <f aca="false">PrecioVenta*H38</f>
        <v>3400000</v>
      </c>
      <c r="N38" s="18" t="n">
        <f aca="false">CostoUnitario*E38</f>
        <v>9000000</v>
      </c>
      <c r="O38" s="18" t="n">
        <f aca="false">IF(E38&gt;0,CostoPedido,0)</f>
        <v>40000</v>
      </c>
      <c r="P38" s="18" t="n">
        <f aca="false">CostoAlm*(F38+J38)/2</f>
        <v>1320</v>
      </c>
      <c r="Q38" s="18" t="n">
        <f aca="false">CostoFijo*D38</f>
        <v>0</v>
      </c>
      <c r="R38" s="18" t="n">
        <f aca="false">M38-N38-O38-P38-Q38</f>
        <v>-5641320</v>
      </c>
      <c r="W38" s="5" t="n">
        <v>32</v>
      </c>
      <c r="X38" s="21" t="n">
        <v>104556120</v>
      </c>
      <c r="Y38" s="22" t="n">
        <v>0</v>
      </c>
      <c r="Z38" s="22" t="n">
        <v>0</v>
      </c>
    </row>
    <row r="39" customFormat="false" ht="15" hidden="false" customHeight="true" outlineLevel="0" collapsed="false">
      <c r="A39" s="5" t="n">
        <f aca="false">A38+1</f>
        <v>34</v>
      </c>
      <c r="B39" s="16" t="n">
        <f aca="false">B38+IF(WEEKDAY(B38,2)=6,2,1)</f>
        <v>46062</v>
      </c>
      <c r="C39" s="5" t="n">
        <f aca="false">MONTH(B39)</f>
        <v>2</v>
      </c>
      <c r="D39" s="5" t="n">
        <f aca="false">IF(C39&lt;&gt;C38,1,0)</f>
        <v>0</v>
      </c>
      <c r="E39" s="5" t="n">
        <f aca="false">IF(L38=1,CantPedido,0)</f>
        <v>0</v>
      </c>
      <c r="F39" s="5" t="n">
        <f aca="false">J38+E39</f>
        <v>14</v>
      </c>
      <c r="G39" s="5" t="n">
        <f aca="true">VLOOKUP(RAND(),TablaEmpirica,2,TRUE())</f>
        <v>3</v>
      </c>
      <c r="H39" s="5" t="n">
        <f aca="false">MIN(F39,G39)</f>
        <v>3</v>
      </c>
      <c r="I39" s="5" t="n">
        <f aca="false">G39-H39</f>
        <v>0</v>
      </c>
      <c r="J39" s="5" t="n">
        <f aca="false">F39-H39</f>
        <v>11</v>
      </c>
      <c r="K39" s="5" t="n">
        <f aca="false">IF(I39&gt;0,1,0)</f>
        <v>0</v>
      </c>
      <c r="L39" s="5" t="n">
        <f aca="false">IF(J39&lt;PuntoReorden,1,0)</f>
        <v>0</v>
      </c>
      <c r="M39" s="18" t="n">
        <f aca="false">PrecioVenta*H39</f>
        <v>2040000</v>
      </c>
      <c r="N39" s="18" t="n">
        <f aca="false">CostoUnitario*E39</f>
        <v>0</v>
      </c>
      <c r="O39" s="18" t="n">
        <f aca="false">IF(E39&gt;0,CostoPedido,0)</f>
        <v>0</v>
      </c>
      <c r="P39" s="18" t="n">
        <f aca="false">CostoAlm*(F39+J39)/2</f>
        <v>1000</v>
      </c>
      <c r="Q39" s="18" t="n">
        <f aca="false">CostoFijo*D39</f>
        <v>0</v>
      </c>
      <c r="R39" s="18" t="n">
        <f aca="false">M39-N39-O39-P39-Q39</f>
        <v>2039000</v>
      </c>
      <c r="W39" s="5" t="n">
        <v>33</v>
      </c>
      <c r="X39" s="21" t="n">
        <v>104550200</v>
      </c>
      <c r="Y39" s="22" t="n">
        <v>0</v>
      </c>
      <c r="Z39" s="22" t="n">
        <v>0</v>
      </c>
    </row>
    <row r="40" customFormat="false" ht="15" hidden="false" customHeight="true" outlineLevel="0" collapsed="false">
      <c r="A40" s="5" t="n">
        <f aca="false">A39+1</f>
        <v>35</v>
      </c>
      <c r="B40" s="16" t="n">
        <f aca="false">B39+IF(WEEKDAY(B39,2)=6,2,1)</f>
        <v>46063</v>
      </c>
      <c r="C40" s="5" t="n">
        <f aca="false">MONTH(B40)</f>
        <v>2</v>
      </c>
      <c r="D40" s="5" t="n">
        <f aca="false">IF(C40&lt;&gt;C39,1,0)</f>
        <v>0</v>
      </c>
      <c r="E40" s="5" t="n">
        <f aca="false">IF(L39=1,CantPedido,0)</f>
        <v>0</v>
      </c>
      <c r="F40" s="5" t="n">
        <f aca="false">J39+E40</f>
        <v>11</v>
      </c>
      <c r="G40" s="5" t="n">
        <f aca="true">VLOOKUP(RAND(),TablaEmpirica,2,TRUE())</f>
        <v>5</v>
      </c>
      <c r="H40" s="5" t="n">
        <f aca="false">MIN(F40,G40)</f>
        <v>5</v>
      </c>
      <c r="I40" s="5" t="n">
        <f aca="false">G40-H40</f>
        <v>0</v>
      </c>
      <c r="J40" s="5" t="n">
        <f aca="false">F40-H40</f>
        <v>6</v>
      </c>
      <c r="K40" s="5" t="n">
        <f aca="false">IF(I40&gt;0,1,0)</f>
        <v>0</v>
      </c>
      <c r="L40" s="5" t="n">
        <f aca="false">IF(J40&lt;PuntoReorden,1,0)</f>
        <v>1</v>
      </c>
      <c r="M40" s="18" t="n">
        <f aca="false">PrecioVenta*H40</f>
        <v>3400000</v>
      </c>
      <c r="N40" s="18" t="n">
        <f aca="false">CostoUnitario*E40</f>
        <v>0</v>
      </c>
      <c r="O40" s="18" t="n">
        <f aca="false">IF(E40&gt;0,CostoPedido,0)</f>
        <v>0</v>
      </c>
      <c r="P40" s="18" t="n">
        <f aca="false">CostoAlm*(F40+J40)/2</f>
        <v>680</v>
      </c>
      <c r="Q40" s="18" t="n">
        <f aca="false">CostoFijo*D40</f>
        <v>0</v>
      </c>
      <c r="R40" s="18" t="n">
        <f aca="false">M40-N40-O40-P40-Q40</f>
        <v>3399320</v>
      </c>
      <c r="W40" s="5" t="n">
        <v>34</v>
      </c>
      <c r="X40" s="21" t="n">
        <v>100674880</v>
      </c>
      <c r="Y40" s="22" t="n">
        <v>0</v>
      </c>
      <c r="Z40" s="22" t="n">
        <v>0</v>
      </c>
    </row>
    <row r="41" customFormat="false" ht="15" hidden="false" customHeight="true" outlineLevel="0" collapsed="false">
      <c r="A41" s="5" t="n">
        <f aca="false">A40+1</f>
        <v>36</v>
      </c>
      <c r="B41" s="16" t="n">
        <f aca="false">B40+IF(WEEKDAY(B40,2)=6,2,1)</f>
        <v>46064</v>
      </c>
      <c r="C41" s="5" t="n">
        <f aca="false">MONTH(B41)</f>
        <v>2</v>
      </c>
      <c r="D41" s="5" t="n">
        <f aca="false">IF(C41&lt;&gt;C40,1,0)</f>
        <v>0</v>
      </c>
      <c r="E41" s="17" t="n">
        <f aca="false">IF(L40=1,CantPedido,0)</f>
        <v>15</v>
      </c>
      <c r="F41" s="5" t="n">
        <f aca="false">J40+E41</f>
        <v>21</v>
      </c>
      <c r="G41" s="5" t="n">
        <f aca="true">VLOOKUP(RAND(),TablaEmpirica,2,TRUE())</f>
        <v>5</v>
      </c>
      <c r="H41" s="5" t="n">
        <f aca="false">MIN(F41,G41)</f>
        <v>5</v>
      </c>
      <c r="I41" s="5" t="n">
        <f aca="false">G41-H41</f>
        <v>0</v>
      </c>
      <c r="J41" s="5" t="n">
        <f aca="false">F41-H41</f>
        <v>16</v>
      </c>
      <c r="K41" s="5" t="n">
        <f aca="false">IF(I41&gt;0,1,0)</f>
        <v>0</v>
      </c>
      <c r="L41" s="5" t="n">
        <f aca="false">IF(J41&lt;PuntoReorden,1,0)</f>
        <v>0</v>
      </c>
      <c r="M41" s="18" t="n">
        <f aca="false">PrecioVenta*H41</f>
        <v>3400000</v>
      </c>
      <c r="N41" s="18" t="n">
        <f aca="false">CostoUnitario*E41</f>
        <v>9000000</v>
      </c>
      <c r="O41" s="18" t="n">
        <f aca="false">IF(E41&gt;0,CostoPedido,0)</f>
        <v>40000</v>
      </c>
      <c r="P41" s="18" t="n">
        <f aca="false">CostoAlm*(F41+J41)/2</f>
        <v>1480</v>
      </c>
      <c r="Q41" s="18" t="n">
        <f aca="false">CostoFijo*D41</f>
        <v>0</v>
      </c>
      <c r="R41" s="18" t="n">
        <f aca="false">M41-N41-O41-P41-Q41</f>
        <v>-5641480</v>
      </c>
      <c r="W41" s="5" t="n">
        <v>35</v>
      </c>
      <c r="X41" s="21" t="n">
        <v>103870960</v>
      </c>
      <c r="Y41" s="22" t="n">
        <v>0</v>
      </c>
      <c r="Z41" s="22" t="n">
        <v>0</v>
      </c>
    </row>
    <row r="42" customFormat="false" ht="15" hidden="false" customHeight="true" outlineLevel="0" collapsed="false">
      <c r="A42" s="5" t="n">
        <f aca="false">A41+1</f>
        <v>37</v>
      </c>
      <c r="B42" s="16" t="n">
        <f aca="false">B41+IF(WEEKDAY(B41,2)=6,2,1)</f>
        <v>46065</v>
      </c>
      <c r="C42" s="5" t="n">
        <f aca="false">MONTH(B42)</f>
        <v>2</v>
      </c>
      <c r="D42" s="5" t="n">
        <f aca="false">IF(C42&lt;&gt;C41,1,0)</f>
        <v>0</v>
      </c>
      <c r="E42" s="17" t="n">
        <f aca="false">IF(L41=1,CantPedido,0)</f>
        <v>0</v>
      </c>
      <c r="F42" s="5" t="n">
        <f aca="false">J41+E42</f>
        <v>16</v>
      </c>
      <c r="G42" s="5" t="n">
        <f aca="true">VLOOKUP(RAND(),TablaEmpirica,2,TRUE())</f>
        <v>3</v>
      </c>
      <c r="H42" s="5" t="n">
        <f aca="false">MIN(F42,G42)</f>
        <v>3</v>
      </c>
      <c r="I42" s="5" t="n">
        <f aca="false">G42-H42</f>
        <v>0</v>
      </c>
      <c r="J42" s="5" t="n">
        <f aca="false">F42-H42</f>
        <v>13</v>
      </c>
      <c r="K42" s="5" t="n">
        <f aca="false">IF(I42&gt;0,1,0)</f>
        <v>0</v>
      </c>
      <c r="L42" s="5" t="n">
        <f aca="false">IF(J42&lt;PuntoReorden,1,0)</f>
        <v>0</v>
      </c>
      <c r="M42" s="18" t="n">
        <f aca="false">PrecioVenta*H42</f>
        <v>2040000</v>
      </c>
      <c r="N42" s="18" t="n">
        <f aca="false">CostoUnitario*E42</f>
        <v>0</v>
      </c>
      <c r="O42" s="18" t="n">
        <f aca="false">IF(E42&gt;0,CostoPedido,0)</f>
        <v>0</v>
      </c>
      <c r="P42" s="18" t="n">
        <f aca="false">CostoAlm*(F42+J42)/2</f>
        <v>1160</v>
      </c>
      <c r="Q42" s="18" t="n">
        <f aca="false">CostoFijo*D42</f>
        <v>0</v>
      </c>
      <c r="R42" s="18" t="n">
        <f aca="false">M42-N42-O42-P42-Q42</f>
        <v>2038840</v>
      </c>
      <c r="W42" s="5" t="n">
        <v>36</v>
      </c>
      <c r="X42" s="21" t="n">
        <v>96710680</v>
      </c>
      <c r="Y42" s="22" t="n">
        <v>0</v>
      </c>
      <c r="Z42" s="22" t="n">
        <v>0</v>
      </c>
    </row>
    <row r="43" customFormat="false" ht="15" hidden="false" customHeight="true" outlineLevel="0" collapsed="false">
      <c r="A43" s="5" t="n">
        <f aca="false">A42+1</f>
        <v>38</v>
      </c>
      <c r="B43" s="16" t="n">
        <f aca="false">B42+IF(WEEKDAY(B42,2)=6,2,1)</f>
        <v>46066</v>
      </c>
      <c r="C43" s="5" t="n">
        <f aca="false">MONTH(B43)</f>
        <v>2</v>
      </c>
      <c r="D43" s="5" t="n">
        <f aca="false">IF(C43&lt;&gt;C42,1,0)</f>
        <v>0</v>
      </c>
      <c r="E43" s="5" t="n">
        <f aca="false">IF(L42=1,CantPedido,0)</f>
        <v>0</v>
      </c>
      <c r="F43" s="5" t="n">
        <f aca="false">J42+E43</f>
        <v>13</v>
      </c>
      <c r="G43" s="5" t="n">
        <f aca="true">VLOOKUP(RAND(),TablaEmpirica,2,TRUE())</f>
        <v>5</v>
      </c>
      <c r="H43" s="5" t="n">
        <f aca="false">MIN(F43,G43)</f>
        <v>5</v>
      </c>
      <c r="I43" s="5" t="n">
        <f aca="false">G43-H43</f>
        <v>0</v>
      </c>
      <c r="J43" s="5" t="n">
        <f aca="false">F43-H43</f>
        <v>8</v>
      </c>
      <c r="K43" s="5" t="n">
        <f aca="false">IF(I43&gt;0,1,0)</f>
        <v>0</v>
      </c>
      <c r="L43" s="5" t="n">
        <f aca="false">IF(J43&lt;PuntoReorden,1,0)</f>
        <v>0</v>
      </c>
      <c r="M43" s="18" t="n">
        <f aca="false">PrecioVenta*H43</f>
        <v>3400000</v>
      </c>
      <c r="N43" s="18" t="n">
        <f aca="false">CostoUnitario*E43</f>
        <v>0</v>
      </c>
      <c r="O43" s="18" t="n">
        <f aca="false">IF(E43&gt;0,CostoPedido,0)</f>
        <v>0</v>
      </c>
      <c r="P43" s="18" t="n">
        <f aca="false">CostoAlm*(F43+J43)/2</f>
        <v>840</v>
      </c>
      <c r="Q43" s="18" t="n">
        <f aca="false">CostoFijo*D43</f>
        <v>0</v>
      </c>
      <c r="R43" s="18" t="n">
        <f aca="false">M43-N43-O43-P43-Q43</f>
        <v>3399160</v>
      </c>
      <c r="W43" s="5" t="n">
        <v>37</v>
      </c>
      <c r="X43" s="21" t="n">
        <v>100386360</v>
      </c>
      <c r="Y43" s="22" t="n">
        <v>0</v>
      </c>
      <c r="Z43" s="22" t="n">
        <v>0</v>
      </c>
    </row>
    <row r="44" customFormat="false" ht="15" hidden="false" customHeight="true" outlineLevel="0" collapsed="false">
      <c r="A44" s="5" t="n">
        <f aca="false">A43+1</f>
        <v>39</v>
      </c>
      <c r="B44" s="16" t="n">
        <f aca="false">B43+IF(WEEKDAY(B43,2)=6,2,1)</f>
        <v>46067</v>
      </c>
      <c r="C44" s="5" t="n">
        <f aca="false">MONTH(B44)</f>
        <v>2</v>
      </c>
      <c r="D44" s="5" t="n">
        <f aca="false">IF(C44&lt;&gt;C43,1,0)</f>
        <v>0</v>
      </c>
      <c r="E44" s="17" t="n">
        <f aca="false">IF(L43=1,CantPedido,0)</f>
        <v>0</v>
      </c>
      <c r="F44" s="5" t="n">
        <f aca="false">J43+E44</f>
        <v>8</v>
      </c>
      <c r="G44" s="5" t="n">
        <f aca="true">VLOOKUP(RAND(),TablaEmpirica,2,TRUE())</f>
        <v>6</v>
      </c>
      <c r="H44" s="5" t="n">
        <f aca="false">MIN(F44,G44)</f>
        <v>6</v>
      </c>
      <c r="I44" s="5" t="n">
        <f aca="false">G44-H44</f>
        <v>0</v>
      </c>
      <c r="J44" s="5" t="n">
        <f aca="false">F44-H44</f>
        <v>2</v>
      </c>
      <c r="K44" s="5" t="n">
        <f aca="false">IF(I44&gt;0,1,0)</f>
        <v>0</v>
      </c>
      <c r="L44" s="5" t="n">
        <f aca="false">IF(J44&lt;PuntoReorden,1,0)</f>
        <v>1</v>
      </c>
      <c r="M44" s="18" t="n">
        <f aca="false">PrecioVenta*H44</f>
        <v>4080000</v>
      </c>
      <c r="N44" s="18" t="n">
        <f aca="false">CostoUnitario*E44</f>
        <v>0</v>
      </c>
      <c r="O44" s="18" t="n">
        <f aca="false">IF(E44&gt;0,CostoPedido,0)</f>
        <v>0</v>
      </c>
      <c r="P44" s="18" t="n">
        <f aca="false">CostoAlm*(F44+J44)/2</f>
        <v>400</v>
      </c>
      <c r="Q44" s="18" t="n">
        <f aca="false">CostoFijo*D44</f>
        <v>0</v>
      </c>
      <c r="R44" s="18" t="n">
        <f aca="false">M44-N44-O44-P44-Q44</f>
        <v>4079600</v>
      </c>
      <c r="W44" s="5" t="n">
        <v>38</v>
      </c>
      <c r="X44" s="21" t="n">
        <v>102914640</v>
      </c>
      <c r="Y44" s="22" t="n">
        <v>0</v>
      </c>
      <c r="Z44" s="22" t="n">
        <v>0</v>
      </c>
    </row>
    <row r="45" customFormat="false" ht="15" hidden="false" customHeight="true" outlineLevel="0" collapsed="false">
      <c r="A45" s="5" t="n">
        <f aca="false">A44+1</f>
        <v>40</v>
      </c>
      <c r="B45" s="16" t="n">
        <f aca="false">B44+IF(WEEKDAY(B44,2)=6,2,1)</f>
        <v>46069</v>
      </c>
      <c r="C45" s="5" t="n">
        <f aca="false">MONTH(B45)</f>
        <v>2</v>
      </c>
      <c r="D45" s="5" t="n">
        <f aca="false">IF(C45&lt;&gt;C44,1,0)</f>
        <v>0</v>
      </c>
      <c r="E45" s="17" t="n">
        <f aca="false">IF(L44=1,CantPedido,0)</f>
        <v>15</v>
      </c>
      <c r="F45" s="5" t="n">
        <f aca="false">J44+E45</f>
        <v>17</v>
      </c>
      <c r="G45" s="5" t="n">
        <f aca="true">VLOOKUP(RAND(),TablaEmpirica,2,TRUE())</f>
        <v>5</v>
      </c>
      <c r="H45" s="5" t="n">
        <f aca="false">MIN(F45,G45)</f>
        <v>5</v>
      </c>
      <c r="I45" s="5" t="n">
        <f aca="false">G45-H45</f>
        <v>0</v>
      </c>
      <c r="J45" s="5" t="n">
        <f aca="false">F45-H45</f>
        <v>12</v>
      </c>
      <c r="K45" s="5" t="n">
        <f aca="false">IF(I45&gt;0,1,0)</f>
        <v>0</v>
      </c>
      <c r="L45" s="5" t="n">
        <f aca="false">IF(J45&lt;PuntoReorden,1,0)</f>
        <v>0</v>
      </c>
      <c r="M45" s="18" t="n">
        <f aca="false">PrecioVenta*H45</f>
        <v>3400000</v>
      </c>
      <c r="N45" s="18" t="n">
        <f aca="false">CostoUnitario*E45</f>
        <v>9000000</v>
      </c>
      <c r="O45" s="18" t="n">
        <f aca="false">IF(E45&gt;0,CostoPedido,0)</f>
        <v>40000</v>
      </c>
      <c r="P45" s="18" t="n">
        <f aca="false">CostoAlm*(F45+J45)/2</f>
        <v>1160</v>
      </c>
      <c r="Q45" s="18" t="n">
        <f aca="false">CostoFijo*D45</f>
        <v>0</v>
      </c>
      <c r="R45" s="18" t="n">
        <f aca="false">M45-N45-O45-P45-Q45</f>
        <v>-5641160</v>
      </c>
      <c r="W45" s="5" t="n">
        <v>39</v>
      </c>
      <c r="X45" s="21" t="n">
        <v>101832920</v>
      </c>
      <c r="Y45" s="22" t="n">
        <v>0</v>
      </c>
      <c r="Z45" s="22" t="n">
        <v>0</v>
      </c>
    </row>
    <row r="46" customFormat="false" ht="15" hidden="false" customHeight="true" outlineLevel="0" collapsed="false">
      <c r="A46" s="5" t="n">
        <f aca="false">A45+1</f>
        <v>41</v>
      </c>
      <c r="B46" s="16" t="n">
        <f aca="false">B45+IF(WEEKDAY(B45,2)=6,2,1)</f>
        <v>46070</v>
      </c>
      <c r="C46" s="5" t="n">
        <f aca="false">MONTH(B46)</f>
        <v>2</v>
      </c>
      <c r="D46" s="5" t="n">
        <f aca="false">IF(C46&lt;&gt;C45,1,0)</f>
        <v>0</v>
      </c>
      <c r="E46" s="5" t="n">
        <f aca="false">IF(L45=1,CantPedido,0)</f>
        <v>0</v>
      </c>
      <c r="F46" s="5" t="n">
        <f aca="false">J45+E46</f>
        <v>12</v>
      </c>
      <c r="G46" s="5" t="n">
        <f aca="true">VLOOKUP(RAND(),TablaEmpirica,2,TRUE())</f>
        <v>3</v>
      </c>
      <c r="H46" s="5" t="n">
        <f aca="false">MIN(F46,G46)</f>
        <v>3</v>
      </c>
      <c r="I46" s="5" t="n">
        <f aca="false">G46-H46</f>
        <v>0</v>
      </c>
      <c r="J46" s="5" t="n">
        <f aca="false">F46-H46</f>
        <v>9</v>
      </c>
      <c r="K46" s="5" t="n">
        <f aca="false">IF(I46&gt;0,1,0)</f>
        <v>0</v>
      </c>
      <c r="L46" s="5" t="n">
        <f aca="false">IF(J46&lt;PuntoReorden,1,0)</f>
        <v>0</v>
      </c>
      <c r="M46" s="18" t="n">
        <f aca="false">PrecioVenta*H46</f>
        <v>2040000</v>
      </c>
      <c r="N46" s="18" t="n">
        <f aca="false">CostoUnitario*E46</f>
        <v>0</v>
      </c>
      <c r="O46" s="18" t="n">
        <f aca="false">IF(E46&gt;0,CostoPedido,0)</f>
        <v>0</v>
      </c>
      <c r="P46" s="18" t="n">
        <f aca="false">CostoAlm*(F46+J46)/2</f>
        <v>840</v>
      </c>
      <c r="Q46" s="18" t="n">
        <f aca="false">CostoFijo*D46</f>
        <v>0</v>
      </c>
      <c r="R46" s="18" t="n">
        <f aca="false">M46-N46-O46-P46-Q46</f>
        <v>2039160</v>
      </c>
      <c r="W46" s="5" t="n">
        <v>40</v>
      </c>
      <c r="X46" s="21" t="n">
        <v>103392000</v>
      </c>
      <c r="Y46" s="22" t="n">
        <v>0</v>
      </c>
      <c r="Z46" s="22" t="n">
        <v>0</v>
      </c>
    </row>
    <row r="47" customFormat="false" ht="15" hidden="false" customHeight="true" outlineLevel="0" collapsed="false">
      <c r="A47" s="5" t="n">
        <f aca="false">A46+1</f>
        <v>42</v>
      </c>
      <c r="B47" s="16" t="n">
        <f aca="false">B46+IF(WEEKDAY(B46,2)=6,2,1)</f>
        <v>46071</v>
      </c>
      <c r="C47" s="5" t="n">
        <f aca="false">MONTH(B47)</f>
        <v>2</v>
      </c>
      <c r="D47" s="5" t="n">
        <f aca="false">IF(C47&lt;&gt;C46,1,0)</f>
        <v>0</v>
      </c>
      <c r="E47" s="17" t="n">
        <f aca="false">IF(L46=1,CantPedido,0)</f>
        <v>0</v>
      </c>
      <c r="F47" s="5" t="n">
        <f aca="false">J46+E47</f>
        <v>9</v>
      </c>
      <c r="G47" s="5" t="n">
        <f aca="true">VLOOKUP(RAND(),TablaEmpirica,2,TRUE())</f>
        <v>5</v>
      </c>
      <c r="H47" s="5" t="n">
        <f aca="false">MIN(F47,G47)</f>
        <v>5</v>
      </c>
      <c r="I47" s="5" t="n">
        <f aca="false">G47-H47</f>
        <v>0</v>
      </c>
      <c r="J47" s="5" t="n">
        <f aca="false">F47-H47</f>
        <v>4</v>
      </c>
      <c r="K47" s="5" t="n">
        <f aca="false">IF(I47&gt;0,1,0)</f>
        <v>0</v>
      </c>
      <c r="L47" s="5" t="n">
        <f aca="false">IF(J47&lt;PuntoReorden,1,0)</f>
        <v>1</v>
      </c>
      <c r="M47" s="18" t="n">
        <f aca="false">PrecioVenta*H47</f>
        <v>3400000</v>
      </c>
      <c r="N47" s="18" t="n">
        <f aca="false">CostoUnitario*E47</f>
        <v>0</v>
      </c>
      <c r="O47" s="18" t="n">
        <f aca="false">IF(E47&gt;0,CostoPedido,0)</f>
        <v>0</v>
      </c>
      <c r="P47" s="18" t="n">
        <f aca="false">CostoAlm*(F47+J47)/2</f>
        <v>520</v>
      </c>
      <c r="Q47" s="18" t="n">
        <f aca="false">CostoFijo*D47</f>
        <v>0</v>
      </c>
      <c r="R47" s="18" t="n">
        <f aca="false">M47-N47-O47-P47-Q47</f>
        <v>3399480</v>
      </c>
      <c r="W47" s="5" t="n">
        <v>41</v>
      </c>
      <c r="X47" s="21" t="n">
        <v>100271920</v>
      </c>
      <c r="Y47" s="22" t="n">
        <v>0</v>
      </c>
      <c r="Z47" s="22" t="n">
        <v>0</v>
      </c>
    </row>
    <row r="48" customFormat="false" ht="15" hidden="false" customHeight="true" outlineLevel="0" collapsed="false">
      <c r="A48" s="5" t="n">
        <f aca="false">A47+1</f>
        <v>43</v>
      </c>
      <c r="B48" s="16" t="n">
        <f aca="false">B47+IF(WEEKDAY(B47,2)=6,2,1)</f>
        <v>46072</v>
      </c>
      <c r="C48" s="5" t="n">
        <f aca="false">MONTH(B48)</f>
        <v>2</v>
      </c>
      <c r="D48" s="5" t="n">
        <f aca="false">IF(C48&lt;&gt;C47,1,0)</f>
        <v>0</v>
      </c>
      <c r="E48" s="17" t="n">
        <f aca="false">IF(L47=1,CantPedido,0)</f>
        <v>15</v>
      </c>
      <c r="F48" s="5" t="n">
        <f aca="false">J47+E48</f>
        <v>19</v>
      </c>
      <c r="G48" s="5" t="n">
        <f aca="true">VLOOKUP(RAND(),TablaEmpirica,2,TRUE())</f>
        <v>7</v>
      </c>
      <c r="H48" s="5" t="n">
        <f aca="false">MIN(F48,G48)</f>
        <v>7</v>
      </c>
      <c r="I48" s="5" t="n">
        <f aca="false">G48-H48</f>
        <v>0</v>
      </c>
      <c r="J48" s="5" t="n">
        <f aca="false">F48-H48</f>
        <v>12</v>
      </c>
      <c r="K48" s="5" t="n">
        <f aca="false">IF(I48&gt;0,1,0)</f>
        <v>0</v>
      </c>
      <c r="L48" s="5" t="n">
        <f aca="false">IF(J48&lt;PuntoReorden,1,0)</f>
        <v>0</v>
      </c>
      <c r="M48" s="18" t="n">
        <f aca="false">PrecioVenta*H48</f>
        <v>4760000</v>
      </c>
      <c r="N48" s="18" t="n">
        <f aca="false">CostoUnitario*E48</f>
        <v>9000000</v>
      </c>
      <c r="O48" s="18" t="n">
        <f aca="false">IF(E48&gt;0,CostoPedido,0)</f>
        <v>40000</v>
      </c>
      <c r="P48" s="18" t="n">
        <f aca="false">CostoAlm*(F48+J48)/2</f>
        <v>1240</v>
      </c>
      <c r="Q48" s="18" t="n">
        <f aca="false">CostoFijo*D48</f>
        <v>0</v>
      </c>
      <c r="R48" s="18" t="n">
        <f aca="false">M48-N48-O48-P48-Q48</f>
        <v>-4281240</v>
      </c>
      <c r="W48" s="5" t="n">
        <v>42</v>
      </c>
      <c r="X48" s="21" t="n">
        <v>105828520</v>
      </c>
      <c r="Y48" s="22" t="n">
        <v>0</v>
      </c>
      <c r="Z48" s="22" t="n">
        <v>0</v>
      </c>
    </row>
    <row r="49" customFormat="false" ht="15" hidden="false" customHeight="true" outlineLevel="0" collapsed="false">
      <c r="A49" s="5" t="n">
        <f aca="false">A48+1</f>
        <v>44</v>
      </c>
      <c r="B49" s="16" t="n">
        <f aca="false">B48+IF(WEEKDAY(B48,2)=6,2,1)</f>
        <v>46073</v>
      </c>
      <c r="C49" s="5" t="n">
        <f aca="false">MONTH(B49)</f>
        <v>2</v>
      </c>
      <c r="D49" s="5" t="n">
        <f aca="false">IF(C49&lt;&gt;C48,1,0)</f>
        <v>0</v>
      </c>
      <c r="E49" s="17" t="n">
        <f aca="false">IF(L48=1,CantPedido,0)</f>
        <v>0</v>
      </c>
      <c r="F49" s="5" t="n">
        <f aca="false">J48+E49</f>
        <v>12</v>
      </c>
      <c r="G49" s="5" t="n">
        <f aca="true">VLOOKUP(RAND(),TablaEmpirica,2,TRUE())</f>
        <v>5</v>
      </c>
      <c r="H49" s="5" t="n">
        <f aca="false">MIN(F49,G49)</f>
        <v>5</v>
      </c>
      <c r="I49" s="5" t="n">
        <f aca="false">G49-H49</f>
        <v>0</v>
      </c>
      <c r="J49" s="5" t="n">
        <f aca="false">F49-H49</f>
        <v>7</v>
      </c>
      <c r="K49" s="5" t="n">
        <f aca="false">IF(I49&gt;0,1,0)</f>
        <v>0</v>
      </c>
      <c r="L49" s="5" t="n">
        <f aca="false">IF(J49&lt;PuntoReorden,1,0)</f>
        <v>0</v>
      </c>
      <c r="M49" s="18" t="n">
        <f aca="false">PrecioVenta*H49</f>
        <v>3400000</v>
      </c>
      <c r="N49" s="18" t="n">
        <f aca="false">CostoUnitario*E49</f>
        <v>0</v>
      </c>
      <c r="O49" s="18" t="n">
        <f aca="false">IF(E49&gt;0,CostoPedido,0)</f>
        <v>0</v>
      </c>
      <c r="P49" s="18" t="n">
        <f aca="false">CostoAlm*(F49+J49)/2</f>
        <v>760</v>
      </c>
      <c r="Q49" s="18" t="n">
        <f aca="false">CostoFijo*D49</f>
        <v>0</v>
      </c>
      <c r="R49" s="18" t="n">
        <f aca="false">M49-N49-O49-P49-Q49</f>
        <v>3399240</v>
      </c>
      <c r="W49" s="5" t="n">
        <v>43</v>
      </c>
      <c r="X49" s="21" t="n">
        <v>99433160</v>
      </c>
      <c r="Y49" s="22" t="n">
        <v>0</v>
      </c>
      <c r="Z49" s="22" t="n">
        <v>0</v>
      </c>
    </row>
    <row r="50" customFormat="false" ht="15" hidden="false" customHeight="true" outlineLevel="0" collapsed="false">
      <c r="A50" s="5" t="n">
        <f aca="false">A49+1</f>
        <v>45</v>
      </c>
      <c r="B50" s="16" t="n">
        <f aca="false">B49+IF(WEEKDAY(B49,2)=6,2,1)</f>
        <v>46074</v>
      </c>
      <c r="C50" s="5" t="n">
        <f aca="false">MONTH(B50)</f>
        <v>2</v>
      </c>
      <c r="D50" s="5" t="n">
        <f aca="false">IF(C50&lt;&gt;C49,1,0)</f>
        <v>0</v>
      </c>
      <c r="E50" s="5" t="n">
        <f aca="false">IF(L49=1,CantPedido,0)</f>
        <v>0</v>
      </c>
      <c r="F50" s="5" t="n">
        <f aca="false">J49+E50</f>
        <v>7</v>
      </c>
      <c r="G50" s="5" t="n">
        <f aca="true">VLOOKUP(RAND(),TablaEmpirica,2,TRUE())</f>
        <v>3</v>
      </c>
      <c r="H50" s="5" t="n">
        <f aca="false">MIN(F50,G50)</f>
        <v>3</v>
      </c>
      <c r="I50" s="5" t="n">
        <f aca="false">G50-H50</f>
        <v>0</v>
      </c>
      <c r="J50" s="5" t="n">
        <f aca="false">F50-H50</f>
        <v>4</v>
      </c>
      <c r="K50" s="5" t="n">
        <f aca="false">IF(I50&gt;0,1,0)</f>
        <v>0</v>
      </c>
      <c r="L50" s="5" t="n">
        <f aca="false">IF(J50&lt;PuntoReorden,1,0)</f>
        <v>1</v>
      </c>
      <c r="M50" s="18" t="n">
        <f aca="false">PrecioVenta*H50</f>
        <v>2040000</v>
      </c>
      <c r="N50" s="18" t="n">
        <f aca="false">CostoUnitario*E50</f>
        <v>0</v>
      </c>
      <c r="O50" s="18" t="n">
        <f aca="false">IF(E50&gt;0,CostoPedido,0)</f>
        <v>0</v>
      </c>
      <c r="P50" s="18" t="n">
        <f aca="false">CostoAlm*(F50+J50)/2</f>
        <v>440</v>
      </c>
      <c r="Q50" s="18" t="n">
        <f aca="false">CostoFijo*D50</f>
        <v>0</v>
      </c>
      <c r="R50" s="18" t="n">
        <f aca="false">M50-N50-O50-P50-Q50</f>
        <v>2039560</v>
      </c>
      <c r="W50" s="5" t="n">
        <v>44</v>
      </c>
      <c r="X50" s="21" t="n">
        <v>106797480</v>
      </c>
      <c r="Y50" s="22" t="n">
        <v>0</v>
      </c>
      <c r="Z50" s="22" t="n">
        <v>0</v>
      </c>
    </row>
    <row r="51" customFormat="false" ht="15" hidden="false" customHeight="true" outlineLevel="0" collapsed="false">
      <c r="A51" s="5" t="n">
        <f aca="false">A50+1</f>
        <v>46</v>
      </c>
      <c r="B51" s="16" t="n">
        <f aca="false">B50+IF(WEEKDAY(B50,2)=6,2,1)</f>
        <v>46076</v>
      </c>
      <c r="C51" s="5" t="n">
        <f aca="false">MONTH(B51)</f>
        <v>2</v>
      </c>
      <c r="D51" s="5" t="n">
        <f aca="false">IF(C51&lt;&gt;C50,1,0)</f>
        <v>0</v>
      </c>
      <c r="E51" s="17" t="n">
        <f aca="false">IF(L50=1,CantPedido,0)</f>
        <v>15</v>
      </c>
      <c r="F51" s="5" t="n">
        <f aca="false">J50+E51</f>
        <v>19</v>
      </c>
      <c r="G51" s="5" t="n">
        <f aca="true">VLOOKUP(RAND(),TablaEmpirica,2,TRUE())</f>
        <v>3</v>
      </c>
      <c r="H51" s="5" t="n">
        <f aca="false">MIN(F51,G51)</f>
        <v>3</v>
      </c>
      <c r="I51" s="5" t="n">
        <f aca="false">G51-H51</f>
        <v>0</v>
      </c>
      <c r="J51" s="5" t="n">
        <f aca="false">F51-H51</f>
        <v>16</v>
      </c>
      <c r="K51" s="5" t="n">
        <f aca="false">IF(I51&gt;0,1,0)</f>
        <v>0</v>
      </c>
      <c r="L51" s="5" t="n">
        <f aca="false">IF(J51&lt;PuntoReorden,1,0)</f>
        <v>0</v>
      </c>
      <c r="M51" s="18" t="n">
        <f aca="false">PrecioVenta*H51</f>
        <v>2040000</v>
      </c>
      <c r="N51" s="18" t="n">
        <f aca="false">CostoUnitario*E51</f>
        <v>9000000</v>
      </c>
      <c r="O51" s="18" t="n">
        <f aca="false">IF(E51&gt;0,CostoPedido,0)</f>
        <v>40000</v>
      </c>
      <c r="P51" s="18" t="n">
        <f aca="false">CostoAlm*(F51+J51)/2</f>
        <v>1400</v>
      </c>
      <c r="Q51" s="18" t="n">
        <f aca="false">CostoFijo*D51</f>
        <v>0</v>
      </c>
      <c r="R51" s="18" t="n">
        <f aca="false">M51-N51-O51-P51-Q51</f>
        <v>-7001400</v>
      </c>
      <c r="W51" s="5" t="n">
        <v>45</v>
      </c>
      <c r="X51" s="21" t="n">
        <v>102231640</v>
      </c>
      <c r="Y51" s="22" t="n">
        <v>0</v>
      </c>
      <c r="Z51" s="22" t="n">
        <v>0</v>
      </c>
    </row>
    <row r="52" customFormat="false" ht="15" hidden="false" customHeight="true" outlineLevel="0" collapsed="false">
      <c r="A52" s="5" t="n">
        <f aca="false">A51+1</f>
        <v>47</v>
      </c>
      <c r="B52" s="16" t="n">
        <f aca="false">B51+IF(WEEKDAY(B51,2)=6,2,1)</f>
        <v>46077</v>
      </c>
      <c r="C52" s="5" t="n">
        <f aca="false">MONTH(B52)</f>
        <v>2</v>
      </c>
      <c r="D52" s="5" t="n">
        <f aca="false">IF(C52&lt;&gt;C51,1,0)</f>
        <v>0</v>
      </c>
      <c r="E52" s="17" t="n">
        <f aca="false">IF(L51=1,CantPedido,0)</f>
        <v>0</v>
      </c>
      <c r="F52" s="5" t="n">
        <f aca="false">J51+E52</f>
        <v>16</v>
      </c>
      <c r="G52" s="5" t="n">
        <f aca="true">VLOOKUP(RAND(),TablaEmpirica,2,TRUE())</f>
        <v>5</v>
      </c>
      <c r="H52" s="5" t="n">
        <f aca="false">MIN(F52,G52)</f>
        <v>5</v>
      </c>
      <c r="I52" s="5" t="n">
        <f aca="false">G52-H52</f>
        <v>0</v>
      </c>
      <c r="J52" s="5" t="n">
        <f aca="false">F52-H52</f>
        <v>11</v>
      </c>
      <c r="K52" s="5" t="n">
        <f aca="false">IF(I52&gt;0,1,0)</f>
        <v>0</v>
      </c>
      <c r="L52" s="5" t="n">
        <f aca="false">IF(J52&lt;PuntoReorden,1,0)</f>
        <v>0</v>
      </c>
      <c r="M52" s="18" t="n">
        <f aca="false">PrecioVenta*H52</f>
        <v>3400000</v>
      </c>
      <c r="N52" s="18" t="n">
        <f aca="false">CostoUnitario*E52</f>
        <v>0</v>
      </c>
      <c r="O52" s="18" t="n">
        <f aca="false">IF(E52&gt;0,CostoPedido,0)</f>
        <v>0</v>
      </c>
      <c r="P52" s="18" t="n">
        <f aca="false">CostoAlm*(F52+J52)/2</f>
        <v>1080</v>
      </c>
      <c r="Q52" s="18" t="n">
        <f aca="false">CostoFijo*D52</f>
        <v>0</v>
      </c>
      <c r="R52" s="18" t="n">
        <f aca="false">M52-N52-O52-P52-Q52</f>
        <v>3398920</v>
      </c>
      <c r="W52" s="5" t="n">
        <v>46</v>
      </c>
      <c r="X52" s="21" t="n">
        <v>105434040</v>
      </c>
      <c r="Y52" s="22" t="n">
        <v>0</v>
      </c>
      <c r="Z52" s="22" t="n">
        <v>0</v>
      </c>
    </row>
    <row r="53" customFormat="false" ht="15" hidden="false" customHeight="true" outlineLevel="0" collapsed="false">
      <c r="A53" s="5" t="n">
        <f aca="false">A52+1</f>
        <v>48</v>
      </c>
      <c r="B53" s="16" t="n">
        <f aca="false">B52+IF(WEEKDAY(B52,2)=6,2,1)</f>
        <v>46078</v>
      </c>
      <c r="C53" s="5" t="n">
        <f aca="false">MONTH(B53)</f>
        <v>2</v>
      </c>
      <c r="D53" s="5" t="n">
        <f aca="false">IF(C53&lt;&gt;C52,1,0)</f>
        <v>0</v>
      </c>
      <c r="E53" s="5" t="n">
        <f aca="false">IF(L52=1,CantPedido,0)</f>
        <v>0</v>
      </c>
      <c r="F53" s="5" t="n">
        <f aca="false">J52+E53</f>
        <v>11</v>
      </c>
      <c r="G53" s="5" t="n">
        <f aca="true">VLOOKUP(RAND(),TablaEmpirica,2,TRUE())</f>
        <v>6</v>
      </c>
      <c r="H53" s="5" t="n">
        <f aca="false">MIN(F53,G53)</f>
        <v>6</v>
      </c>
      <c r="I53" s="5" t="n">
        <f aca="false">G53-H53</f>
        <v>0</v>
      </c>
      <c r="J53" s="5" t="n">
        <f aca="false">F53-H53</f>
        <v>5</v>
      </c>
      <c r="K53" s="5" t="n">
        <f aca="false">IF(I53&gt;0,1,0)</f>
        <v>0</v>
      </c>
      <c r="L53" s="5" t="n">
        <f aca="false">IF(J53&lt;PuntoReorden,1,0)</f>
        <v>1</v>
      </c>
      <c r="M53" s="18" t="n">
        <f aca="false">PrecioVenta*H53</f>
        <v>4080000</v>
      </c>
      <c r="N53" s="18" t="n">
        <f aca="false">CostoUnitario*E53</f>
        <v>0</v>
      </c>
      <c r="O53" s="18" t="n">
        <f aca="false">IF(E53&gt;0,CostoPedido,0)</f>
        <v>0</v>
      </c>
      <c r="P53" s="18" t="n">
        <f aca="false">CostoAlm*(F53+J53)/2</f>
        <v>640</v>
      </c>
      <c r="Q53" s="18" t="n">
        <f aca="false">CostoFijo*D53</f>
        <v>0</v>
      </c>
      <c r="R53" s="18" t="n">
        <f aca="false">M53-N53-O53-P53-Q53</f>
        <v>4079360</v>
      </c>
      <c r="W53" s="5" t="n">
        <v>47</v>
      </c>
      <c r="X53" s="21" t="n">
        <v>102025840</v>
      </c>
      <c r="Y53" s="22" t="n">
        <v>0</v>
      </c>
      <c r="Z53" s="22" t="n">
        <v>0</v>
      </c>
    </row>
    <row r="54" customFormat="false" ht="15" hidden="false" customHeight="true" outlineLevel="0" collapsed="false">
      <c r="A54" s="5" t="n">
        <f aca="false">A53+1</f>
        <v>49</v>
      </c>
      <c r="B54" s="16" t="n">
        <f aca="false">B53+IF(WEEKDAY(B53,2)=6,2,1)</f>
        <v>46079</v>
      </c>
      <c r="C54" s="5" t="n">
        <f aca="false">MONTH(B54)</f>
        <v>2</v>
      </c>
      <c r="D54" s="5" t="n">
        <f aca="false">IF(C54&lt;&gt;C53,1,0)</f>
        <v>0</v>
      </c>
      <c r="E54" s="17" t="n">
        <f aca="false">IF(L53=1,CantPedido,0)</f>
        <v>15</v>
      </c>
      <c r="F54" s="5" t="n">
        <f aca="false">J53+E54</f>
        <v>20</v>
      </c>
      <c r="G54" s="5" t="n">
        <f aca="true">VLOOKUP(RAND(),TablaEmpirica,2,TRUE())</f>
        <v>6</v>
      </c>
      <c r="H54" s="5" t="n">
        <f aca="false">MIN(F54,G54)</f>
        <v>6</v>
      </c>
      <c r="I54" s="5" t="n">
        <f aca="false">G54-H54</f>
        <v>0</v>
      </c>
      <c r="J54" s="5" t="n">
        <f aca="false">F54-H54</f>
        <v>14</v>
      </c>
      <c r="K54" s="5" t="n">
        <f aca="false">IF(I54&gt;0,1,0)</f>
        <v>0</v>
      </c>
      <c r="L54" s="5" t="n">
        <f aca="false">IF(J54&lt;PuntoReorden,1,0)</f>
        <v>0</v>
      </c>
      <c r="M54" s="18" t="n">
        <f aca="false">PrecioVenta*H54</f>
        <v>4080000</v>
      </c>
      <c r="N54" s="18" t="n">
        <f aca="false">CostoUnitario*E54</f>
        <v>9000000</v>
      </c>
      <c r="O54" s="18" t="n">
        <f aca="false">IF(E54&gt;0,CostoPedido,0)</f>
        <v>40000</v>
      </c>
      <c r="P54" s="18" t="n">
        <f aca="false">CostoAlm*(F54+J54)/2</f>
        <v>1360</v>
      </c>
      <c r="Q54" s="18" t="n">
        <f aca="false">CostoFijo*D54</f>
        <v>0</v>
      </c>
      <c r="R54" s="18" t="n">
        <f aca="false">M54-N54-O54-P54-Q54</f>
        <v>-4961360</v>
      </c>
      <c r="W54" s="5" t="n">
        <v>48</v>
      </c>
      <c r="X54" s="21" t="n">
        <v>103386960</v>
      </c>
      <c r="Y54" s="22" t="n">
        <v>0</v>
      </c>
      <c r="Z54" s="22" t="n">
        <v>0</v>
      </c>
    </row>
    <row r="55" customFormat="false" ht="15" hidden="false" customHeight="true" outlineLevel="0" collapsed="false">
      <c r="A55" s="5" t="n">
        <f aca="false">A54+1</f>
        <v>50</v>
      </c>
      <c r="B55" s="16" t="n">
        <f aca="false">B54+IF(WEEKDAY(B54,2)=6,2,1)</f>
        <v>46080</v>
      </c>
      <c r="C55" s="5" t="n">
        <f aca="false">MONTH(B55)</f>
        <v>2</v>
      </c>
      <c r="D55" s="5" t="n">
        <f aca="false">IF(C55&lt;&gt;C54,1,0)</f>
        <v>0</v>
      </c>
      <c r="E55" s="5" t="n">
        <f aca="false">IF(L54=1,CantPedido,0)</f>
        <v>0</v>
      </c>
      <c r="F55" s="5" t="n">
        <f aca="false">J54+E55</f>
        <v>14</v>
      </c>
      <c r="G55" s="5" t="n">
        <f aca="true">VLOOKUP(RAND(),TablaEmpirica,2,TRUE())</f>
        <v>7</v>
      </c>
      <c r="H55" s="5" t="n">
        <f aca="false">MIN(F55,G55)</f>
        <v>7</v>
      </c>
      <c r="I55" s="5" t="n">
        <f aca="false">G55-H55</f>
        <v>0</v>
      </c>
      <c r="J55" s="5" t="n">
        <f aca="false">F55-H55</f>
        <v>7</v>
      </c>
      <c r="K55" s="5" t="n">
        <f aca="false">IF(I55&gt;0,1,0)</f>
        <v>0</v>
      </c>
      <c r="L55" s="5" t="n">
        <f aca="false">IF(J55&lt;PuntoReorden,1,0)</f>
        <v>0</v>
      </c>
      <c r="M55" s="18" t="n">
        <f aca="false">PrecioVenta*H55</f>
        <v>4760000</v>
      </c>
      <c r="N55" s="18" t="n">
        <f aca="false">CostoUnitario*E55</f>
        <v>0</v>
      </c>
      <c r="O55" s="18" t="n">
        <f aca="false">IF(E55&gt;0,CostoPedido,0)</f>
        <v>0</v>
      </c>
      <c r="P55" s="18" t="n">
        <f aca="false">CostoAlm*(F55+J55)/2</f>
        <v>840</v>
      </c>
      <c r="Q55" s="18" t="n">
        <f aca="false">CostoFijo*D55</f>
        <v>0</v>
      </c>
      <c r="R55" s="18" t="n">
        <f aca="false">M55-N55-O55-P55-Q55</f>
        <v>4759160</v>
      </c>
      <c r="W55" s="5" t="n">
        <v>49</v>
      </c>
      <c r="X55" s="21" t="n">
        <v>104754080</v>
      </c>
      <c r="Y55" s="22" t="n">
        <v>0</v>
      </c>
      <c r="Z55" s="22" t="n">
        <v>0</v>
      </c>
    </row>
    <row r="56" customFormat="false" ht="15" hidden="false" customHeight="true" outlineLevel="0" collapsed="false">
      <c r="A56" s="5" t="n">
        <f aca="false">A55+1</f>
        <v>51</v>
      </c>
      <c r="B56" s="16" t="n">
        <f aca="false">B55+IF(WEEKDAY(B55,2)=6,2,1)</f>
        <v>46081</v>
      </c>
      <c r="C56" s="5" t="n">
        <f aca="false">MONTH(B56)</f>
        <v>2</v>
      </c>
      <c r="D56" s="5" t="n">
        <f aca="false">IF(C56&lt;&gt;C55,1,0)</f>
        <v>0</v>
      </c>
      <c r="E56" s="5" t="n">
        <f aca="false">IF(L55=1,CantPedido,0)</f>
        <v>0</v>
      </c>
      <c r="F56" s="5" t="n">
        <f aca="false">J55+E56</f>
        <v>7</v>
      </c>
      <c r="G56" s="5" t="n">
        <f aca="true">VLOOKUP(RAND(),TablaEmpirica,2,TRUE())</f>
        <v>5</v>
      </c>
      <c r="H56" s="5" t="n">
        <f aca="false">MIN(F56,G56)</f>
        <v>5</v>
      </c>
      <c r="I56" s="5" t="n">
        <f aca="false">G56-H56</f>
        <v>0</v>
      </c>
      <c r="J56" s="5" t="n">
        <f aca="false">F56-H56</f>
        <v>2</v>
      </c>
      <c r="K56" s="5" t="n">
        <f aca="false">IF(I56&gt;0,1,0)</f>
        <v>0</v>
      </c>
      <c r="L56" s="5" t="n">
        <f aca="false">IF(J56&lt;PuntoReorden,1,0)</f>
        <v>1</v>
      </c>
      <c r="M56" s="18" t="n">
        <f aca="false">PrecioVenta*H56</f>
        <v>3400000</v>
      </c>
      <c r="N56" s="18" t="n">
        <f aca="false">CostoUnitario*E56</f>
        <v>0</v>
      </c>
      <c r="O56" s="18" t="n">
        <f aca="false">IF(E56&gt;0,CostoPedido,0)</f>
        <v>0</v>
      </c>
      <c r="P56" s="18" t="n">
        <f aca="false">CostoAlm*(F56+J56)/2</f>
        <v>360</v>
      </c>
      <c r="Q56" s="18" t="n">
        <f aca="false">CostoFijo*D56</f>
        <v>0</v>
      </c>
      <c r="R56" s="18" t="n">
        <f aca="false">M56-N56-O56-P56-Q56</f>
        <v>3399640</v>
      </c>
      <c r="W56" s="5" t="n">
        <v>50</v>
      </c>
      <c r="X56" s="21" t="n">
        <v>104475160</v>
      </c>
      <c r="Y56" s="22" t="n">
        <v>0</v>
      </c>
      <c r="Z56" s="22" t="n">
        <v>0</v>
      </c>
    </row>
    <row r="57" customFormat="false" ht="15" hidden="false" customHeight="true" outlineLevel="0" collapsed="false">
      <c r="A57" s="5" t="n">
        <f aca="false">A56+1</f>
        <v>52</v>
      </c>
      <c r="B57" s="16" t="n">
        <f aca="false">B56+IF(WEEKDAY(B56,2)=6,2,1)</f>
        <v>46083</v>
      </c>
      <c r="C57" s="5" t="n">
        <f aca="false">MONTH(B57)</f>
        <v>3</v>
      </c>
      <c r="D57" s="5" t="n">
        <f aca="false">IF(C57&lt;&gt;C56,1,0)</f>
        <v>1</v>
      </c>
      <c r="E57" s="17" t="n">
        <f aca="false">IF(L56=1,CantPedido,0)</f>
        <v>15</v>
      </c>
      <c r="F57" s="5" t="n">
        <f aca="false">J56+E57</f>
        <v>17</v>
      </c>
      <c r="G57" s="5" t="n">
        <f aca="true">VLOOKUP(RAND(),TablaEmpirica,2,TRUE())</f>
        <v>5</v>
      </c>
      <c r="H57" s="5" t="n">
        <f aca="false">MIN(F57,G57)</f>
        <v>5</v>
      </c>
      <c r="I57" s="5" t="n">
        <f aca="false">G57-H57</f>
        <v>0</v>
      </c>
      <c r="J57" s="5" t="n">
        <f aca="false">F57-H57</f>
        <v>12</v>
      </c>
      <c r="K57" s="5" t="n">
        <f aca="false">IF(I57&gt;0,1,0)</f>
        <v>0</v>
      </c>
      <c r="L57" s="5" t="n">
        <f aca="false">IF(J57&lt;PuntoReorden,1,0)</f>
        <v>0</v>
      </c>
      <c r="M57" s="18" t="n">
        <f aca="false">PrecioVenta*H57</f>
        <v>3400000</v>
      </c>
      <c r="N57" s="18" t="n">
        <f aca="false">CostoUnitario*E57</f>
        <v>9000000</v>
      </c>
      <c r="O57" s="18" t="n">
        <f aca="false">IF(E57&gt;0,CostoPedido,0)</f>
        <v>40000</v>
      </c>
      <c r="P57" s="18" t="n">
        <f aca="false">CostoAlm*(F57+J57)/2</f>
        <v>1160</v>
      </c>
      <c r="Q57" s="18" t="n">
        <f aca="false">CostoFijo*D57</f>
        <v>1000000</v>
      </c>
      <c r="R57" s="18" t="n">
        <f aca="false">M57-N57-O57-P57-Q57</f>
        <v>-6641160</v>
      </c>
      <c r="W57" s="5" t="n">
        <v>51</v>
      </c>
      <c r="X57" s="21" t="n">
        <v>102911120</v>
      </c>
      <c r="Y57" s="22" t="n">
        <v>0</v>
      </c>
      <c r="Z57" s="22" t="n">
        <v>0</v>
      </c>
    </row>
    <row r="58" customFormat="false" ht="15" hidden="false" customHeight="true" outlineLevel="0" collapsed="false">
      <c r="A58" s="5" t="n">
        <f aca="false">A57+1</f>
        <v>53</v>
      </c>
      <c r="B58" s="16" t="n">
        <f aca="false">B57+IF(WEEKDAY(B57,2)=6,2,1)</f>
        <v>46084</v>
      </c>
      <c r="C58" s="5" t="n">
        <f aca="false">MONTH(B58)</f>
        <v>3</v>
      </c>
      <c r="D58" s="5" t="n">
        <f aca="false">IF(C58&lt;&gt;C57,1,0)</f>
        <v>0</v>
      </c>
      <c r="E58" s="5" t="n">
        <f aca="false">IF(L57=1,CantPedido,0)</f>
        <v>0</v>
      </c>
      <c r="F58" s="5" t="n">
        <f aca="false">J57+E58</f>
        <v>12</v>
      </c>
      <c r="G58" s="5" t="n">
        <f aca="true">VLOOKUP(RAND(),TablaEmpirica,2,TRUE())</f>
        <v>5</v>
      </c>
      <c r="H58" s="5" t="n">
        <f aca="false">MIN(F58,G58)</f>
        <v>5</v>
      </c>
      <c r="I58" s="5" t="n">
        <f aca="false">G58-H58</f>
        <v>0</v>
      </c>
      <c r="J58" s="5" t="n">
        <f aca="false">F58-H58</f>
        <v>7</v>
      </c>
      <c r="K58" s="5" t="n">
        <f aca="false">IF(I58&gt;0,1,0)</f>
        <v>0</v>
      </c>
      <c r="L58" s="5" t="n">
        <f aca="false">IF(J58&lt;PuntoReorden,1,0)</f>
        <v>0</v>
      </c>
      <c r="M58" s="18" t="n">
        <f aca="false">PrecioVenta*H58</f>
        <v>3400000</v>
      </c>
      <c r="N58" s="18" t="n">
        <f aca="false">CostoUnitario*E58</f>
        <v>0</v>
      </c>
      <c r="O58" s="18" t="n">
        <f aca="false">IF(E58&gt;0,CostoPedido,0)</f>
        <v>0</v>
      </c>
      <c r="P58" s="18" t="n">
        <f aca="false">CostoAlm*(F58+J58)/2</f>
        <v>760</v>
      </c>
      <c r="Q58" s="18" t="n">
        <f aca="false">CostoFijo*D58</f>
        <v>0</v>
      </c>
      <c r="R58" s="18" t="n">
        <f aca="false">M58-N58-O58-P58-Q58</f>
        <v>3399240</v>
      </c>
      <c r="W58" s="5" t="n">
        <v>52</v>
      </c>
      <c r="X58" s="21" t="n">
        <v>108233240</v>
      </c>
      <c r="Y58" s="22" t="n">
        <v>0</v>
      </c>
      <c r="Z58" s="22" t="n">
        <v>0</v>
      </c>
    </row>
    <row r="59" customFormat="false" ht="15" hidden="false" customHeight="true" outlineLevel="0" collapsed="false">
      <c r="A59" s="5" t="n">
        <f aca="false">A58+1</f>
        <v>54</v>
      </c>
      <c r="B59" s="16" t="n">
        <f aca="false">B58+IF(WEEKDAY(B58,2)=6,2,1)</f>
        <v>46085</v>
      </c>
      <c r="C59" s="5" t="n">
        <f aca="false">MONTH(B59)</f>
        <v>3</v>
      </c>
      <c r="D59" s="5" t="n">
        <f aca="false">IF(C59&lt;&gt;C58,1,0)</f>
        <v>0</v>
      </c>
      <c r="E59" s="5" t="n">
        <f aca="false">IF(L58=1,CantPedido,0)</f>
        <v>0</v>
      </c>
      <c r="F59" s="5" t="n">
        <f aca="false">J58+E59</f>
        <v>7</v>
      </c>
      <c r="G59" s="5" t="n">
        <f aca="true">VLOOKUP(RAND(),TablaEmpirica,2,TRUE())</f>
        <v>5</v>
      </c>
      <c r="H59" s="5" t="n">
        <f aca="false">MIN(F59,G59)</f>
        <v>5</v>
      </c>
      <c r="I59" s="5" t="n">
        <f aca="false">G59-H59</f>
        <v>0</v>
      </c>
      <c r="J59" s="5" t="n">
        <f aca="false">F59-H59</f>
        <v>2</v>
      </c>
      <c r="K59" s="5" t="n">
        <f aca="false">IF(I59&gt;0,1,0)</f>
        <v>0</v>
      </c>
      <c r="L59" s="5" t="n">
        <f aca="false">IF(J59&lt;PuntoReorden,1,0)</f>
        <v>1</v>
      </c>
      <c r="M59" s="18" t="n">
        <f aca="false">PrecioVenta*H59</f>
        <v>3400000</v>
      </c>
      <c r="N59" s="18" t="n">
        <f aca="false">CostoUnitario*E59</f>
        <v>0</v>
      </c>
      <c r="O59" s="18" t="n">
        <f aca="false">IF(E59&gt;0,CostoPedido,0)</f>
        <v>0</v>
      </c>
      <c r="P59" s="18" t="n">
        <f aca="false">CostoAlm*(F59+J59)/2</f>
        <v>360</v>
      </c>
      <c r="Q59" s="18" t="n">
        <f aca="false">CostoFijo*D59</f>
        <v>0</v>
      </c>
      <c r="R59" s="18" t="n">
        <f aca="false">M59-N59-O59-P59-Q59</f>
        <v>3399640</v>
      </c>
      <c r="W59" s="5" t="n">
        <v>53</v>
      </c>
      <c r="X59" s="21" t="n">
        <v>103791120</v>
      </c>
      <c r="Y59" s="22" t="n">
        <v>0</v>
      </c>
      <c r="Z59" s="22" t="n">
        <v>0</v>
      </c>
    </row>
    <row r="60" customFormat="false" ht="15" hidden="false" customHeight="true" outlineLevel="0" collapsed="false">
      <c r="A60" s="5" t="n">
        <f aca="false">A59+1</f>
        <v>55</v>
      </c>
      <c r="B60" s="16" t="n">
        <f aca="false">B59+IF(WEEKDAY(B59,2)=6,2,1)</f>
        <v>46086</v>
      </c>
      <c r="C60" s="5" t="n">
        <f aca="false">MONTH(B60)</f>
        <v>3</v>
      </c>
      <c r="D60" s="5" t="n">
        <f aca="false">IF(C60&lt;&gt;C59,1,0)</f>
        <v>0</v>
      </c>
      <c r="E60" s="17" t="n">
        <f aca="false">IF(L59=1,CantPedido,0)</f>
        <v>15</v>
      </c>
      <c r="F60" s="5" t="n">
        <f aca="false">J59+E60</f>
        <v>17</v>
      </c>
      <c r="G60" s="5" t="n">
        <f aca="true">VLOOKUP(RAND(),TablaEmpirica,2,TRUE())</f>
        <v>6</v>
      </c>
      <c r="H60" s="5" t="n">
        <f aca="false">MIN(F60,G60)</f>
        <v>6</v>
      </c>
      <c r="I60" s="5" t="n">
        <f aca="false">G60-H60</f>
        <v>0</v>
      </c>
      <c r="J60" s="5" t="n">
        <f aca="false">F60-H60</f>
        <v>11</v>
      </c>
      <c r="K60" s="5" t="n">
        <f aca="false">IF(I60&gt;0,1,0)</f>
        <v>0</v>
      </c>
      <c r="L60" s="5" t="n">
        <f aca="false">IF(J60&lt;PuntoReorden,1,0)</f>
        <v>0</v>
      </c>
      <c r="M60" s="18" t="n">
        <f aca="false">PrecioVenta*H60</f>
        <v>4080000</v>
      </c>
      <c r="N60" s="18" t="n">
        <f aca="false">CostoUnitario*E60</f>
        <v>9000000</v>
      </c>
      <c r="O60" s="18" t="n">
        <f aca="false">IF(E60&gt;0,CostoPedido,0)</f>
        <v>40000</v>
      </c>
      <c r="P60" s="18" t="n">
        <f aca="false">CostoAlm*(F60+J60)/2</f>
        <v>1120</v>
      </c>
      <c r="Q60" s="18" t="n">
        <f aca="false">CostoFijo*D60</f>
        <v>0</v>
      </c>
      <c r="R60" s="18" t="n">
        <f aca="false">M60-N60-O60-P60-Q60</f>
        <v>-4961120</v>
      </c>
      <c r="W60" s="5" t="n">
        <v>54</v>
      </c>
      <c r="X60" s="21" t="n">
        <v>99312320</v>
      </c>
      <c r="Y60" s="22" t="n">
        <v>0</v>
      </c>
      <c r="Z60" s="22" t="n">
        <v>0</v>
      </c>
    </row>
    <row r="61" customFormat="false" ht="15" hidden="false" customHeight="true" outlineLevel="0" collapsed="false">
      <c r="A61" s="5" t="n">
        <f aca="false">A60+1</f>
        <v>56</v>
      </c>
      <c r="B61" s="16" t="n">
        <f aca="false">B60+IF(WEEKDAY(B60,2)=6,2,1)</f>
        <v>46087</v>
      </c>
      <c r="C61" s="5" t="n">
        <f aca="false">MONTH(B61)</f>
        <v>3</v>
      </c>
      <c r="D61" s="5" t="n">
        <f aca="false">IF(C61&lt;&gt;C60,1,0)</f>
        <v>0</v>
      </c>
      <c r="E61" s="5" t="n">
        <f aca="false">IF(L60=1,CantPedido,0)</f>
        <v>0</v>
      </c>
      <c r="F61" s="5" t="n">
        <f aca="false">J60+E61</f>
        <v>11</v>
      </c>
      <c r="G61" s="5" t="n">
        <f aca="true">VLOOKUP(RAND(),TablaEmpirica,2,TRUE())</f>
        <v>5</v>
      </c>
      <c r="H61" s="5" t="n">
        <f aca="false">MIN(F61,G61)</f>
        <v>5</v>
      </c>
      <c r="I61" s="5" t="n">
        <f aca="false">G61-H61</f>
        <v>0</v>
      </c>
      <c r="J61" s="5" t="n">
        <f aca="false">F61-H61</f>
        <v>6</v>
      </c>
      <c r="K61" s="5" t="n">
        <f aca="false">IF(I61&gt;0,1,0)</f>
        <v>0</v>
      </c>
      <c r="L61" s="5" t="n">
        <f aca="false">IF(J61&lt;PuntoReorden,1,0)</f>
        <v>1</v>
      </c>
      <c r="M61" s="18" t="n">
        <f aca="false">PrecioVenta*H61</f>
        <v>3400000</v>
      </c>
      <c r="N61" s="18" t="n">
        <f aca="false">CostoUnitario*E61</f>
        <v>0</v>
      </c>
      <c r="O61" s="18" t="n">
        <f aca="false">IF(E61&gt;0,CostoPedido,0)</f>
        <v>0</v>
      </c>
      <c r="P61" s="18" t="n">
        <f aca="false">CostoAlm*(F61+J61)/2</f>
        <v>680</v>
      </c>
      <c r="Q61" s="18" t="n">
        <f aca="false">CostoFijo*D61</f>
        <v>0</v>
      </c>
      <c r="R61" s="18" t="n">
        <f aca="false">M61-N61-O61-P61-Q61</f>
        <v>3399320</v>
      </c>
      <c r="W61" s="5" t="n">
        <v>55</v>
      </c>
      <c r="X61" s="21" t="n">
        <v>105227200</v>
      </c>
      <c r="Y61" s="22" t="n">
        <v>0</v>
      </c>
      <c r="Z61" s="22" t="n">
        <v>0</v>
      </c>
    </row>
    <row r="62" customFormat="false" ht="15" hidden="false" customHeight="true" outlineLevel="0" collapsed="false">
      <c r="A62" s="5" t="n">
        <f aca="false">A61+1</f>
        <v>57</v>
      </c>
      <c r="B62" s="16" t="n">
        <f aca="false">B61+IF(WEEKDAY(B61,2)=6,2,1)</f>
        <v>46088</v>
      </c>
      <c r="C62" s="5" t="n">
        <f aca="false">MONTH(B62)</f>
        <v>3</v>
      </c>
      <c r="D62" s="5" t="n">
        <f aca="false">IF(C62&lt;&gt;C61,1,0)</f>
        <v>0</v>
      </c>
      <c r="E62" s="17" t="n">
        <f aca="false">IF(L61=1,CantPedido,0)</f>
        <v>15</v>
      </c>
      <c r="F62" s="5" t="n">
        <f aca="false">J61+E62</f>
        <v>21</v>
      </c>
      <c r="G62" s="5" t="n">
        <f aca="true">VLOOKUP(RAND(),TablaEmpirica,2,TRUE())</f>
        <v>7</v>
      </c>
      <c r="H62" s="5" t="n">
        <f aca="false">MIN(F62,G62)</f>
        <v>7</v>
      </c>
      <c r="I62" s="5" t="n">
        <f aca="false">G62-H62</f>
        <v>0</v>
      </c>
      <c r="J62" s="5" t="n">
        <f aca="false">F62-H62</f>
        <v>14</v>
      </c>
      <c r="K62" s="5" t="n">
        <f aca="false">IF(I62&gt;0,1,0)</f>
        <v>0</v>
      </c>
      <c r="L62" s="5" t="n">
        <f aca="false">IF(J62&lt;PuntoReorden,1,0)</f>
        <v>0</v>
      </c>
      <c r="M62" s="18" t="n">
        <f aca="false">PrecioVenta*H62</f>
        <v>4760000</v>
      </c>
      <c r="N62" s="18" t="n">
        <f aca="false">CostoUnitario*E62</f>
        <v>9000000</v>
      </c>
      <c r="O62" s="18" t="n">
        <f aca="false">IF(E62&gt;0,CostoPedido,0)</f>
        <v>40000</v>
      </c>
      <c r="P62" s="18" t="n">
        <f aca="false">CostoAlm*(F62+J62)/2</f>
        <v>1400</v>
      </c>
      <c r="Q62" s="18" t="n">
        <f aca="false">CostoFijo*D62</f>
        <v>0</v>
      </c>
      <c r="R62" s="18" t="n">
        <f aca="false">M62-N62-O62-P62-Q62</f>
        <v>-4281400</v>
      </c>
      <c r="W62" s="5" t="n">
        <v>56</v>
      </c>
      <c r="X62" s="21" t="n">
        <v>106312680</v>
      </c>
      <c r="Y62" s="22" t="n">
        <v>0</v>
      </c>
      <c r="Z62" s="22" t="n">
        <v>0</v>
      </c>
    </row>
    <row r="63" customFormat="false" ht="15" hidden="false" customHeight="true" outlineLevel="0" collapsed="false">
      <c r="A63" s="5" t="n">
        <f aca="false">A62+1</f>
        <v>58</v>
      </c>
      <c r="B63" s="16" t="n">
        <f aca="false">B62+IF(WEEKDAY(B62,2)=6,2,1)</f>
        <v>46090</v>
      </c>
      <c r="C63" s="5" t="n">
        <f aca="false">MONTH(B63)</f>
        <v>3</v>
      </c>
      <c r="D63" s="5" t="n">
        <f aca="false">IF(C63&lt;&gt;C62,1,0)</f>
        <v>0</v>
      </c>
      <c r="E63" s="17" t="n">
        <f aca="false">IF(L62=1,CantPedido,0)</f>
        <v>0</v>
      </c>
      <c r="F63" s="5" t="n">
        <f aca="false">J62+E63</f>
        <v>14</v>
      </c>
      <c r="G63" s="5" t="n">
        <f aca="true">VLOOKUP(RAND(),TablaEmpirica,2,TRUE())</f>
        <v>5</v>
      </c>
      <c r="H63" s="5" t="n">
        <f aca="false">MIN(F63,G63)</f>
        <v>5</v>
      </c>
      <c r="I63" s="5" t="n">
        <f aca="false">G63-H63</f>
        <v>0</v>
      </c>
      <c r="J63" s="5" t="n">
        <f aca="false">F63-H63</f>
        <v>9</v>
      </c>
      <c r="K63" s="5" t="n">
        <f aca="false">IF(I63&gt;0,1,0)</f>
        <v>0</v>
      </c>
      <c r="L63" s="5" t="n">
        <f aca="false">IF(J63&lt;PuntoReorden,1,0)</f>
        <v>0</v>
      </c>
      <c r="M63" s="18" t="n">
        <f aca="false">PrecioVenta*H63</f>
        <v>3400000</v>
      </c>
      <c r="N63" s="18" t="n">
        <f aca="false">CostoUnitario*E63</f>
        <v>0</v>
      </c>
      <c r="O63" s="18" t="n">
        <f aca="false">IF(E63&gt;0,CostoPedido,0)</f>
        <v>0</v>
      </c>
      <c r="P63" s="18" t="n">
        <f aca="false">CostoAlm*(F63+J63)/2</f>
        <v>920</v>
      </c>
      <c r="Q63" s="18" t="n">
        <f aca="false">CostoFijo*D63</f>
        <v>0</v>
      </c>
      <c r="R63" s="18" t="n">
        <f aca="false">M63-N63-O63-P63-Q63</f>
        <v>3399080</v>
      </c>
      <c r="W63" s="5" t="n">
        <v>57</v>
      </c>
      <c r="X63" s="21" t="n">
        <v>100472520</v>
      </c>
      <c r="Y63" s="22" t="n">
        <v>0</v>
      </c>
      <c r="Z63" s="22" t="n">
        <v>0</v>
      </c>
    </row>
    <row r="64" customFormat="false" ht="15" hidden="false" customHeight="true" outlineLevel="0" collapsed="false">
      <c r="A64" s="5" t="n">
        <f aca="false">A63+1</f>
        <v>59</v>
      </c>
      <c r="B64" s="16" t="n">
        <f aca="false">B63+IF(WEEKDAY(B63,2)=6,2,1)</f>
        <v>46091</v>
      </c>
      <c r="C64" s="5" t="n">
        <f aca="false">MONTH(B64)</f>
        <v>3</v>
      </c>
      <c r="D64" s="5" t="n">
        <f aca="false">IF(C64&lt;&gt;C63,1,0)</f>
        <v>0</v>
      </c>
      <c r="E64" s="5" t="n">
        <f aca="false">IF(L63=1,CantPedido,0)</f>
        <v>0</v>
      </c>
      <c r="F64" s="5" t="n">
        <f aca="false">J63+E64</f>
        <v>9</v>
      </c>
      <c r="G64" s="5" t="n">
        <f aca="true">VLOOKUP(RAND(),TablaEmpirica,2,TRUE())</f>
        <v>6</v>
      </c>
      <c r="H64" s="5" t="n">
        <f aca="false">MIN(F64,G64)</f>
        <v>6</v>
      </c>
      <c r="I64" s="5" t="n">
        <f aca="false">G64-H64</f>
        <v>0</v>
      </c>
      <c r="J64" s="5" t="n">
        <f aca="false">F64-H64</f>
        <v>3</v>
      </c>
      <c r="K64" s="5" t="n">
        <f aca="false">IF(I64&gt;0,1,0)</f>
        <v>0</v>
      </c>
      <c r="L64" s="5" t="n">
        <f aca="false">IF(J64&lt;PuntoReorden,1,0)</f>
        <v>1</v>
      </c>
      <c r="M64" s="18" t="n">
        <f aca="false">PrecioVenta*H64</f>
        <v>4080000</v>
      </c>
      <c r="N64" s="18" t="n">
        <f aca="false">CostoUnitario*E64</f>
        <v>0</v>
      </c>
      <c r="O64" s="18" t="n">
        <f aca="false">IF(E64&gt;0,CostoPedido,0)</f>
        <v>0</v>
      </c>
      <c r="P64" s="18" t="n">
        <f aca="false">CostoAlm*(F64+J64)/2</f>
        <v>480</v>
      </c>
      <c r="Q64" s="18" t="n">
        <f aca="false">CostoFijo*D64</f>
        <v>0</v>
      </c>
      <c r="R64" s="18" t="n">
        <f aca="false">M64-N64-O64-P64-Q64</f>
        <v>4079520</v>
      </c>
      <c r="W64" s="5" t="n">
        <v>58</v>
      </c>
      <c r="X64" s="21" t="n">
        <v>107473840</v>
      </c>
      <c r="Y64" s="22" t="n">
        <v>0</v>
      </c>
      <c r="Z64" s="22" t="n">
        <v>0</v>
      </c>
    </row>
    <row r="65" customFormat="false" ht="15" hidden="false" customHeight="true" outlineLevel="0" collapsed="false">
      <c r="A65" s="5" t="n">
        <f aca="false">A64+1</f>
        <v>60</v>
      </c>
      <c r="B65" s="16" t="n">
        <f aca="false">B64+IF(WEEKDAY(B64,2)=6,2,1)</f>
        <v>46092</v>
      </c>
      <c r="C65" s="5" t="n">
        <f aca="false">MONTH(B65)</f>
        <v>3</v>
      </c>
      <c r="D65" s="5" t="n">
        <f aca="false">IF(C65&lt;&gt;C64,1,0)</f>
        <v>0</v>
      </c>
      <c r="E65" s="17" t="n">
        <f aca="false">IF(L64=1,CantPedido,0)</f>
        <v>15</v>
      </c>
      <c r="F65" s="5" t="n">
        <f aca="false">J64+E65</f>
        <v>18</v>
      </c>
      <c r="G65" s="5" t="n">
        <f aca="true">VLOOKUP(RAND(),TablaEmpirica,2,TRUE())</f>
        <v>5</v>
      </c>
      <c r="H65" s="5" t="n">
        <f aca="false">MIN(F65,G65)</f>
        <v>5</v>
      </c>
      <c r="I65" s="5" t="n">
        <f aca="false">G65-H65</f>
        <v>0</v>
      </c>
      <c r="J65" s="5" t="n">
        <f aca="false">F65-H65</f>
        <v>13</v>
      </c>
      <c r="K65" s="5" t="n">
        <f aca="false">IF(I65&gt;0,1,0)</f>
        <v>0</v>
      </c>
      <c r="L65" s="5" t="n">
        <f aca="false">IF(J65&lt;PuntoReorden,1,0)</f>
        <v>0</v>
      </c>
      <c r="M65" s="18" t="n">
        <f aca="false">PrecioVenta*H65</f>
        <v>3400000</v>
      </c>
      <c r="N65" s="18" t="n">
        <f aca="false">CostoUnitario*E65</f>
        <v>9000000</v>
      </c>
      <c r="O65" s="18" t="n">
        <f aca="false">IF(E65&gt;0,CostoPedido,0)</f>
        <v>40000</v>
      </c>
      <c r="P65" s="18" t="n">
        <f aca="false">CostoAlm*(F65+J65)/2</f>
        <v>1240</v>
      </c>
      <c r="Q65" s="18" t="n">
        <f aca="false">CostoFijo*D65</f>
        <v>0</v>
      </c>
      <c r="R65" s="18" t="n">
        <f aca="false">M65-N65-O65-P65-Q65</f>
        <v>-5641240</v>
      </c>
      <c r="W65" s="5" t="n">
        <v>59</v>
      </c>
      <c r="X65" s="21" t="n">
        <v>101153520</v>
      </c>
      <c r="Y65" s="22" t="n">
        <v>0</v>
      </c>
      <c r="Z65" s="22" t="n">
        <v>0</v>
      </c>
    </row>
    <row r="66" customFormat="false" ht="15" hidden="false" customHeight="true" outlineLevel="0" collapsed="false">
      <c r="A66" s="5" t="n">
        <f aca="false">A65+1</f>
        <v>61</v>
      </c>
      <c r="B66" s="16" t="n">
        <f aca="false">B65+IF(WEEKDAY(B65,2)=6,2,1)</f>
        <v>46093</v>
      </c>
      <c r="C66" s="5" t="n">
        <f aca="false">MONTH(B66)</f>
        <v>3</v>
      </c>
      <c r="D66" s="5" t="n">
        <f aca="false">IF(C66&lt;&gt;C65,1,0)</f>
        <v>0</v>
      </c>
      <c r="E66" s="5" t="n">
        <f aca="false">IF(L65=1,CantPedido,0)</f>
        <v>0</v>
      </c>
      <c r="F66" s="5" t="n">
        <f aca="false">J65+E66</f>
        <v>13</v>
      </c>
      <c r="G66" s="5" t="n">
        <f aca="true">VLOOKUP(RAND(),TablaEmpirica,2,TRUE())</f>
        <v>6</v>
      </c>
      <c r="H66" s="5" t="n">
        <f aca="false">MIN(F66,G66)</f>
        <v>6</v>
      </c>
      <c r="I66" s="5" t="n">
        <f aca="false">G66-H66</f>
        <v>0</v>
      </c>
      <c r="J66" s="5" t="n">
        <f aca="false">F66-H66</f>
        <v>7</v>
      </c>
      <c r="K66" s="5" t="n">
        <f aca="false">IF(I66&gt;0,1,0)</f>
        <v>0</v>
      </c>
      <c r="L66" s="5" t="n">
        <f aca="false">IF(J66&lt;PuntoReorden,1,0)</f>
        <v>0</v>
      </c>
      <c r="M66" s="18" t="n">
        <f aca="false">PrecioVenta*H66</f>
        <v>4080000</v>
      </c>
      <c r="N66" s="18" t="n">
        <f aca="false">CostoUnitario*E66</f>
        <v>0</v>
      </c>
      <c r="O66" s="18" t="n">
        <f aca="false">IF(E66&gt;0,CostoPedido,0)</f>
        <v>0</v>
      </c>
      <c r="P66" s="18" t="n">
        <f aca="false">CostoAlm*(F66+J66)/2</f>
        <v>800</v>
      </c>
      <c r="Q66" s="18" t="n">
        <f aca="false">CostoFijo*D66</f>
        <v>0</v>
      </c>
      <c r="R66" s="18" t="n">
        <f aca="false">M66-N66-O66-P66-Q66</f>
        <v>4079200</v>
      </c>
      <c r="W66" s="5" t="n">
        <v>60</v>
      </c>
      <c r="X66" s="21" t="n">
        <v>101837320</v>
      </c>
      <c r="Y66" s="22" t="n">
        <v>0</v>
      </c>
      <c r="Z66" s="22" t="n">
        <v>0</v>
      </c>
    </row>
    <row r="67" customFormat="false" ht="15" hidden="false" customHeight="true" outlineLevel="0" collapsed="false">
      <c r="A67" s="5" t="n">
        <f aca="false">A66+1</f>
        <v>62</v>
      </c>
      <c r="B67" s="16" t="n">
        <f aca="false">B66+IF(WEEKDAY(B66,2)=6,2,1)</f>
        <v>46094</v>
      </c>
      <c r="C67" s="5" t="n">
        <f aca="false">MONTH(B67)</f>
        <v>3</v>
      </c>
      <c r="D67" s="5" t="n">
        <f aca="false">IF(C67&lt;&gt;C66,1,0)</f>
        <v>0</v>
      </c>
      <c r="E67" s="17" t="n">
        <f aca="false">IF(L66=1,CantPedido,0)</f>
        <v>0</v>
      </c>
      <c r="F67" s="5" t="n">
        <f aca="false">J66+E67</f>
        <v>7</v>
      </c>
      <c r="G67" s="5" t="n">
        <f aca="true">VLOOKUP(RAND(),TablaEmpirica,2,TRUE())</f>
        <v>5</v>
      </c>
      <c r="H67" s="5" t="n">
        <f aca="false">MIN(F67,G67)</f>
        <v>5</v>
      </c>
      <c r="I67" s="5" t="n">
        <f aca="false">G67-H67</f>
        <v>0</v>
      </c>
      <c r="J67" s="5" t="n">
        <f aca="false">F67-H67</f>
        <v>2</v>
      </c>
      <c r="K67" s="5" t="n">
        <f aca="false">IF(I67&gt;0,1,0)</f>
        <v>0</v>
      </c>
      <c r="L67" s="5" t="n">
        <f aca="false">IF(J67&lt;PuntoReorden,1,0)</f>
        <v>1</v>
      </c>
      <c r="M67" s="18" t="n">
        <f aca="false">PrecioVenta*H67</f>
        <v>3400000</v>
      </c>
      <c r="N67" s="18" t="n">
        <f aca="false">CostoUnitario*E67</f>
        <v>0</v>
      </c>
      <c r="O67" s="18" t="n">
        <f aca="false">IF(E67&gt;0,CostoPedido,0)</f>
        <v>0</v>
      </c>
      <c r="P67" s="18" t="n">
        <f aca="false">CostoAlm*(F67+J67)/2</f>
        <v>360</v>
      </c>
      <c r="Q67" s="18" t="n">
        <f aca="false">CostoFijo*D67</f>
        <v>0</v>
      </c>
      <c r="R67" s="18" t="n">
        <f aca="false">M67-N67-O67-P67-Q67</f>
        <v>3399640</v>
      </c>
      <c r="W67" s="5" t="n">
        <v>61</v>
      </c>
      <c r="X67" s="21" t="n">
        <v>102504800</v>
      </c>
      <c r="Y67" s="22" t="n">
        <v>0</v>
      </c>
      <c r="Z67" s="22" t="n">
        <v>0</v>
      </c>
    </row>
    <row r="68" customFormat="false" ht="15" hidden="false" customHeight="true" outlineLevel="0" collapsed="false">
      <c r="A68" s="5" t="n">
        <f aca="false">A67+1</f>
        <v>63</v>
      </c>
      <c r="B68" s="16" t="n">
        <f aca="false">B67+IF(WEEKDAY(B67,2)=6,2,1)</f>
        <v>46095</v>
      </c>
      <c r="C68" s="5" t="n">
        <f aca="false">MONTH(B68)</f>
        <v>3</v>
      </c>
      <c r="D68" s="5" t="n">
        <f aca="false">IF(C68&lt;&gt;C67,1,0)</f>
        <v>0</v>
      </c>
      <c r="E68" s="17" t="n">
        <f aca="false">IF(L67=1,CantPedido,0)</f>
        <v>15</v>
      </c>
      <c r="F68" s="5" t="n">
        <f aca="false">J67+E68</f>
        <v>17</v>
      </c>
      <c r="G68" s="5" t="n">
        <f aca="true">VLOOKUP(RAND(),TablaEmpirica,2,TRUE())</f>
        <v>3</v>
      </c>
      <c r="H68" s="5" t="n">
        <f aca="false">MIN(F68,G68)</f>
        <v>3</v>
      </c>
      <c r="I68" s="5" t="n">
        <f aca="false">G68-H68</f>
        <v>0</v>
      </c>
      <c r="J68" s="5" t="n">
        <f aca="false">F68-H68</f>
        <v>14</v>
      </c>
      <c r="K68" s="5" t="n">
        <f aca="false">IF(I68&gt;0,1,0)</f>
        <v>0</v>
      </c>
      <c r="L68" s="5" t="n">
        <f aca="false">IF(J68&lt;PuntoReorden,1,0)</f>
        <v>0</v>
      </c>
      <c r="M68" s="18" t="n">
        <f aca="false">PrecioVenta*H68</f>
        <v>2040000</v>
      </c>
      <c r="N68" s="18" t="n">
        <f aca="false">CostoUnitario*E68</f>
        <v>9000000</v>
      </c>
      <c r="O68" s="18" t="n">
        <f aca="false">IF(E68&gt;0,CostoPedido,0)</f>
        <v>40000</v>
      </c>
      <c r="P68" s="18" t="n">
        <f aca="false">CostoAlm*(F68+J68)/2</f>
        <v>1240</v>
      </c>
      <c r="Q68" s="18" t="n">
        <f aca="false">CostoFijo*D68</f>
        <v>0</v>
      </c>
      <c r="R68" s="18" t="n">
        <f aca="false">M68-N68-O68-P68-Q68</f>
        <v>-7001240</v>
      </c>
      <c r="W68" s="5" t="n">
        <v>62</v>
      </c>
      <c r="X68" s="21" t="n">
        <v>102501120</v>
      </c>
      <c r="Y68" s="22" t="n">
        <v>0</v>
      </c>
      <c r="Z68" s="22" t="n">
        <v>0</v>
      </c>
    </row>
    <row r="69" customFormat="false" ht="15" hidden="false" customHeight="true" outlineLevel="0" collapsed="false">
      <c r="A69" s="5" t="n">
        <f aca="false">A68+1</f>
        <v>64</v>
      </c>
      <c r="B69" s="16" t="n">
        <f aca="false">B68+IF(WEEKDAY(B68,2)=6,2,1)</f>
        <v>46097</v>
      </c>
      <c r="C69" s="5" t="n">
        <f aca="false">MONTH(B69)</f>
        <v>3</v>
      </c>
      <c r="D69" s="5" t="n">
        <f aca="false">IF(C69&lt;&gt;C68,1,0)</f>
        <v>0</v>
      </c>
      <c r="E69" s="5" t="n">
        <f aca="false">IF(L68=1,CantPedido,0)</f>
        <v>0</v>
      </c>
      <c r="F69" s="5" t="n">
        <f aca="false">J68+E69</f>
        <v>14</v>
      </c>
      <c r="G69" s="5" t="n">
        <f aca="true">VLOOKUP(RAND(),TablaEmpirica,2,TRUE())</f>
        <v>3</v>
      </c>
      <c r="H69" s="5" t="n">
        <f aca="false">MIN(F69,G69)</f>
        <v>3</v>
      </c>
      <c r="I69" s="5" t="n">
        <f aca="false">G69-H69</f>
        <v>0</v>
      </c>
      <c r="J69" s="5" t="n">
        <f aca="false">F69-H69</f>
        <v>11</v>
      </c>
      <c r="K69" s="5" t="n">
        <f aca="false">IF(I69&gt;0,1,0)</f>
        <v>0</v>
      </c>
      <c r="L69" s="5" t="n">
        <f aca="false">IF(J69&lt;PuntoReorden,1,0)</f>
        <v>0</v>
      </c>
      <c r="M69" s="18" t="n">
        <f aca="false">PrecioVenta*H69</f>
        <v>2040000</v>
      </c>
      <c r="N69" s="18" t="n">
        <f aca="false">CostoUnitario*E69</f>
        <v>0</v>
      </c>
      <c r="O69" s="18" t="n">
        <f aca="false">IF(E69&gt;0,CostoPedido,0)</f>
        <v>0</v>
      </c>
      <c r="P69" s="18" t="n">
        <f aca="false">CostoAlm*(F69+J69)/2</f>
        <v>1000</v>
      </c>
      <c r="Q69" s="18" t="n">
        <f aca="false">CostoFijo*D69</f>
        <v>0</v>
      </c>
      <c r="R69" s="18" t="n">
        <f aca="false">M69-N69-O69-P69-Q69</f>
        <v>2039000</v>
      </c>
      <c r="W69" s="5" t="n">
        <v>63</v>
      </c>
      <c r="X69" s="21" t="n">
        <v>102028880</v>
      </c>
      <c r="Y69" s="22" t="n">
        <v>0</v>
      </c>
      <c r="Z69" s="22" t="n">
        <v>0</v>
      </c>
    </row>
    <row r="70" customFormat="false" ht="15" hidden="false" customHeight="true" outlineLevel="0" collapsed="false">
      <c r="A70" s="5" t="n">
        <f aca="false">A69+1</f>
        <v>65</v>
      </c>
      <c r="B70" s="16" t="n">
        <f aca="false">B69+IF(WEEKDAY(B69,2)=6,2,1)</f>
        <v>46098</v>
      </c>
      <c r="C70" s="5" t="n">
        <f aca="false">MONTH(B70)</f>
        <v>3</v>
      </c>
      <c r="D70" s="5" t="n">
        <f aca="false">IF(C70&lt;&gt;C69,1,0)</f>
        <v>0</v>
      </c>
      <c r="E70" s="17" t="n">
        <f aca="false">IF(L69=1,CantPedido,0)</f>
        <v>0</v>
      </c>
      <c r="F70" s="5" t="n">
        <f aca="false">J69+E70</f>
        <v>11</v>
      </c>
      <c r="G70" s="5" t="n">
        <f aca="true">VLOOKUP(RAND(),TablaEmpirica,2,TRUE())</f>
        <v>5</v>
      </c>
      <c r="H70" s="5" t="n">
        <f aca="false">MIN(F70,G70)</f>
        <v>5</v>
      </c>
      <c r="I70" s="5" t="n">
        <f aca="false">G70-H70</f>
        <v>0</v>
      </c>
      <c r="J70" s="5" t="n">
        <f aca="false">F70-H70</f>
        <v>6</v>
      </c>
      <c r="K70" s="5" t="n">
        <f aca="false">IF(I70&gt;0,1,0)</f>
        <v>0</v>
      </c>
      <c r="L70" s="5" t="n">
        <f aca="false">IF(J70&lt;PuntoReorden,1,0)</f>
        <v>1</v>
      </c>
      <c r="M70" s="18" t="n">
        <f aca="false">PrecioVenta*H70</f>
        <v>3400000</v>
      </c>
      <c r="N70" s="18" t="n">
        <f aca="false">CostoUnitario*E70</f>
        <v>0</v>
      </c>
      <c r="O70" s="18" t="n">
        <f aca="false">IF(E70&gt;0,CostoPedido,0)</f>
        <v>0</v>
      </c>
      <c r="P70" s="18" t="n">
        <f aca="false">CostoAlm*(F70+J70)/2</f>
        <v>680</v>
      </c>
      <c r="Q70" s="18" t="n">
        <f aca="false">CostoFijo*D70</f>
        <v>0</v>
      </c>
      <c r="R70" s="18" t="n">
        <f aca="false">M70-N70-O70-P70-Q70</f>
        <v>3399320</v>
      </c>
      <c r="W70" s="5" t="n">
        <v>64</v>
      </c>
      <c r="X70" s="21" t="n">
        <v>104075480</v>
      </c>
      <c r="Y70" s="22" t="n">
        <v>0</v>
      </c>
      <c r="Z70" s="22" t="n">
        <v>0</v>
      </c>
    </row>
    <row r="71" customFormat="false" ht="15" hidden="false" customHeight="true" outlineLevel="0" collapsed="false">
      <c r="A71" s="5" t="n">
        <f aca="false">A70+1</f>
        <v>66</v>
      </c>
      <c r="B71" s="16" t="n">
        <f aca="false">B70+IF(WEEKDAY(B70,2)=6,2,1)</f>
        <v>46099</v>
      </c>
      <c r="C71" s="5" t="n">
        <f aca="false">MONTH(B71)</f>
        <v>3</v>
      </c>
      <c r="D71" s="5" t="n">
        <f aca="false">IF(C71&lt;&gt;C70,1,0)</f>
        <v>0</v>
      </c>
      <c r="E71" s="17" t="n">
        <f aca="false">IF(L70=1,CantPedido,0)</f>
        <v>15</v>
      </c>
      <c r="F71" s="5" t="n">
        <f aca="false">J70+E71</f>
        <v>21</v>
      </c>
      <c r="G71" s="5" t="n">
        <f aca="true">VLOOKUP(RAND(),TablaEmpirica,2,TRUE())</f>
        <v>7</v>
      </c>
      <c r="H71" s="5" t="n">
        <f aca="false">MIN(F71,G71)</f>
        <v>7</v>
      </c>
      <c r="I71" s="5" t="n">
        <f aca="false">G71-H71</f>
        <v>0</v>
      </c>
      <c r="J71" s="5" t="n">
        <f aca="false">F71-H71</f>
        <v>14</v>
      </c>
      <c r="K71" s="5" t="n">
        <f aca="false">IF(I71&gt;0,1,0)</f>
        <v>0</v>
      </c>
      <c r="L71" s="5" t="n">
        <f aca="false">IF(J71&lt;PuntoReorden,1,0)</f>
        <v>0</v>
      </c>
      <c r="M71" s="18" t="n">
        <f aca="false">PrecioVenta*H71</f>
        <v>4760000</v>
      </c>
      <c r="N71" s="18" t="n">
        <f aca="false">CostoUnitario*E71</f>
        <v>9000000</v>
      </c>
      <c r="O71" s="18" t="n">
        <f aca="false">IF(E71&gt;0,CostoPedido,0)</f>
        <v>40000</v>
      </c>
      <c r="P71" s="18" t="n">
        <f aca="false">CostoAlm*(F71+J71)/2</f>
        <v>1400</v>
      </c>
      <c r="Q71" s="18" t="n">
        <f aca="false">CostoFijo*D71</f>
        <v>0</v>
      </c>
      <c r="R71" s="18" t="n">
        <f aca="false">M71-N71-O71-P71-Q71</f>
        <v>-4281400</v>
      </c>
      <c r="W71" s="5" t="n">
        <v>65</v>
      </c>
      <c r="X71" s="21" t="n">
        <v>107679240</v>
      </c>
      <c r="Y71" s="22" t="n">
        <v>0</v>
      </c>
      <c r="Z71" s="22" t="n">
        <v>0</v>
      </c>
    </row>
    <row r="72" customFormat="false" ht="15" hidden="false" customHeight="true" outlineLevel="0" collapsed="false">
      <c r="A72" s="5" t="n">
        <f aca="false">A71+1</f>
        <v>67</v>
      </c>
      <c r="B72" s="16" t="n">
        <f aca="false">B71+IF(WEEKDAY(B71,2)=6,2,1)</f>
        <v>46100</v>
      </c>
      <c r="C72" s="5" t="n">
        <f aca="false">MONTH(B72)</f>
        <v>3</v>
      </c>
      <c r="D72" s="5" t="n">
        <f aca="false">IF(C72&lt;&gt;C71,1,0)</f>
        <v>0</v>
      </c>
      <c r="E72" s="5" t="n">
        <f aca="false">IF(L71=1,CantPedido,0)</f>
        <v>0</v>
      </c>
      <c r="F72" s="5" t="n">
        <f aca="false">J71+E72</f>
        <v>14</v>
      </c>
      <c r="G72" s="5" t="n">
        <f aca="true">VLOOKUP(RAND(),TablaEmpirica,2,TRUE())</f>
        <v>6</v>
      </c>
      <c r="H72" s="5" t="n">
        <f aca="false">MIN(F72,G72)</f>
        <v>6</v>
      </c>
      <c r="I72" s="5" t="n">
        <f aca="false">G72-H72</f>
        <v>0</v>
      </c>
      <c r="J72" s="5" t="n">
        <f aca="false">F72-H72</f>
        <v>8</v>
      </c>
      <c r="K72" s="5" t="n">
        <f aca="false">IF(I72&gt;0,1,0)</f>
        <v>0</v>
      </c>
      <c r="L72" s="5" t="n">
        <f aca="false">IF(J72&lt;PuntoReorden,1,0)</f>
        <v>0</v>
      </c>
      <c r="M72" s="18" t="n">
        <f aca="false">PrecioVenta*H72</f>
        <v>4080000</v>
      </c>
      <c r="N72" s="18" t="n">
        <f aca="false">CostoUnitario*E72</f>
        <v>0</v>
      </c>
      <c r="O72" s="18" t="n">
        <f aca="false">IF(E72&gt;0,CostoPedido,0)</f>
        <v>0</v>
      </c>
      <c r="P72" s="18" t="n">
        <f aca="false">CostoAlm*(F72+J72)/2</f>
        <v>880</v>
      </c>
      <c r="Q72" s="18" t="n">
        <f aca="false">CostoFijo*D72</f>
        <v>0</v>
      </c>
      <c r="R72" s="18" t="n">
        <f aca="false">M72-N72-O72-P72-Q72</f>
        <v>4079120</v>
      </c>
      <c r="W72" s="5" t="n">
        <v>66</v>
      </c>
      <c r="X72" s="21" t="n">
        <v>99314240</v>
      </c>
      <c r="Y72" s="22" t="n">
        <v>0</v>
      </c>
      <c r="Z72" s="22" t="n">
        <v>0</v>
      </c>
    </row>
    <row r="73" customFormat="false" ht="15" hidden="false" customHeight="true" outlineLevel="0" collapsed="false">
      <c r="A73" s="5" t="n">
        <f aca="false">A72+1</f>
        <v>68</v>
      </c>
      <c r="B73" s="16" t="n">
        <f aca="false">B72+IF(WEEKDAY(B72,2)=6,2,1)</f>
        <v>46101</v>
      </c>
      <c r="C73" s="5" t="n">
        <f aca="false">MONTH(B73)</f>
        <v>3</v>
      </c>
      <c r="D73" s="5" t="n">
        <f aca="false">IF(C73&lt;&gt;C72,1,0)</f>
        <v>0</v>
      </c>
      <c r="E73" s="17" t="n">
        <f aca="false">IF(L72=1,CantPedido,0)</f>
        <v>0</v>
      </c>
      <c r="F73" s="5" t="n">
        <f aca="false">J72+E73</f>
        <v>8</v>
      </c>
      <c r="G73" s="5" t="n">
        <f aca="true">VLOOKUP(RAND(),TablaEmpirica,2,TRUE())</f>
        <v>5</v>
      </c>
      <c r="H73" s="5" t="n">
        <f aca="false">MIN(F73,G73)</f>
        <v>5</v>
      </c>
      <c r="I73" s="5" t="n">
        <f aca="false">G73-H73</f>
        <v>0</v>
      </c>
      <c r="J73" s="5" t="n">
        <f aca="false">F73-H73</f>
        <v>3</v>
      </c>
      <c r="K73" s="5" t="n">
        <f aca="false">IF(I73&gt;0,1,0)</f>
        <v>0</v>
      </c>
      <c r="L73" s="5" t="n">
        <f aca="false">IF(J73&lt;PuntoReorden,1,0)</f>
        <v>1</v>
      </c>
      <c r="M73" s="18" t="n">
        <f aca="false">PrecioVenta*H73</f>
        <v>3400000</v>
      </c>
      <c r="N73" s="18" t="n">
        <f aca="false">CostoUnitario*E73</f>
        <v>0</v>
      </c>
      <c r="O73" s="18" t="n">
        <f aca="false">IF(E73&gt;0,CostoPedido,0)</f>
        <v>0</v>
      </c>
      <c r="P73" s="18" t="n">
        <f aca="false">CostoAlm*(F73+J73)/2</f>
        <v>440</v>
      </c>
      <c r="Q73" s="18" t="n">
        <f aca="false">CostoFijo*D73</f>
        <v>0</v>
      </c>
      <c r="R73" s="18" t="n">
        <f aca="false">M73-N73-O73-P73-Q73</f>
        <v>3399560</v>
      </c>
      <c r="W73" s="5" t="n">
        <v>67</v>
      </c>
      <c r="X73" s="21" t="n">
        <v>103514120</v>
      </c>
      <c r="Y73" s="22" t="n">
        <v>0</v>
      </c>
      <c r="Z73" s="22" t="n">
        <v>0</v>
      </c>
    </row>
    <row r="74" customFormat="false" ht="15" hidden="false" customHeight="true" outlineLevel="0" collapsed="false">
      <c r="A74" s="5" t="n">
        <f aca="false">A73+1</f>
        <v>69</v>
      </c>
      <c r="B74" s="16" t="n">
        <f aca="false">B73+IF(WEEKDAY(B73,2)=6,2,1)</f>
        <v>46102</v>
      </c>
      <c r="C74" s="5" t="n">
        <f aca="false">MONTH(B74)</f>
        <v>3</v>
      </c>
      <c r="D74" s="5" t="n">
        <f aca="false">IF(C74&lt;&gt;C73,1,0)</f>
        <v>0</v>
      </c>
      <c r="E74" s="17" t="n">
        <f aca="false">IF(L73=1,CantPedido,0)</f>
        <v>15</v>
      </c>
      <c r="F74" s="5" t="n">
        <f aca="false">J73+E74</f>
        <v>18</v>
      </c>
      <c r="G74" s="5" t="n">
        <f aca="true">VLOOKUP(RAND(),TablaEmpirica,2,TRUE())</f>
        <v>3</v>
      </c>
      <c r="H74" s="5" t="n">
        <f aca="false">MIN(F74,G74)</f>
        <v>3</v>
      </c>
      <c r="I74" s="5" t="n">
        <f aca="false">G74-H74</f>
        <v>0</v>
      </c>
      <c r="J74" s="5" t="n">
        <f aca="false">F74-H74</f>
        <v>15</v>
      </c>
      <c r="K74" s="5" t="n">
        <f aca="false">IF(I74&gt;0,1,0)</f>
        <v>0</v>
      </c>
      <c r="L74" s="5" t="n">
        <f aca="false">IF(J74&lt;PuntoReorden,1,0)</f>
        <v>0</v>
      </c>
      <c r="M74" s="18" t="n">
        <f aca="false">PrecioVenta*H74</f>
        <v>2040000</v>
      </c>
      <c r="N74" s="18" t="n">
        <f aca="false">CostoUnitario*E74</f>
        <v>9000000</v>
      </c>
      <c r="O74" s="18" t="n">
        <f aca="false">IF(E74&gt;0,CostoPedido,0)</f>
        <v>40000</v>
      </c>
      <c r="P74" s="18" t="n">
        <f aca="false">CostoAlm*(F74+J74)/2</f>
        <v>1320</v>
      </c>
      <c r="Q74" s="18" t="n">
        <f aca="false">CostoFijo*D74</f>
        <v>0</v>
      </c>
      <c r="R74" s="18" t="n">
        <f aca="false">M74-N74-O74-P74-Q74</f>
        <v>-7001320</v>
      </c>
      <c r="W74" s="5" t="n">
        <v>68</v>
      </c>
      <c r="X74" s="21" t="n">
        <v>99992760</v>
      </c>
      <c r="Y74" s="22" t="n">
        <v>0</v>
      </c>
      <c r="Z74" s="22" t="n">
        <v>0</v>
      </c>
    </row>
    <row r="75" customFormat="false" ht="15" hidden="false" customHeight="true" outlineLevel="0" collapsed="false">
      <c r="A75" s="5" t="n">
        <f aca="false">A74+1</f>
        <v>70</v>
      </c>
      <c r="B75" s="16" t="n">
        <f aca="false">B74+IF(WEEKDAY(B74,2)=6,2,1)</f>
        <v>46104</v>
      </c>
      <c r="C75" s="5" t="n">
        <f aca="false">MONTH(B75)</f>
        <v>3</v>
      </c>
      <c r="D75" s="5" t="n">
        <f aca="false">IF(C75&lt;&gt;C74,1,0)</f>
        <v>0</v>
      </c>
      <c r="E75" s="17" t="n">
        <f aca="false">IF(L74=1,CantPedido,0)</f>
        <v>0</v>
      </c>
      <c r="F75" s="5" t="n">
        <f aca="false">J74+E75</f>
        <v>15</v>
      </c>
      <c r="G75" s="5" t="n">
        <f aca="true">VLOOKUP(RAND(),TablaEmpirica,2,TRUE())</f>
        <v>5</v>
      </c>
      <c r="H75" s="5" t="n">
        <f aca="false">MIN(F75,G75)</f>
        <v>5</v>
      </c>
      <c r="I75" s="5" t="n">
        <f aca="false">G75-H75</f>
        <v>0</v>
      </c>
      <c r="J75" s="5" t="n">
        <f aca="false">F75-H75</f>
        <v>10</v>
      </c>
      <c r="K75" s="5" t="n">
        <f aca="false">IF(I75&gt;0,1,0)</f>
        <v>0</v>
      </c>
      <c r="L75" s="5" t="n">
        <f aca="false">IF(J75&lt;PuntoReorden,1,0)</f>
        <v>0</v>
      </c>
      <c r="M75" s="18" t="n">
        <f aca="false">PrecioVenta*H75</f>
        <v>3400000</v>
      </c>
      <c r="N75" s="18" t="n">
        <f aca="false">CostoUnitario*E75</f>
        <v>0</v>
      </c>
      <c r="O75" s="18" t="n">
        <f aca="false">IF(E75&gt;0,CostoPedido,0)</f>
        <v>0</v>
      </c>
      <c r="P75" s="18" t="n">
        <f aca="false">CostoAlm*(F75+J75)/2</f>
        <v>1000</v>
      </c>
      <c r="Q75" s="18" t="n">
        <f aca="false">CostoFijo*D75</f>
        <v>0</v>
      </c>
      <c r="R75" s="18" t="n">
        <f aca="false">M75-N75-O75-P75-Q75</f>
        <v>3399000</v>
      </c>
      <c r="W75" s="5" t="n">
        <v>69</v>
      </c>
      <c r="X75" s="21" t="n">
        <v>101343800</v>
      </c>
      <c r="Y75" s="22" t="n">
        <v>0</v>
      </c>
      <c r="Z75" s="22" t="n">
        <v>0</v>
      </c>
    </row>
    <row r="76" customFormat="false" ht="15" hidden="false" customHeight="true" outlineLevel="0" collapsed="false">
      <c r="A76" s="5" t="n">
        <f aca="false">A75+1</f>
        <v>71</v>
      </c>
      <c r="B76" s="16" t="n">
        <f aca="false">B75+IF(WEEKDAY(B75,2)=6,2,1)</f>
        <v>46105</v>
      </c>
      <c r="C76" s="5" t="n">
        <f aca="false">MONTH(B76)</f>
        <v>3</v>
      </c>
      <c r="D76" s="5" t="n">
        <f aca="false">IF(C76&lt;&gt;C75,1,0)</f>
        <v>0</v>
      </c>
      <c r="E76" s="5" t="n">
        <f aca="false">IF(L75=1,CantPedido,0)</f>
        <v>0</v>
      </c>
      <c r="F76" s="5" t="n">
        <f aca="false">J75+E76</f>
        <v>10</v>
      </c>
      <c r="G76" s="5" t="n">
        <f aca="true">VLOOKUP(RAND(),TablaEmpirica,2,TRUE())</f>
        <v>5</v>
      </c>
      <c r="H76" s="5" t="n">
        <f aca="false">MIN(F76,G76)</f>
        <v>5</v>
      </c>
      <c r="I76" s="5" t="n">
        <f aca="false">G76-H76</f>
        <v>0</v>
      </c>
      <c r="J76" s="5" t="n">
        <f aca="false">F76-H76</f>
        <v>5</v>
      </c>
      <c r="K76" s="5" t="n">
        <f aca="false">IF(I76&gt;0,1,0)</f>
        <v>0</v>
      </c>
      <c r="L76" s="5" t="n">
        <f aca="false">IF(J76&lt;PuntoReorden,1,0)</f>
        <v>1</v>
      </c>
      <c r="M76" s="18" t="n">
        <f aca="false">PrecioVenta*H76</f>
        <v>3400000</v>
      </c>
      <c r="N76" s="18" t="n">
        <f aca="false">CostoUnitario*E76</f>
        <v>0</v>
      </c>
      <c r="O76" s="18" t="n">
        <f aca="false">IF(E76&gt;0,CostoPedido,0)</f>
        <v>0</v>
      </c>
      <c r="P76" s="18" t="n">
        <f aca="false">CostoAlm*(F76+J76)/2</f>
        <v>600</v>
      </c>
      <c r="Q76" s="18" t="n">
        <f aca="false">CostoFijo*D76</f>
        <v>0</v>
      </c>
      <c r="R76" s="18" t="n">
        <f aca="false">M76-N76-O76-P76-Q76</f>
        <v>3399400</v>
      </c>
      <c r="W76" s="5" t="n">
        <v>70</v>
      </c>
      <c r="X76" s="21" t="n">
        <v>104349680</v>
      </c>
      <c r="Y76" s="22" t="n">
        <v>0</v>
      </c>
      <c r="Z76" s="22" t="n">
        <v>0</v>
      </c>
    </row>
    <row r="77" customFormat="false" ht="15" hidden="false" customHeight="true" outlineLevel="0" collapsed="false">
      <c r="A77" s="5" t="n">
        <f aca="false">A76+1</f>
        <v>72</v>
      </c>
      <c r="B77" s="16" t="n">
        <f aca="false">B76+IF(WEEKDAY(B76,2)=6,2,1)</f>
        <v>46106</v>
      </c>
      <c r="C77" s="5" t="n">
        <f aca="false">MONTH(B77)</f>
        <v>3</v>
      </c>
      <c r="D77" s="5" t="n">
        <f aca="false">IF(C77&lt;&gt;C76,1,0)</f>
        <v>0</v>
      </c>
      <c r="E77" s="17" t="n">
        <f aca="false">IF(L76=1,CantPedido,0)</f>
        <v>15</v>
      </c>
      <c r="F77" s="5" t="n">
        <f aca="false">J76+E77</f>
        <v>20</v>
      </c>
      <c r="G77" s="5" t="n">
        <f aca="true">VLOOKUP(RAND(),TablaEmpirica,2,TRUE())</f>
        <v>5</v>
      </c>
      <c r="H77" s="5" t="n">
        <f aca="false">MIN(F77,G77)</f>
        <v>5</v>
      </c>
      <c r="I77" s="5" t="n">
        <f aca="false">G77-H77</f>
        <v>0</v>
      </c>
      <c r="J77" s="5" t="n">
        <f aca="false">F77-H77</f>
        <v>15</v>
      </c>
      <c r="K77" s="5" t="n">
        <f aca="false">IF(I77&gt;0,1,0)</f>
        <v>0</v>
      </c>
      <c r="L77" s="5" t="n">
        <f aca="false">IF(J77&lt;PuntoReorden,1,0)</f>
        <v>0</v>
      </c>
      <c r="M77" s="18" t="n">
        <f aca="false">PrecioVenta*H77</f>
        <v>3400000</v>
      </c>
      <c r="N77" s="18" t="n">
        <f aca="false">CostoUnitario*E77</f>
        <v>9000000</v>
      </c>
      <c r="O77" s="18" t="n">
        <f aca="false">IF(E77&gt;0,CostoPedido,0)</f>
        <v>40000</v>
      </c>
      <c r="P77" s="18" t="n">
        <f aca="false">CostoAlm*(F77+J77)/2</f>
        <v>1400</v>
      </c>
      <c r="Q77" s="18" t="n">
        <f aca="false">CostoFijo*D77</f>
        <v>0</v>
      </c>
      <c r="R77" s="18" t="n">
        <f aca="false">M77-N77-O77-P77-Q77</f>
        <v>-5641400</v>
      </c>
      <c r="W77" s="5" t="n">
        <v>71</v>
      </c>
      <c r="X77" s="21" t="n">
        <v>105426200</v>
      </c>
      <c r="Y77" s="22" t="n">
        <v>0</v>
      </c>
      <c r="Z77" s="22" t="n">
        <v>0</v>
      </c>
    </row>
    <row r="78" customFormat="false" ht="15" hidden="false" customHeight="true" outlineLevel="0" collapsed="false">
      <c r="A78" s="5" t="n">
        <f aca="false">A77+1</f>
        <v>73</v>
      </c>
      <c r="B78" s="16" t="n">
        <f aca="false">B77+IF(WEEKDAY(B77,2)=6,2,1)</f>
        <v>46107</v>
      </c>
      <c r="C78" s="5" t="n">
        <f aca="false">MONTH(B78)</f>
        <v>3</v>
      </c>
      <c r="D78" s="5" t="n">
        <f aca="false">IF(C78&lt;&gt;C77,1,0)</f>
        <v>0</v>
      </c>
      <c r="E78" s="17" t="n">
        <f aca="false">IF(L77=1,CantPedido,0)</f>
        <v>0</v>
      </c>
      <c r="F78" s="5" t="n">
        <f aca="false">J77+E78</f>
        <v>15</v>
      </c>
      <c r="G78" s="5" t="n">
        <f aca="true">VLOOKUP(RAND(),TablaEmpirica,2,TRUE())</f>
        <v>5</v>
      </c>
      <c r="H78" s="5" t="n">
        <f aca="false">MIN(F78,G78)</f>
        <v>5</v>
      </c>
      <c r="I78" s="5" t="n">
        <f aca="false">G78-H78</f>
        <v>0</v>
      </c>
      <c r="J78" s="5" t="n">
        <f aca="false">F78-H78</f>
        <v>10</v>
      </c>
      <c r="K78" s="5" t="n">
        <f aca="false">IF(I78&gt;0,1,0)</f>
        <v>0</v>
      </c>
      <c r="L78" s="5" t="n">
        <f aca="false">IF(J78&lt;PuntoReorden,1,0)</f>
        <v>0</v>
      </c>
      <c r="M78" s="18" t="n">
        <f aca="false">PrecioVenta*H78</f>
        <v>3400000</v>
      </c>
      <c r="N78" s="18" t="n">
        <f aca="false">CostoUnitario*E78</f>
        <v>0</v>
      </c>
      <c r="O78" s="18" t="n">
        <f aca="false">IF(E78&gt;0,CostoPedido,0)</f>
        <v>0</v>
      </c>
      <c r="P78" s="18" t="n">
        <f aca="false">CostoAlm*(F78+J78)/2</f>
        <v>1000</v>
      </c>
      <c r="Q78" s="18" t="n">
        <f aca="false">CostoFijo*D78</f>
        <v>0</v>
      </c>
      <c r="R78" s="18" t="n">
        <f aca="false">M78-N78-O78-P78-Q78</f>
        <v>3399000</v>
      </c>
      <c r="W78" s="5" t="n">
        <v>72</v>
      </c>
      <c r="X78" s="21" t="n">
        <v>106306920</v>
      </c>
      <c r="Y78" s="22" t="n">
        <v>0</v>
      </c>
      <c r="Z78" s="22" t="n">
        <v>0</v>
      </c>
    </row>
    <row r="79" customFormat="false" ht="15" hidden="false" customHeight="true" outlineLevel="0" collapsed="false">
      <c r="A79" s="5" t="n">
        <f aca="false">A78+1</f>
        <v>74</v>
      </c>
      <c r="B79" s="16" t="n">
        <f aca="false">B78+IF(WEEKDAY(B78,2)=6,2,1)</f>
        <v>46108</v>
      </c>
      <c r="C79" s="5" t="n">
        <f aca="false">MONTH(B79)</f>
        <v>3</v>
      </c>
      <c r="D79" s="5" t="n">
        <f aca="false">IF(C79&lt;&gt;C78,1,0)</f>
        <v>0</v>
      </c>
      <c r="E79" s="5" t="n">
        <f aca="false">IF(L78=1,CantPedido,0)</f>
        <v>0</v>
      </c>
      <c r="F79" s="5" t="n">
        <f aca="false">J78+E79</f>
        <v>10</v>
      </c>
      <c r="G79" s="5" t="n">
        <f aca="true">VLOOKUP(RAND(),TablaEmpirica,2,TRUE())</f>
        <v>5</v>
      </c>
      <c r="H79" s="5" t="n">
        <f aca="false">MIN(F79,G79)</f>
        <v>5</v>
      </c>
      <c r="I79" s="5" t="n">
        <f aca="false">G79-H79</f>
        <v>0</v>
      </c>
      <c r="J79" s="5" t="n">
        <f aca="false">F79-H79</f>
        <v>5</v>
      </c>
      <c r="K79" s="5" t="n">
        <f aca="false">IF(I79&gt;0,1,0)</f>
        <v>0</v>
      </c>
      <c r="L79" s="5" t="n">
        <f aca="false">IF(J79&lt;PuntoReorden,1,0)</f>
        <v>1</v>
      </c>
      <c r="M79" s="18" t="n">
        <f aca="false">PrecioVenta*H79</f>
        <v>3400000</v>
      </c>
      <c r="N79" s="18" t="n">
        <f aca="false">CostoUnitario*E79</f>
        <v>0</v>
      </c>
      <c r="O79" s="18" t="n">
        <f aca="false">IF(E79&gt;0,CostoPedido,0)</f>
        <v>0</v>
      </c>
      <c r="P79" s="18" t="n">
        <f aca="false">CostoAlm*(F79+J79)/2</f>
        <v>600</v>
      </c>
      <c r="Q79" s="18" t="n">
        <f aca="false">CostoFijo*D79</f>
        <v>0</v>
      </c>
      <c r="R79" s="18" t="n">
        <f aca="false">M79-N79-O79-P79-Q79</f>
        <v>3399400</v>
      </c>
      <c r="W79" s="5" t="n">
        <v>73</v>
      </c>
      <c r="X79" s="21" t="n">
        <v>106791080</v>
      </c>
      <c r="Y79" s="22" t="n">
        <v>0</v>
      </c>
      <c r="Z79" s="22" t="n">
        <v>0</v>
      </c>
    </row>
    <row r="80" customFormat="false" ht="15" hidden="false" customHeight="true" outlineLevel="0" collapsed="false">
      <c r="A80" s="5" t="n">
        <f aca="false">A79+1</f>
        <v>75</v>
      </c>
      <c r="B80" s="16" t="n">
        <f aca="false">B79+IF(WEEKDAY(B79,2)=6,2,1)</f>
        <v>46109</v>
      </c>
      <c r="C80" s="5" t="n">
        <f aca="false">MONTH(B80)</f>
        <v>3</v>
      </c>
      <c r="D80" s="5" t="n">
        <f aca="false">IF(C80&lt;&gt;C79,1,0)</f>
        <v>0</v>
      </c>
      <c r="E80" s="17" t="n">
        <f aca="false">IF(L79=1,CantPedido,0)</f>
        <v>15</v>
      </c>
      <c r="F80" s="5" t="n">
        <f aca="false">J79+E80</f>
        <v>20</v>
      </c>
      <c r="G80" s="5" t="n">
        <f aca="true">VLOOKUP(RAND(),TablaEmpirica,2,TRUE())</f>
        <v>3</v>
      </c>
      <c r="H80" s="5" t="n">
        <f aca="false">MIN(F80,G80)</f>
        <v>3</v>
      </c>
      <c r="I80" s="5" t="n">
        <f aca="false">G80-H80</f>
        <v>0</v>
      </c>
      <c r="J80" s="5" t="n">
        <f aca="false">F80-H80</f>
        <v>17</v>
      </c>
      <c r="K80" s="5" t="n">
        <f aca="false">IF(I80&gt;0,1,0)</f>
        <v>0</v>
      </c>
      <c r="L80" s="5" t="n">
        <f aca="false">IF(J80&lt;PuntoReorden,1,0)</f>
        <v>0</v>
      </c>
      <c r="M80" s="18" t="n">
        <f aca="false">PrecioVenta*H80</f>
        <v>2040000</v>
      </c>
      <c r="N80" s="18" t="n">
        <f aca="false">CostoUnitario*E80</f>
        <v>9000000</v>
      </c>
      <c r="O80" s="18" t="n">
        <f aca="false">IF(E80&gt;0,CostoPedido,0)</f>
        <v>40000</v>
      </c>
      <c r="P80" s="18" t="n">
        <f aca="false">CostoAlm*(F80+J80)/2</f>
        <v>1480</v>
      </c>
      <c r="Q80" s="18" t="n">
        <f aca="false">CostoFijo*D80</f>
        <v>0</v>
      </c>
      <c r="R80" s="18" t="n">
        <f aca="false">M80-N80-O80-P80-Q80</f>
        <v>-7001480</v>
      </c>
      <c r="W80" s="5" t="n">
        <v>74</v>
      </c>
      <c r="X80" s="21" t="n">
        <v>99792880</v>
      </c>
      <c r="Y80" s="22" t="n">
        <v>0</v>
      </c>
      <c r="Z80" s="22" t="n">
        <v>0</v>
      </c>
    </row>
    <row r="81" customFormat="false" ht="15" hidden="false" customHeight="true" outlineLevel="0" collapsed="false">
      <c r="A81" s="5" t="n">
        <f aca="false">A80+1</f>
        <v>76</v>
      </c>
      <c r="B81" s="16" t="n">
        <f aca="false">B80+IF(WEEKDAY(B80,2)=6,2,1)</f>
        <v>46111</v>
      </c>
      <c r="C81" s="5" t="n">
        <f aca="false">MONTH(B81)</f>
        <v>3</v>
      </c>
      <c r="D81" s="5" t="n">
        <f aca="false">IF(C81&lt;&gt;C80,1,0)</f>
        <v>0</v>
      </c>
      <c r="E81" s="17" t="n">
        <f aca="false">IF(L80=1,CantPedido,0)</f>
        <v>0</v>
      </c>
      <c r="F81" s="5" t="n">
        <f aca="false">J80+E81</f>
        <v>17</v>
      </c>
      <c r="G81" s="5" t="n">
        <f aca="true">VLOOKUP(RAND(),TablaEmpirica,2,TRUE())</f>
        <v>6</v>
      </c>
      <c r="H81" s="5" t="n">
        <f aca="false">MIN(F81,G81)</f>
        <v>6</v>
      </c>
      <c r="I81" s="5" t="n">
        <f aca="false">G81-H81</f>
        <v>0</v>
      </c>
      <c r="J81" s="5" t="n">
        <f aca="false">F81-H81</f>
        <v>11</v>
      </c>
      <c r="K81" s="5" t="n">
        <f aca="false">IF(I81&gt;0,1,0)</f>
        <v>0</v>
      </c>
      <c r="L81" s="5" t="n">
        <f aca="false">IF(J81&lt;PuntoReorden,1,0)</f>
        <v>0</v>
      </c>
      <c r="M81" s="18" t="n">
        <f aca="false">PrecioVenta*H81</f>
        <v>4080000</v>
      </c>
      <c r="N81" s="18" t="n">
        <f aca="false">CostoUnitario*E81</f>
        <v>0</v>
      </c>
      <c r="O81" s="18" t="n">
        <f aca="false">IF(E81&gt;0,CostoPedido,0)</f>
        <v>0</v>
      </c>
      <c r="P81" s="18" t="n">
        <f aca="false">CostoAlm*(F81+J81)/2</f>
        <v>1120</v>
      </c>
      <c r="Q81" s="18" t="n">
        <f aca="false">CostoFijo*D81</f>
        <v>0</v>
      </c>
      <c r="R81" s="18" t="n">
        <f aca="false">M81-N81-O81-P81-Q81</f>
        <v>4078880</v>
      </c>
      <c r="W81" s="5" t="n">
        <v>75</v>
      </c>
      <c r="X81" s="21" t="n">
        <v>101072160</v>
      </c>
      <c r="Y81" s="22" t="n">
        <v>0</v>
      </c>
      <c r="Z81" s="22" t="n">
        <v>0</v>
      </c>
    </row>
    <row r="82" customFormat="false" ht="15" hidden="false" customHeight="true" outlineLevel="0" collapsed="false">
      <c r="A82" s="5" t="n">
        <f aca="false">A81+1</f>
        <v>77</v>
      </c>
      <c r="B82" s="16" t="n">
        <f aca="false">B81+IF(WEEKDAY(B81,2)=6,2,1)</f>
        <v>46112</v>
      </c>
      <c r="C82" s="5" t="n">
        <f aca="false">MONTH(B82)</f>
        <v>3</v>
      </c>
      <c r="D82" s="5" t="n">
        <f aca="false">IF(C82&lt;&gt;C81,1,0)</f>
        <v>0</v>
      </c>
      <c r="E82" s="5" t="n">
        <f aca="false">IF(L81=1,CantPedido,0)</f>
        <v>0</v>
      </c>
      <c r="F82" s="5" t="n">
        <f aca="false">J81+E82</f>
        <v>11</v>
      </c>
      <c r="G82" s="5" t="n">
        <f aca="true">VLOOKUP(RAND(),TablaEmpirica,2,TRUE())</f>
        <v>5</v>
      </c>
      <c r="H82" s="5" t="n">
        <f aca="false">MIN(F82,G82)</f>
        <v>5</v>
      </c>
      <c r="I82" s="5" t="n">
        <f aca="false">G82-H82</f>
        <v>0</v>
      </c>
      <c r="J82" s="5" t="n">
        <f aca="false">F82-H82</f>
        <v>6</v>
      </c>
      <c r="K82" s="5" t="n">
        <f aca="false">IF(I82&gt;0,1,0)</f>
        <v>0</v>
      </c>
      <c r="L82" s="5" t="n">
        <f aca="false">IF(J82&lt;PuntoReorden,1,0)</f>
        <v>1</v>
      </c>
      <c r="M82" s="18" t="n">
        <f aca="false">PrecioVenta*H82</f>
        <v>3400000</v>
      </c>
      <c r="N82" s="18" t="n">
        <f aca="false">CostoUnitario*E82</f>
        <v>0</v>
      </c>
      <c r="O82" s="18" t="n">
        <f aca="false">IF(E82&gt;0,CostoPedido,0)</f>
        <v>0</v>
      </c>
      <c r="P82" s="18" t="n">
        <f aca="false">CostoAlm*(F82+J82)/2</f>
        <v>680</v>
      </c>
      <c r="Q82" s="18" t="n">
        <f aca="false">CostoFijo*D82</f>
        <v>0</v>
      </c>
      <c r="R82" s="18" t="n">
        <f aca="false">M82-N82-O82-P82-Q82</f>
        <v>3399320</v>
      </c>
      <c r="W82" s="5" t="n">
        <v>76</v>
      </c>
      <c r="X82" s="21" t="n">
        <v>108831280</v>
      </c>
      <c r="Y82" s="22" t="n">
        <v>0</v>
      </c>
      <c r="Z82" s="22" t="n">
        <v>0</v>
      </c>
    </row>
    <row r="83" customFormat="false" ht="15" hidden="false" customHeight="true" outlineLevel="0" collapsed="false">
      <c r="A83" s="5" t="n">
        <f aca="false">A82+1</f>
        <v>78</v>
      </c>
      <c r="B83" s="16" t="n">
        <f aca="false">B82+IF(WEEKDAY(B82,2)=6,2,1)</f>
        <v>46113</v>
      </c>
      <c r="C83" s="5" t="n">
        <f aca="false">MONTH(B83)</f>
        <v>4</v>
      </c>
      <c r="D83" s="5" t="n">
        <f aca="false">IF(C83&lt;&gt;C82,1,0)</f>
        <v>1</v>
      </c>
      <c r="E83" s="17" t="n">
        <f aca="false">IF(L82=1,CantPedido,0)</f>
        <v>15</v>
      </c>
      <c r="F83" s="5" t="n">
        <f aca="false">J82+E83</f>
        <v>21</v>
      </c>
      <c r="G83" s="5" t="n">
        <f aca="true">VLOOKUP(RAND(),TablaEmpirica,2,TRUE())</f>
        <v>3</v>
      </c>
      <c r="H83" s="5" t="n">
        <f aca="false">MIN(F83,G83)</f>
        <v>3</v>
      </c>
      <c r="I83" s="5" t="n">
        <f aca="false">G83-H83</f>
        <v>0</v>
      </c>
      <c r="J83" s="5" t="n">
        <f aca="false">F83-H83</f>
        <v>18</v>
      </c>
      <c r="K83" s="5" t="n">
        <f aca="false">IF(I83&gt;0,1,0)</f>
        <v>0</v>
      </c>
      <c r="L83" s="5" t="n">
        <f aca="false">IF(J83&lt;PuntoReorden,1,0)</f>
        <v>0</v>
      </c>
      <c r="M83" s="18" t="n">
        <f aca="false">PrecioVenta*H83</f>
        <v>2040000</v>
      </c>
      <c r="N83" s="18" t="n">
        <f aca="false">CostoUnitario*E83</f>
        <v>9000000</v>
      </c>
      <c r="O83" s="18" t="n">
        <f aca="false">IF(E83&gt;0,CostoPedido,0)</f>
        <v>40000</v>
      </c>
      <c r="P83" s="18" t="n">
        <f aca="false">CostoAlm*(F83+J83)/2</f>
        <v>1560</v>
      </c>
      <c r="Q83" s="18" t="n">
        <f aca="false">CostoFijo*D83</f>
        <v>1000000</v>
      </c>
      <c r="R83" s="18" t="n">
        <f aca="false">M83-N83-O83-P83-Q83</f>
        <v>-8001560</v>
      </c>
      <c r="W83" s="5" t="n">
        <v>77</v>
      </c>
      <c r="X83" s="21" t="n">
        <v>101149840</v>
      </c>
      <c r="Y83" s="22" t="n">
        <v>0</v>
      </c>
      <c r="Z83" s="22" t="n">
        <v>0</v>
      </c>
    </row>
    <row r="84" customFormat="false" ht="15" hidden="false" customHeight="true" outlineLevel="0" collapsed="false">
      <c r="A84" s="5" t="n">
        <f aca="false">A83+1</f>
        <v>79</v>
      </c>
      <c r="B84" s="16" t="n">
        <f aca="false">B83+IF(WEEKDAY(B83,2)=6,2,1)</f>
        <v>46114</v>
      </c>
      <c r="C84" s="5" t="n">
        <f aca="false">MONTH(B84)</f>
        <v>4</v>
      </c>
      <c r="D84" s="5" t="n">
        <f aca="false">IF(C84&lt;&gt;C83,1,0)</f>
        <v>0</v>
      </c>
      <c r="E84" s="17" t="n">
        <f aca="false">IF(L83=1,CantPedido,0)</f>
        <v>0</v>
      </c>
      <c r="F84" s="5" t="n">
        <f aca="false">J83+E84</f>
        <v>18</v>
      </c>
      <c r="G84" s="5" t="n">
        <f aca="true">VLOOKUP(RAND(),TablaEmpirica,2,TRUE())</f>
        <v>3</v>
      </c>
      <c r="H84" s="5" t="n">
        <f aca="false">MIN(F84,G84)</f>
        <v>3</v>
      </c>
      <c r="I84" s="5" t="n">
        <f aca="false">G84-H84</f>
        <v>0</v>
      </c>
      <c r="J84" s="5" t="n">
        <f aca="false">F84-H84</f>
        <v>15</v>
      </c>
      <c r="K84" s="5" t="n">
        <f aca="false">IF(I84&gt;0,1,0)</f>
        <v>0</v>
      </c>
      <c r="L84" s="5" t="n">
        <f aca="false">IF(J84&lt;PuntoReorden,1,0)</f>
        <v>0</v>
      </c>
      <c r="M84" s="18" t="n">
        <f aca="false">PrecioVenta*H84</f>
        <v>2040000</v>
      </c>
      <c r="N84" s="18" t="n">
        <f aca="false">CostoUnitario*E84</f>
        <v>0</v>
      </c>
      <c r="O84" s="18" t="n">
        <f aca="false">IF(E84&gt;0,CostoPedido,0)</f>
        <v>0</v>
      </c>
      <c r="P84" s="18" t="n">
        <f aca="false">CostoAlm*(F84+J84)/2</f>
        <v>1320</v>
      </c>
      <c r="Q84" s="18" t="n">
        <f aca="false">CostoFijo*D84</f>
        <v>0</v>
      </c>
      <c r="R84" s="18" t="n">
        <f aca="false">M84-N84-O84-P84-Q84</f>
        <v>2038680</v>
      </c>
      <c r="W84" s="5" t="n">
        <v>78</v>
      </c>
      <c r="X84" s="21" t="n">
        <v>109794240</v>
      </c>
      <c r="Y84" s="22" t="n">
        <v>0</v>
      </c>
      <c r="Z84" s="22" t="n">
        <v>0</v>
      </c>
    </row>
    <row r="85" customFormat="false" ht="15" hidden="false" customHeight="true" outlineLevel="0" collapsed="false">
      <c r="A85" s="5" t="n">
        <f aca="false">A84+1</f>
        <v>80</v>
      </c>
      <c r="B85" s="16" t="n">
        <f aca="false">B84+IF(WEEKDAY(B84,2)=6,2,1)</f>
        <v>46115</v>
      </c>
      <c r="C85" s="5" t="n">
        <f aca="false">MONTH(B85)</f>
        <v>4</v>
      </c>
      <c r="D85" s="5" t="n">
        <f aca="false">IF(C85&lt;&gt;C84,1,0)</f>
        <v>0</v>
      </c>
      <c r="E85" s="5" t="n">
        <f aca="false">IF(L84=1,CantPedido,0)</f>
        <v>0</v>
      </c>
      <c r="F85" s="5" t="n">
        <f aca="false">J84+E85</f>
        <v>15</v>
      </c>
      <c r="G85" s="5" t="n">
        <f aca="true">VLOOKUP(RAND(),TablaEmpirica,2,TRUE())</f>
        <v>5</v>
      </c>
      <c r="H85" s="5" t="n">
        <f aca="false">MIN(F85,G85)</f>
        <v>5</v>
      </c>
      <c r="I85" s="5" t="n">
        <f aca="false">G85-H85</f>
        <v>0</v>
      </c>
      <c r="J85" s="5" t="n">
        <f aca="false">F85-H85</f>
        <v>10</v>
      </c>
      <c r="K85" s="5" t="n">
        <f aca="false">IF(I85&gt;0,1,0)</f>
        <v>0</v>
      </c>
      <c r="L85" s="5" t="n">
        <f aca="false">IF(J85&lt;PuntoReorden,1,0)</f>
        <v>0</v>
      </c>
      <c r="M85" s="18" t="n">
        <f aca="false">PrecioVenta*H85</f>
        <v>3400000</v>
      </c>
      <c r="N85" s="18" t="n">
        <f aca="false">CostoUnitario*E85</f>
        <v>0</v>
      </c>
      <c r="O85" s="18" t="n">
        <f aca="false">IF(E85&gt;0,CostoPedido,0)</f>
        <v>0</v>
      </c>
      <c r="P85" s="18" t="n">
        <f aca="false">CostoAlm*(F85+J85)/2</f>
        <v>1000</v>
      </c>
      <c r="Q85" s="18" t="n">
        <f aca="false">CostoFijo*D85</f>
        <v>0</v>
      </c>
      <c r="R85" s="18" t="n">
        <f aca="false">M85-N85-O85-P85-Q85</f>
        <v>3399000</v>
      </c>
      <c r="W85" s="5" t="n">
        <v>79</v>
      </c>
      <c r="X85" s="21" t="n">
        <v>100190000</v>
      </c>
      <c r="Y85" s="22" t="n">
        <v>0</v>
      </c>
      <c r="Z85" s="22" t="n">
        <v>0</v>
      </c>
    </row>
    <row r="86" customFormat="false" ht="15" hidden="false" customHeight="true" outlineLevel="0" collapsed="false">
      <c r="A86" s="5" t="n">
        <f aca="false">A85+1</f>
        <v>81</v>
      </c>
      <c r="B86" s="16" t="n">
        <f aca="false">B85+IF(WEEKDAY(B85,2)=6,2,1)</f>
        <v>46116</v>
      </c>
      <c r="C86" s="5" t="n">
        <f aca="false">MONTH(B86)</f>
        <v>4</v>
      </c>
      <c r="D86" s="5" t="n">
        <f aca="false">IF(C86&lt;&gt;C85,1,0)</f>
        <v>0</v>
      </c>
      <c r="E86" s="5" t="n">
        <f aca="false">IF(L85=1,CantPedido,0)</f>
        <v>0</v>
      </c>
      <c r="F86" s="5" t="n">
        <f aca="false">J85+E86</f>
        <v>10</v>
      </c>
      <c r="G86" s="5" t="n">
        <f aca="true">VLOOKUP(RAND(),TablaEmpirica,2,TRUE())</f>
        <v>5</v>
      </c>
      <c r="H86" s="5" t="n">
        <f aca="false">MIN(F86,G86)</f>
        <v>5</v>
      </c>
      <c r="I86" s="5" t="n">
        <f aca="false">G86-H86</f>
        <v>0</v>
      </c>
      <c r="J86" s="5" t="n">
        <f aca="false">F86-H86</f>
        <v>5</v>
      </c>
      <c r="K86" s="5" t="n">
        <f aca="false">IF(I86&gt;0,1,0)</f>
        <v>0</v>
      </c>
      <c r="L86" s="5" t="n">
        <f aca="false">IF(J86&lt;PuntoReorden,1,0)</f>
        <v>1</v>
      </c>
      <c r="M86" s="18" t="n">
        <f aca="false">PrecioVenta*H86</f>
        <v>3400000</v>
      </c>
      <c r="N86" s="18" t="n">
        <f aca="false">CostoUnitario*E86</f>
        <v>0</v>
      </c>
      <c r="O86" s="18" t="n">
        <f aca="false">IF(E86&gt;0,CostoPedido,0)</f>
        <v>0</v>
      </c>
      <c r="P86" s="18" t="n">
        <f aca="false">CostoAlm*(F86+J86)/2</f>
        <v>600</v>
      </c>
      <c r="Q86" s="18" t="n">
        <f aca="false">CostoFijo*D86</f>
        <v>0</v>
      </c>
      <c r="R86" s="18" t="n">
        <f aca="false">M86-N86-O86-P86-Q86</f>
        <v>3399400</v>
      </c>
      <c r="W86" s="5" t="n">
        <v>80</v>
      </c>
      <c r="X86" s="21" t="n">
        <v>102709560</v>
      </c>
      <c r="Y86" s="22" t="n">
        <v>0</v>
      </c>
      <c r="Z86" s="22" t="n">
        <v>0</v>
      </c>
    </row>
    <row r="87" customFormat="false" ht="15" hidden="false" customHeight="true" outlineLevel="0" collapsed="false">
      <c r="A87" s="5" t="n">
        <f aca="false">A86+1</f>
        <v>82</v>
      </c>
      <c r="B87" s="16" t="n">
        <f aca="false">B86+IF(WEEKDAY(B86,2)=6,2,1)</f>
        <v>46118</v>
      </c>
      <c r="C87" s="5" t="n">
        <f aca="false">MONTH(B87)</f>
        <v>4</v>
      </c>
      <c r="D87" s="5" t="n">
        <f aca="false">IF(C87&lt;&gt;C86,1,0)</f>
        <v>0</v>
      </c>
      <c r="E87" s="17" t="n">
        <f aca="false">IF(L86=1,CantPedido,0)</f>
        <v>15</v>
      </c>
      <c r="F87" s="5" t="n">
        <f aca="false">J86+E87</f>
        <v>20</v>
      </c>
      <c r="G87" s="5" t="n">
        <f aca="true">VLOOKUP(RAND(),TablaEmpirica,2,TRUE())</f>
        <v>7</v>
      </c>
      <c r="H87" s="5" t="n">
        <f aca="false">MIN(F87,G87)</f>
        <v>7</v>
      </c>
      <c r="I87" s="5" t="n">
        <f aca="false">G87-H87</f>
        <v>0</v>
      </c>
      <c r="J87" s="5" t="n">
        <f aca="false">F87-H87</f>
        <v>13</v>
      </c>
      <c r="K87" s="5" t="n">
        <f aca="false">IF(I87&gt;0,1,0)</f>
        <v>0</v>
      </c>
      <c r="L87" s="5" t="n">
        <f aca="false">IF(J87&lt;PuntoReorden,1,0)</f>
        <v>0</v>
      </c>
      <c r="M87" s="18" t="n">
        <f aca="false">PrecioVenta*H87</f>
        <v>4760000</v>
      </c>
      <c r="N87" s="18" t="n">
        <f aca="false">CostoUnitario*E87</f>
        <v>9000000</v>
      </c>
      <c r="O87" s="18" t="n">
        <f aca="false">IF(E87&gt;0,CostoPedido,0)</f>
        <v>40000</v>
      </c>
      <c r="P87" s="18" t="n">
        <f aca="false">CostoAlm*(F87+J87)/2</f>
        <v>1320</v>
      </c>
      <c r="Q87" s="18" t="n">
        <f aca="false">CostoFijo*D87</f>
        <v>0</v>
      </c>
      <c r="R87" s="18" t="n">
        <f aca="false">M87-N87-O87-P87-Q87</f>
        <v>-4281320</v>
      </c>
      <c r="W87" s="5" t="n">
        <v>81</v>
      </c>
      <c r="X87" s="21" t="n">
        <v>105631600</v>
      </c>
      <c r="Y87" s="22" t="n">
        <v>0</v>
      </c>
      <c r="Z87" s="22" t="n">
        <v>0</v>
      </c>
    </row>
    <row r="88" customFormat="false" ht="15" hidden="false" customHeight="true" outlineLevel="0" collapsed="false">
      <c r="A88" s="5" t="n">
        <f aca="false">A87+1</f>
        <v>83</v>
      </c>
      <c r="B88" s="16" t="n">
        <f aca="false">B87+IF(WEEKDAY(B87,2)=6,2,1)</f>
        <v>46119</v>
      </c>
      <c r="C88" s="5" t="n">
        <f aca="false">MONTH(B88)</f>
        <v>4</v>
      </c>
      <c r="D88" s="5" t="n">
        <f aca="false">IF(C88&lt;&gt;C87,1,0)</f>
        <v>0</v>
      </c>
      <c r="E88" s="5" t="n">
        <f aca="false">IF(L87=1,CantPedido,0)</f>
        <v>0</v>
      </c>
      <c r="F88" s="5" t="n">
        <f aca="false">J87+E88</f>
        <v>13</v>
      </c>
      <c r="G88" s="5" t="n">
        <f aca="true">VLOOKUP(RAND(),TablaEmpirica,2,TRUE())</f>
        <v>4</v>
      </c>
      <c r="H88" s="5" t="n">
        <f aca="false">MIN(F88,G88)</f>
        <v>4</v>
      </c>
      <c r="I88" s="5" t="n">
        <f aca="false">G88-H88</f>
        <v>0</v>
      </c>
      <c r="J88" s="5" t="n">
        <f aca="false">F88-H88</f>
        <v>9</v>
      </c>
      <c r="K88" s="5" t="n">
        <f aca="false">IF(I88&gt;0,1,0)</f>
        <v>0</v>
      </c>
      <c r="L88" s="5" t="n">
        <f aca="false">IF(J88&lt;PuntoReorden,1,0)</f>
        <v>0</v>
      </c>
      <c r="M88" s="18" t="n">
        <f aca="false">PrecioVenta*H88</f>
        <v>2720000</v>
      </c>
      <c r="N88" s="18" t="n">
        <f aca="false">CostoUnitario*E88</f>
        <v>0</v>
      </c>
      <c r="O88" s="18" t="n">
        <f aca="false">IF(E88&gt;0,CostoPedido,0)</f>
        <v>0</v>
      </c>
      <c r="P88" s="18" t="n">
        <f aca="false">CostoAlm*(F88+J88)/2</f>
        <v>880</v>
      </c>
      <c r="Q88" s="18" t="n">
        <f aca="false">CostoFijo*D88</f>
        <v>0</v>
      </c>
      <c r="R88" s="18" t="n">
        <f aca="false">M88-N88-O88-P88-Q88</f>
        <v>2719120</v>
      </c>
      <c r="W88" s="5" t="n">
        <v>82</v>
      </c>
      <c r="X88" s="21" t="n">
        <v>102226920</v>
      </c>
      <c r="Y88" s="22" t="n">
        <v>0</v>
      </c>
      <c r="Z88" s="22" t="n">
        <v>0</v>
      </c>
    </row>
    <row r="89" customFormat="false" ht="15" hidden="false" customHeight="true" outlineLevel="0" collapsed="false">
      <c r="A89" s="5" t="n">
        <f aca="false">A88+1</f>
        <v>84</v>
      </c>
      <c r="B89" s="16" t="n">
        <f aca="false">B88+IF(WEEKDAY(B88,2)=6,2,1)</f>
        <v>46120</v>
      </c>
      <c r="C89" s="5" t="n">
        <f aca="false">MONTH(B89)</f>
        <v>4</v>
      </c>
      <c r="D89" s="5" t="n">
        <f aca="false">IF(C89&lt;&gt;C88,1,0)</f>
        <v>0</v>
      </c>
      <c r="E89" s="5" t="n">
        <f aca="false">IF(L88=1,CantPedido,0)</f>
        <v>0</v>
      </c>
      <c r="F89" s="5" t="n">
        <f aca="false">J88+E89</f>
        <v>9</v>
      </c>
      <c r="G89" s="5" t="n">
        <f aca="true">VLOOKUP(RAND(),TablaEmpirica,2,TRUE())</f>
        <v>6</v>
      </c>
      <c r="H89" s="5" t="n">
        <f aca="false">MIN(F89,G89)</f>
        <v>6</v>
      </c>
      <c r="I89" s="5" t="n">
        <f aca="false">G89-H89</f>
        <v>0</v>
      </c>
      <c r="J89" s="5" t="n">
        <f aca="false">F89-H89</f>
        <v>3</v>
      </c>
      <c r="K89" s="5" t="n">
        <f aca="false">IF(I89&gt;0,1,0)</f>
        <v>0</v>
      </c>
      <c r="L89" s="5" t="n">
        <f aca="false">IF(J89&lt;PuntoReorden,1,0)</f>
        <v>1</v>
      </c>
      <c r="M89" s="18" t="n">
        <f aca="false">PrecioVenta*H89</f>
        <v>4080000</v>
      </c>
      <c r="N89" s="18" t="n">
        <f aca="false">CostoUnitario*E89</f>
        <v>0</v>
      </c>
      <c r="O89" s="18" t="n">
        <f aca="false">IF(E89&gt;0,CostoPedido,0)</f>
        <v>0</v>
      </c>
      <c r="P89" s="18" t="n">
        <f aca="false">CostoAlm*(F89+J89)/2</f>
        <v>480</v>
      </c>
      <c r="Q89" s="18" t="n">
        <f aca="false">CostoFijo*D89</f>
        <v>0</v>
      </c>
      <c r="R89" s="18" t="n">
        <f aca="false">M89-N89-O89-P89-Q89</f>
        <v>4079520</v>
      </c>
      <c r="W89" s="5" t="n">
        <v>83</v>
      </c>
      <c r="X89" s="21" t="n">
        <v>105633040</v>
      </c>
      <c r="Y89" s="22" t="n">
        <v>0</v>
      </c>
      <c r="Z89" s="22" t="n">
        <v>0</v>
      </c>
    </row>
    <row r="90" customFormat="false" ht="15" hidden="false" customHeight="true" outlineLevel="0" collapsed="false">
      <c r="A90" s="5" t="n">
        <f aca="false">A89+1</f>
        <v>85</v>
      </c>
      <c r="B90" s="16" t="n">
        <f aca="false">B89+IF(WEEKDAY(B89,2)=6,2,1)</f>
        <v>46121</v>
      </c>
      <c r="C90" s="5" t="n">
        <f aca="false">MONTH(B90)</f>
        <v>4</v>
      </c>
      <c r="D90" s="5" t="n">
        <f aca="false">IF(C90&lt;&gt;C89,1,0)</f>
        <v>0</v>
      </c>
      <c r="E90" s="17" t="n">
        <f aca="false">IF(L89=1,CantPedido,0)</f>
        <v>15</v>
      </c>
      <c r="F90" s="5" t="n">
        <f aca="false">J89+E90</f>
        <v>18</v>
      </c>
      <c r="G90" s="5" t="n">
        <f aca="true">VLOOKUP(RAND(),TablaEmpirica,2,TRUE())</f>
        <v>5</v>
      </c>
      <c r="H90" s="5" t="n">
        <f aca="false">MIN(F90,G90)</f>
        <v>5</v>
      </c>
      <c r="I90" s="5" t="n">
        <f aca="false">G90-H90</f>
        <v>0</v>
      </c>
      <c r="J90" s="5" t="n">
        <f aca="false">F90-H90</f>
        <v>13</v>
      </c>
      <c r="K90" s="5" t="n">
        <f aca="false">IF(I90&gt;0,1,0)</f>
        <v>0</v>
      </c>
      <c r="L90" s="5" t="n">
        <f aca="false">IF(J90&lt;PuntoReorden,1,0)</f>
        <v>0</v>
      </c>
      <c r="M90" s="18" t="n">
        <f aca="false">PrecioVenta*H90</f>
        <v>3400000</v>
      </c>
      <c r="N90" s="18" t="n">
        <f aca="false">CostoUnitario*E90</f>
        <v>9000000</v>
      </c>
      <c r="O90" s="18" t="n">
        <f aca="false">IF(E90&gt;0,CostoPedido,0)</f>
        <v>40000</v>
      </c>
      <c r="P90" s="18" t="n">
        <f aca="false">CostoAlm*(F90+J90)/2</f>
        <v>1240</v>
      </c>
      <c r="Q90" s="18" t="n">
        <f aca="false">CostoFijo*D90</f>
        <v>0</v>
      </c>
      <c r="R90" s="18" t="n">
        <f aca="false">M90-N90-O90-P90-Q90</f>
        <v>-5641240</v>
      </c>
      <c r="W90" s="5" t="n">
        <v>84</v>
      </c>
      <c r="X90" s="21" t="n">
        <v>102907120</v>
      </c>
      <c r="Y90" s="22" t="n">
        <v>0</v>
      </c>
      <c r="Z90" s="22" t="n">
        <v>0</v>
      </c>
    </row>
    <row r="91" customFormat="false" ht="15" hidden="false" customHeight="true" outlineLevel="0" collapsed="false">
      <c r="A91" s="5" t="n">
        <f aca="false">A90+1</f>
        <v>86</v>
      </c>
      <c r="B91" s="16" t="n">
        <f aca="false">B90+IF(WEEKDAY(B90,2)=6,2,1)</f>
        <v>46122</v>
      </c>
      <c r="C91" s="5" t="n">
        <f aca="false">MONTH(B91)</f>
        <v>4</v>
      </c>
      <c r="D91" s="5" t="n">
        <f aca="false">IF(C91&lt;&gt;C90,1,0)</f>
        <v>0</v>
      </c>
      <c r="E91" s="5" t="n">
        <f aca="false">IF(L90=1,CantPedido,0)</f>
        <v>0</v>
      </c>
      <c r="F91" s="5" t="n">
        <f aca="false">J90+E91</f>
        <v>13</v>
      </c>
      <c r="G91" s="5" t="n">
        <f aca="true">VLOOKUP(RAND(),TablaEmpirica,2,TRUE())</f>
        <v>5</v>
      </c>
      <c r="H91" s="5" t="n">
        <f aca="false">MIN(F91,G91)</f>
        <v>5</v>
      </c>
      <c r="I91" s="5" t="n">
        <f aca="false">G91-H91</f>
        <v>0</v>
      </c>
      <c r="J91" s="5" t="n">
        <f aca="false">F91-H91</f>
        <v>8</v>
      </c>
      <c r="K91" s="5" t="n">
        <f aca="false">IF(I91&gt;0,1,0)</f>
        <v>0</v>
      </c>
      <c r="L91" s="5" t="n">
        <f aca="false">IF(J91&lt;PuntoReorden,1,0)</f>
        <v>0</v>
      </c>
      <c r="M91" s="18" t="n">
        <f aca="false">PrecioVenta*H91</f>
        <v>3400000</v>
      </c>
      <c r="N91" s="18" t="n">
        <f aca="false">CostoUnitario*E91</f>
        <v>0</v>
      </c>
      <c r="O91" s="18" t="n">
        <f aca="false">IF(E91&gt;0,CostoPedido,0)</f>
        <v>0</v>
      </c>
      <c r="P91" s="18" t="n">
        <f aca="false">CostoAlm*(F91+J91)/2</f>
        <v>840</v>
      </c>
      <c r="Q91" s="18" t="n">
        <f aca="false">CostoFijo*D91</f>
        <v>0</v>
      </c>
      <c r="R91" s="18" t="n">
        <f aca="false">M91-N91-O91-P91-Q91</f>
        <v>3399160</v>
      </c>
      <c r="W91" s="5" t="n">
        <v>85</v>
      </c>
      <c r="X91" s="21" t="n">
        <v>101548480</v>
      </c>
      <c r="Y91" s="22" t="n">
        <v>0</v>
      </c>
      <c r="Z91" s="22" t="n">
        <v>0</v>
      </c>
    </row>
    <row r="92" customFormat="false" ht="15" hidden="false" customHeight="true" outlineLevel="0" collapsed="false">
      <c r="A92" s="5" t="n">
        <f aca="false">A91+1</f>
        <v>87</v>
      </c>
      <c r="B92" s="16" t="n">
        <f aca="false">B91+IF(WEEKDAY(B91,2)=6,2,1)</f>
        <v>46123</v>
      </c>
      <c r="C92" s="5" t="n">
        <f aca="false">MONTH(B92)</f>
        <v>4</v>
      </c>
      <c r="D92" s="5" t="n">
        <f aca="false">IF(C92&lt;&gt;C91,1,0)</f>
        <v>0</v>
      </c>
      <c r="E92" s="5" t="n">
        <f aca="false">IF(L91=1,CantPedido,0)</f>
        <v>0</v>
      </c>
      <c r="F92" s="5" t="n">
        <f aca="false">J91+E92</f>
        <v>8</v>
      </c>
      <c r="G92" s="5" t="n">
        <f aca="true">VLOOKUP(RAND(),TablaEmpirica,2,TRUE())</f>
        <v>5</v>
      </c>
      <c r="H92" s="5" t="n">
        <f aca="false">MIN(F92,G92)</f>
        <v>5</v>
      </c>
      <c r="I92" s="5" t="n">
        <f aca="false">G92-H92</f>
        <v>0</v>
      </c>
      <c r="J92" s="5" t="n">
        <f aca="false">F92-H92</f>
        <v>3</v>
      </c>
      <c r="K92" s="5" t="n">
        <f aca="false">IF(I92&gt;0,1,0)</f>
        <v>0</v>
      </c>
      <c r="L92" s="5" t="n">
        <f aca="false">IF(J92&lt;PuntoReorden,1,0)</f>
        <v>1</v>
      </c>
      <c r="M92" s="18" t="n">
        <f aca="false">PrecioVenta*H92</f>
        <v>3400000</v>
      </c>
      <c r="N92" s="18" t="n">
        <f aca="false">CostoUnitario*E92</f>
        <v>0</v>
      </c>
      <c r="O92" s="18" t="n">
        <f aca="false">IF(E92&gt;0,CostoPedido,0)</f>
        <v>0</v>
      </c>
      <c r="P92" s="18" t="n">
        <f aca="false">CostoAlm*(F92+J92)/2</f>
        <v>440</v>
      </c>
      <c r="Q92" s="18" t="n">
        <f aca="false">CostoFijo*D92</f>
        <v>0</v>
      </c>
      <c r="R92" s="18" t="n">
        <f aca="false">M92-N92-O92-P92-Q92</f>
        <v>3399560</v>
      </c>
      <c r="W92" s="5" t="n">
        <v>86</v>
      </c>
      <c r="X92" s="21" t="n">
        <v>104959240</v>
      </c>
      <c r="Y92" s="22" t="n">
        <v>0</v>
      </c>
      <c r="Z92" s="22" t="n">
        <v>0</v>
      </c>
    </row>
    <row r="93" customFormat="false" ht="15" hidden="false" customHeight="true" outlineLevel="0" collapsed="false">
      <c r="A93" s="5" t="n">
        <f aca="false">A92+1</f>
        <v>88</v>
      </c>
      <c r="B93" s="16" t="n">
        <f aca="false">B92+IF(WEEKDAY(B92,2)=6,2,1)</f>
        <v>46125</v>
      </c>
      <c r="C93" s="5" t="n">
        <f aca="false">MONTH(B93)</f>
        <v>4</v>
      </c>
      <c r="D93" s="5" t="n">
        <f aca="false">IF(C93&lt;&gt;C92,1,0)</f>
        <v>0</v>
      </c>
      <c r="E93" s="17" t="n">
        <f aca="false">IF(L92=1,CantPedido,0)</f>
        <v>15</v>
      </c>
      <c r="F93" s="5" t="n">
        <f aca="false">J92+E93</f>
        <v>18</v>
      </c>
      <c r="G93" s="5" t="n">
        <f aca="true">VLOOKUP(RAND(),TablaEmpirica,2,TRUE())</f>
        <v>5</v>
      </c>
      <c r="H93" s="5" t="n">
        <f aca="false">MIN(F93,G93)</f>
        <v>5</v>
      </c>
      <c r="I93" s="5" t="n">
        <f aca="false">G93-H93</f>
        <v>0</v>
      </c>
      <c r="J93" s="5" t="n">
        <f aca="false">F93-H93</f>
        <v>13</v>
      </c>
      <c r="K93" s="5" t="n">
        <f aca="false">IF(I93&gt;0,1,0)</f>
        <v>0</v>
      </c>
      <c r="L93" s="5" t="n">
        <f aca="false">IF(J93&lt;PuntoReorden,1,0)</f>
        <v>0</v>
      </c>
      <c r="M93" s="18" t="n">
        <f aca="false">PrecioVenta*H93</f>
        <v>3400000</v>
      </c>
      <c r="N93" s="18" t="n">
        <f aca="false">CostoUnitario*E93</f>
        <v>9000000</v>
      </c>
      <c r="O93" s="18" t="n">
        <f aca="false">IF(E93&gt;0,CostoPedido,0)</f>
        <v>40000</v>
      </c>
      <c r="P93" s="18" t="n">
        <f aca="false">CostoAlm*(F93+J93)/2</f>
        <v>1240</v>
      </c>
      <c r="Q93" s="18" t="n">
        <f aca="false">CostoFijo*D93</f>
        <v>0</v>
      </c>
      <c r="R93" s="18" t="n">
        <f aca="false">M93-N93-O93-P93-Q93</f>
        <v>-5641240</v>
      </c>
      <c r="W93" s="5" t="n">
        <v>87</v>
      </c>
      <c r="X93" s="21" t="n">
        <v>108631960</v>
      </c>
      <c r="Y93" s="22" t="n">
        <v>0</v>
      </c>
      <c r="Z93" s="22" t="n">
        <v>0</v>
      </c>
    </row>
    <row r="94" customFormat="false" ht="15" hidden="false" customHeight="true" outlineLevel="0" collapsed="false">
      <c r="A94" s="5" t="n">
        <f aca="false">A93+1</f>
        <v>89</v>
      </c>
      <c r="B94" s="16" t="n">
        <f aca="false">B93+IF(WEEKDAY(B93,2)=6,2,1)</f>
        <v>46126</v>
      </c>
      <c r="C94" s="5" t="n">
        <f aca="false">MONTH(B94)</f>
        <v>4</v>
      </c>
      <c r="D94" s="5" t="n">
        <f aca="false">IF(C94&lt;&gt;C93,1,0)</f>
        <v>0</v>
      </c>
      <c r="E94" s="5" t="n">
        <f aca="false">IF(L93=1,CantPedido,0)</f>
        <v>0</v>
      </c>
      <c r="F94" s="5" t="n">
        <f aca="false">J93+E94</f>
        <v>13</v>
      </c>
      <c r="G94" s="5" t="n">
        <f aca="true">VLOOKUP(RAND(),TablaEmpirica,2,TRUE())</f>
        <v>5</v>
      </c>
      <c r="H94" s="5" t="n">
        <f aca="false">MIN(F94,G94)</f>
        <v>5</v>
      </c>
      <c r="I94" s="5" t="n">
        <f aca="false">G94-H94</f>
        <v>0</v>
      </c>
      <c r="J94" s="5" t="n">
        <f aca="false">F94-H94</f>
        <v>8</v>
      </c>
      <c r="K94" s="5" t="n">
        <f aca="false">IF(I94&gt;0,1,0)</f>
        <v>0</v>
      </c>
      <c r="L94" s="5" t="n">
        <f aca="false">IF(J94&lt;PuntoReorden,1,0)</f>
        <v>0</v>
      </c>
      <c r="M94" s="18" t="n">
        <f aca="false">PrecioVenta*H94</f>
        <v>3400000</v>
      </c>
      <c r="N94" s="18" t="n">
        <f aca="false">CostoUnitario*E94</f>
        <v>0</v>
      </c>
      <c r="O94" s="18" t="n">
        <f aca="false">IF(E94&gt;0,CostoPedido,0)</f>
        <v>0</v>
      </c>
      <c r="P94" s="18" t="n">
        <f aca="false">CostoAlm*(F94+J94)/2</f>
        <v>840</v>
      </c>
      <c r="Q94" s="18" t="n">
        <f aca="false">CostoFijo*D94</f>
        <v>0</v>
      </c>
      <c r="R94" s="18" t="n">
        <f aca="false">M94-N94-O94-P94-Q94</f>
        <v>3399160</v>
      </c>
      <c r="W94" s="5" t="n">
        <v>88</v>
      </c>
      <c r="X94" s="21" t="n">
        <v>102628680</v>
      </c>
      <c r="Y94" s="22" t="n">
        <v>0</v>
      </c>
      <c r="Z94" s="22" t="n">
        <v>0</v>
      </c>
    </row>
    <row r="95" customFormat="false" ht="15" hidden="false" customHeight="true" outlineLevel="0" collapsed="false">
      <c r="A95" s="5" t="n">
        <f aca="false">A94+1</f>
        <v>90</v>
      </c>
      <c r="B95" s="16" t="n">
        <f aca="false">B94+IF(WEEKDAY(B94,2)=6,2,1)</f>
        <v>46127</v>
      </c>
      <c r="C95" s="5" t="n">
        <f aca="false">MONTH(B95)</f>
        <v>4</v>
      </c>
      <c r="D95" s="5" t="n">
        <f aca="false">IF(C95&lt;&gt;C94,1,0)</f>
        <v>0</v>
      </c>
      <c r="E95" s="5" t="n">
        <f aca="false">IF(L94=1,CantPedido,0)</f>
        <v>0</v>
      </c>
      <c r="F95" s="5" t="n">
        <f aca="false">J94+E95</f>
        <v>8</v>
      </c>
      <c r="G95" s="5" t="n">
        <f aca="true">VLOOKUP(RAND(),TablaEmpirica,2,TRUE())</f>
        <v>3</v>
      </c>
      <c r="H95" s="5" t="n">
        <f aca="false">MIN(F95,G95)</f>
        <v>3</v>
      </c>
      <c r="I95" s="5" t="n">
        <f aca="false">G95-H95</f>
        <v>0</v>
      </c>
      <c r="J95" s="5" t="n">
        <f aca="false">F95-H95</f>
        <v>5</v>
      </c>
      <c r="K95" s="5" t="n">
        <f aca="false">IF(I95&gt;0,1,0)</f>
        <v>0</v>
      </c>
      <c r="L95" s="5" t="n">
        <f aca="false">IF(J95&lt;PuntoReorden,1,0)</f>
        <v>1</v>
      </c>
      <c r="M95" s="18" t="n">
        <f aca="false">PrecioVenta*H95</f>
        <v>2040000</v>
      </c>
      <c r="N95" s="18" t="n">
        <f aca="false">CostoUnitario*E95</f>
        <v>0</v>
      </c>
      <c r="O95" s="18" t="n">
        <f aca="false">IF(E95&gt;0,CostoPedido,0)</f>
        <v>0</v>
      </c>
      <c r="P95" s="18" t="n">
        <f aca="false">CostoAlm*(F95+J95)/2</f>
        <v>520</v>
      </c>
      <c r="Q95" s="18" t="n">
        <f aca="false">CostoFijo*D95</f>
        <v>0</v>
      </c>
      <c r="R95" s="18" t="n">
        <f aca="false">M95-N95-O95-P95-Q95</f>
        <v>2039480</v>
      </c>
      <c r="W95" s="5" t="n">
        <v>89</v>
      </c>
      <c r="X95" s="21" t="n">
        <v>102031600</v>
      </c>
      <c r="Y95" s="22" t="n">
        <v>0</v>
      </c>
      <c r="Z95" s="22" t="n">
        <v>0</v>
      </c>
    </row>
    <row r="96" customFormat="false" ht="15" hidden="false" customHeight="true" outlineLevel="0" collapsed="false">
      <c r="A96" s="5" t="n">
        <f aca="false">A95+1</f>
        <v>91</v>
      </c>
      <c r="B96" s="16" t="n">
        <f aca="false">B95+IF(WEEKDAY(B95,2)=6,2,1)</f>
        <v>46128</v>
      </c>
      <c r="C96" s="5" t="n">
        <f aca="false">MONTH(B96)</f>
        <v>4</v>
      </c>
      <c r="D96" s="5" t="n">
        <f aca="false">IF(C96&lt;&gt;C95,1,0)</f>
        <v>0</v>
      </c>
      <c r="E96" s="17" t="n">
        <f aca="false">IF(L95=1,CantPedido,0)</f>
        <v>15</v>
      </c>
      <c r="F96" s="5" t="n">
        <f aca="false">J95+E96</f>
        <v>20</v>
      </c>
      <c r="G96" s="5" t="n">
        <f aca="true">VLOOKUP(RAND(),TablaEmpirica,2,TRUE())</f>
        <v>3</v>
      </c>
      <c r="H96" s="5" t="n">
        <f aca="false">MIN(F96,G96)</f>
        <v>3</v>
      </c>
      <c r="I96" s="5" t="n">
        <f aca="false">G96-H96</f>
        <v>0</v>
      </c>
      <c r="J96" s="5" t="n">
        <f aca="false">F96-H96</f>
        <v>17</v>
      </c>
      <c r="K96" s="5" t="n">
        <f aca="false">IF(I96&gt;0,1,0)</f>
        <v>0</v>
      </c>
      <c r="L96" s="5" t="n">
        <f aca="false">IF(J96&lt;PuntoReorden,1,0)</f>
        <v>0</v>
      </c>
      <c r="M96" s="18" t="n">
        <f aca="false">PrecioVenta*H96</f>
        <v>2040000</v>
      </c>
      <c r="N96" s="18" t="n">
        <f aca="false">CostoUnitario*E96</f>
        <v>9000000</v>
      </c>
      <c r="O96" s="18" t="n">
        <f aca="false">IF(E96&gt;0,CostoPedido,0)</f>
        <v>40000</v>
      </c>
      <c r="P96" s="18" t="n">
        <f aca="false">CostoAlm*(F96+J96)/2</f>
        <v>1480</v>
      </c>
      <c r="Q96" s="18" t="n">
        <f aca="false">CostoFijo*D96</f>
        <v>0</v>
      </c>
      <c r="R96" s="18" t="n">
        <f aca="false">M96-N96-O96-P96-Q96</f>
        <v>-7001480</v>
      </c>
      <c r="W96" s="5" t="n">
        <v>90</v>
      </c>
      <c r="X96" s="21" t="n">
        <v>101631760</v>
      </c>
      <c r="Y96" s="22" t="n">
        <v>0</v>
      </c>
      <c r="Z96" s="22" t="n">
        <v>0</v>
      </c>
    </row>
    <row r="97" customFormat="false" ht="15" hidden="false" customHeight="true" outlineLevel="0" collapsed="false">
      <c r="A97" s="5" t="n">
        <f aca="false">A96+1</f>
        <v>92</v>
      </c>
      <c r="B97" s="16" t="n">
        <f aca="false">B96+IF(WEEKDAY(B96,2)=6,2,1)</f>
        <v>46129</v>
      </c>
      <c r="C97" s="5" t="n">
        <f aca="false">MONTH(B97)</f>
        <v>4</v>
      </c>
      <c r="D97" s="5" t="n">
        <f aca="false">IF(C97&lt;&gt;C96,1,0)</f>
        <v>0</v>
      </c>
      <c r="E97" s="17" t="n">
        <f aca="false">IF(L96=1,CantPedido,0)</f>
        <v>0</v>
      </c>
      <c r="F97" s="5" t="n">
        <f aca="false">J96+E97</f>
        <v>17</v>
      </c>
      <c r="G97" s="5" t="n">
        <f aca="true">VLOOKUP(RAND(),TablaEmpirica,2,TRUE())</f>
        <v>3</v>
      </c>
      <c r="H97" s="5" t="n">
        <f aca="false">MIN(F97,G97)</f>
        <v>3</v>
      </c>
      <c r="I97" s="5" t="n">
        <f aca="false">G97-H97</f>
        <v>0</v>
      </c>
      <c r="J97" s="5" t="n">
        <f aca="false">F97-H97</f>
        <v>14</v>
      </c>
      <c r="K97" s="5" t="n">
        <f aca="false">IF(I97&gt;0,1,0)</f>
        <v>0</v>
      </c>
      <c r="L97" s="5" t="n">
        <f aca="false">IF(J97&lt;PuntoReorden,1,0)</f>
        <v>0</v>
      </c>
      <c r="M97" s="18" t="n">
        <f aca="false">PrecioVenta*H97</f>
        <v>2040000</v>
      </c>
      <c r="N97" s="18" t="n">
        <f aca="false">CostoUnitario*E97</f>
        <v>0</v>
      </c>
      <c r="O97" s="18" t="n">
        <f aca="false">IF(E97&gt;0,CostoPedido,0)</f>
        <v>0</v>
      </c>
      <c r="P97" s="18" t="n">
        <f aca="false">CostoAlm*(F97+J97)/2</f>
        <v>1240</v>
      </c>
      <c r="Q97" s="18" t="n">
        <f aca="false">CostoFijo*D97</f>
        <v>0</v>
      </c>
      <c r="R97" s="18" t="n">
        <f aca="false">M97-N97-O97-P97-Q97</f>
        <v>2038760</v>
      </c>
      <c r="W97" s="5" t="n">
        <v>91</v>
      </c>
      <c r="X97" s="21" t="n">
        <v>103796400</v>
      </c>
      <c r="Y97" s="22" t="n">
        <v>0</v>
      </c>
      <c r="Z97" s="22" t="n">
        <v>0</v>
      </c>
    </row>
    <row r="98" customFormat="false" ht="15" hidden="false" customHeight="true" outlineLevel="0" collapsed="false">
      <c r="A98" s="5" t="n">
        <f aca="false">A97+1</f>
        <v>93</v>
      </c>
      <c r="B98" s="16" t="n">
        <f aca="false">B97+IF(WEEKDAY(B97,2)=6,2,1)</f>
        <v>46130</v>
      </c>
      <c r="C98" s="5" t="n">
        <f aca="false">MONTH(B98)</f>
        <v>4</v>
      </c>
      <c r="D98" s="5" t="n">
        <f aca="false">IF(C98&lt;&gt;C97,1,0)</f>
        <v>0</v>
      </c>
      <c r="E98" s="5" t="n">
        <f aca="false">IF(L97=1,CantPedido,0)</f>
        <v>0</v>
      </c>
      <c r="F98" s="5" t="n">
        <f aca="false">J97+E98</f>
        <v>14</v>
      </c>
      <c r="G98" s="5" t="n">
        <f aca="true">VLOOKUP(RAND(),TablaEmpirica,2,TRUE())</f>
        <v>5</v>
      </c>
      <c r="H98" s="5" t="n">
        <f aca="false">MIN(F98,G98)</f>
        <v>5</v>
      </c>
      <c r="I98" s="5" t="n">
        <f aca="false">G98-H98</f>
        <v>0</v>
      </c>
      <c r="J98" s="5" t="n">
        <f aca="false">F98-H98</f>
        <v>9</v>
      </c>
      <c r="K98" s="5" t="n">
        <f aca="false">IF(I98&gt;0,1,0)</f>
        <v>0</v>
      </c>
      <c r="L98" s="5" t="n">
        <f aca="false">IF(J98&lt;PuntoReorden,1,0)</f>
        <v>0</v>
      </c>
      <c r="M98" s="18" t="n">
        <f aca="false">PrecioVenta*H98</f>
        <v>3400000</v>
      </c>
      <c r="N98" s="18" t="n">
        <f aca="false">CostoUnitario*E98</f>
        <v>0</v>
      </c>
      <c r="O98" s="18" t="n">
        <f aca="false">IF(E98&gt;0,CostoPedido,0)</f>
        <v>0</v>
      </c>
      <c r="P98" s="18" t="n">
        <f aca="false">CostoAlm*(F98+J98)/2</f>
        <v>920</v>
      </c>
      <c r="Q98" s="18" t="n">
        <f aca="false">CostoFijo*D98</f>
        <v>0</v>
      </c>
      <c r="R98" s="18" t="n">
        <f aca="false">M98-N98-O98-P98-Q98</f>
        <v>3399080</v>
      </c>
      <c r="W98" s="5" t="n">
        <v>92</v>
      </c>
      <c r="X98" s="21" t="n">
        <v>105034120</v>
      </c>
      <c r="Y98" s="22" t="n">
        <v>0</v>
      </c>
      <c r="Z98" s="22" t="n">
        <v>0</v>
      </c>
    </row>
    <row r="99" customFormat="false" ht="15" hidden="false" customHeight="true" outlineLevel="0" collapsed="false">
      <c r="A99" s="5" t="n">
        <f aca="false">A98+1</f>
        <v>94</v>
      </c>
      <c r="B99" s="16" t="n">
        <f aca="false">B98+IF(WEEKDAY(B98,2)=6,2,1)</f>
        <v>46132</v>
      </c>
      <c r="C99" s="5" t="n">
        <f aca="false">MONTH(B99)</f>
        <v>4</v>
      </c>
      <c r="D99" s="5" t="n">
        <f aca="false">IF(C99&lt;&gt;C98,1,0)</f>
        <v>0</v>
      </c>
      <c r="E99" s="5" t="n">
        <f aca="false">IF(L98=1,CantPedido,0)</f>
        <v>0</v>
      </c>
      <c r="F99" s="5" t="n">
        <f aca="false">J98+E99</f>
        <v>9</v>
      </c>
      <c r="G99" s="5" t="n">
        <f aca="true">VLOOKUP(RAND(),TablaEmpirica,2,TRUE())</f>
        <v>5</v>
      </c>
      <c r="H99" s="5" t="n">
        <f aca="false">MIN(F99,G99)</f>
        <v>5</v>
      </c>
      <c r="I99" s="5" t="n">
        <f aca="false">G99-H99</f>
        <v>0</v>
      </c>
      <c r="J99" s="5" t="n">
        <f aca="false">F99-H99</f>
        <v>4</v>
      </c>
      <c r="K99" s="5" t="n">
        <f aca="false">IF(I99&gt;0,1,0)</f>
        <v>0</v>
      </c>
      <c r="L99" s="5" t="n">
        <f aca="false">IF(J99&lt;PuntoReorden,1,0)</f>
        <v>1</v>
      </c>
      <c r="M99" s="18" t="n">
        <f aca="false">PrecioVenta*H99</f>
        <v>3400000</v>
      </c>
      <c r="N99" s="18" t="n">
        <f aca="false">CostoUnitario*E99</f>
        <v>0</v>
      </c>
      <c r="O99" s="18" t="n">
        <f aca="false">IF(E99&gt;0,CostoPedido,0)</f>
        <v>0</v>
      </c>
      <c r="P99" s="18" t="n">
        <f aca="false">CostoAlm*(F99+J99)/2</f>
        <v>520</v>
      </c>
      <c r="Q99" s="18" t="n">
        <f aca="false">CostoFijo*D99</f>
        <v>0</v>
      </c>
      <c r="R99" s="18" t="n">
        <f aca="false">M99-N99-O99-P99-Q99</f>
        <v>3399480</v>
      </c>
      <c r="W99" s="5" t="n">
        <v>93</v>
      </c>
      <c r="X99" s="21" t="n">
        <v>103792880</v>
      </c>
      <c r="Y99" s="22" t="n">
        <v>0</v>
      </c>
      <c r="Z99" s="22" t="n">
        <v>0</v>
      </c>
    </row>
    <row r="100" customFormat="false" ht="15" hidden="false" customHeight="true" outlineLevel="0" collapsed="false">
      <c r="A100" s="5" t="n">
        <f aca="false">A99+1</f>
        <v>95</v>
      </c>
      <c r="B100" s="16" t="n">
        <f aca="false">B99+IF(WEEKDAY(B99,2)=6,2,1)</f>
        <v>46133</v>
      </c>
      <c r="C100" s="5" t="n">
        <f aca="false">MONTH(B100)</f>
        <v>4</v>
      </c>
      <c r="D100" s="5" t="n">
        <f aca="false">IF(C100&lt;&gt;C99,1,0)</f>
        <v>0</v>
      </c>
      <c r="E100" s="17" t="n">
        <f aca="false">IF(L99=1,CantPedido,0)</f>
        <v>15</v>
      </c>
      <c r="F100" s="5" t="n">
        <f aca="false">J99+E100</f>
        <v>19</v>
      </c>
      <c r="G100" s="5" t="n">
        <f aca="true">VLOOKUP(RAND(),TablaEmpirica,2,TRUE())</f>
        <v>6</v>
      </c>
      <c r="H100" s="5" t="n">
        <f aca="false">MIN(F100,G100)</f>
        <v>6</v>
      </c>
      <c r="I100" s="5" t="n">
        <f aca="false">G100-H100</f>
        <v>0</v>
      </c>
      <c r="J100" s="5" t="n">
        <f aca="false">F100-H100</f>
        <v>13</v>
      </c>
      <c r="K100" s="5" t="n">
        <f aca="false">IF(I100&gt;0,1,0)</f>
        <v>0</v>
      </c>
      <c r="L100" s="5" t="n">
        <f aca="false">IF(J100&lt;PuntoReorden,1,0)</f>
        <v>0</v>
      </c>
      <c r="M100" s="18" t="n">
        <f aca="false">PrecioVenta*H100</f>
        <v>4080000</v>
      </c>
      <c r="N100" s="18" t="n">
        <f aca="false">CostoUnitario*E100</f>
        <v>9000000</v>
      </c>
      <c r="O100" s="18" t="n">
        <f aca="false">IF(E100&gt;0,CostoPedido,0)</f>
        <v>40000</v>
      </c>
      <c r="P100" s="18" t="n">
        <f aca="false">CostoAlm*(F100+J100)/2</f>
        <v>1280</v>
      </c>
      <c r="Q100" s="18" t="n">
        <f aca="false">CostoFijo*D100</f>
        <v>0</v>
      </c>
      <c r="R100" s="18" t="n">
        <f aca="false">M100-N100-O100-P100-Q100</f>
        <v>-4961280</v>
      </c>
      <c r="W100" s="5" t="n">
        <v>94</v>
      </c>
      <c r="X100" s="21" t="n">
        <v>100869400</v>
      </c>
      <c r="Y100" s="22" t="n">
        <v>0</v>
      </c>
      <c r="Z100" s="22" t="n">
        <v>0</v>
      </c>
    </row>
    <row r="101" customFormat="false" ht="15" hidden="false" customHeight="true" outlineLevel="0" collapsed="false">
      <c r="A101" s="5" t="n">
        <f aca="false">A100+1</f>
        <v>96</v>
      </c>
      <c r="B101" s="16" t="n">
        <f aca="false">B100+IF(WEEKDAY(B100,2)=6,2,1)</f>
        <v>46134</v>
      </c>
      <c r="C101" s="5" t="n">
        <f aca="false">MONTH(B101)</f>
        <v>4</v>
      </c>
      <c r="D101" s="5" t="n">
        <f aca="false">IF(C101&lt;&gt;C100,1,0)</f>
        <v>0</v>
      </c>
      <c r="E101" s="5" t="n">
        <f aca="false">IF(L100=1,CantPedido,0)</f>
        <v>0</v>
      </c>
      <c r="F101" s="5" t="n">
        <f aca="false">J100+E101</f>
        <v>13</v>
      </c>
      <c r="G101" s="5" t="n">
        <f aca="true">VLOOKUP(RAND(),TablaEmpirica,2,TRUE())</f>
        <v>7</v>
      </c>
      <c r="H101" s="5" t="n">
        <f aca="false">MIN(F101,G101)</f>
        <v>7</v>
      </c>
      <c r="I101" s="5" t="n">
        <f aca="false">G101-H101</f>
        <v>0</v>
      </c>
      <c r="J101" s="5" t="n">
        <f aca="false">F101-H101</f>
        <v>6</v>
      </c>
      <c r="K101" s="5" t="n">
        <f aca="false">IF(I101&gt;0,1,0)</f>
        <v>0</v>
      </c>
      <c r="L101" s="5" t="n">
        <f aca="false">IF(J101&lt;PuntoReorden,1,0)</f>
        <v>1</v>
      </c>
      <c r="M101" s="18" t="n">
        <f aca="false">PrecioVenta*H101</f>
        <v>4760000</v>
      </c>
      <c r="N101" s="18" t="n">
        <f aca="false">CostoUnitario*E101</f>
        <v>0</v>
      </c>
      <c r="O101" s="18" t="n">
        <f aca="false">IF(E101&gt;0,CostoPedido,0)</f>
        <v>0</v>
      </c>
      <c r="P101" s="18" t="n">
        <f aca="false">CostoAlm*(F101+J101)/2</f>
        <v>760</v>
      </c>
      <c r="Q101" s="18" t="n">
        <f aca="false">CostoFijo*D101</f>
        <v>0</v>
      </c>
      <c r="R101" s="18" t="n">
        <f aca="false">M101-N101-O101-P101-Q101</f>
        <v>4759240</v>
      </c>
      <c r="W101" s="5" t="n">
        <v>95</v>
      </c>
      <c r="X101" s="21" t="n">
        <v>101347480</v>
      </c>
      <c r="Y101" s="22" t="n">
        <v>0</v>
      </c>
      <c r="Z101" s="22" t="n">
        <v>0</v>
      </c>
    </row>
    <row r="102" customFormat="false" ht="15" hidden="false" customHeight="true" outlineLevel="0" collapsed="false">
      <c r="A102" s="5" t="n">
        <f aca="false">A101+1</f>
        <v>97</v>
      </c>
      <c r="B102" s="16" t="n">
        <f aca="false">B101+IF(WEEKDAY(B101,2)=6,2,1)</f>
        <v>46135</v>
      </c>
      <c r="C102" s="5" t="n">
        <f aca="false">MONTH(B102)</f>
        <v>4</v>
      </c>
      <c r="D102" s="5" t="n">
        <f aca="false">IF(C102&lt;&gt;C101,1,0)</f>
        <v>0</v>
      </c>
      <c r="E102" s="17" t="n">
        <f aca="false">IF(L101=1,CantPedido,0)</f>
        <v>15</v>
      </c>
      <c r="F102" s="5" t="n">
        <f aca="false">J101+E102</f>
        <v>21</v>
      </c>
      <c r="G102" s="5" t="n">
        <f aca="true">VLOOKUP(RAND(),TablaEmpirica,2,TRUE())</f>
        <v>3</v>
      </c>
      <c r="H102" s="5" t="n">
        <f aca="false">MIN(F102,G102)</f>
        <v>3</v>
      </c>
      <c r="I102" s="5" t="n">
        <f aca="false">G102-H102</f>
        <v>0</v>
      </c>
      <c r="J102" s="5" t="n">
        <f aca="false">F102-H102</f>
        <v>18</v>
      </c>
      <c r="K102" s="5" t="n">
        <f aca="false">IF(I102&gt;0,1,0)</f>
        <v>0</v>
      </c>
      <c r="L102" s="5" t="n">
        <f aca="false">IF(J102&lt;PuntoReorden,1,0)</f>
        <v>0</v>
      </c>
      <c r="M102" s="18" t="n">
        <f aca="false">PrecioVenta*H102</f>
        <v>2040000</v>
      </c>
      <c r="N102" s="18" t="n">
        <f aca="false">CostoUnitario*E102</f>
        <v>9000000</v>
      </c>
      <c r="O102" s="18" t="n">
        <f aca="false">IF(E102&gt;0,CostoPedido,0)</f>
        <v>40000</v>
      </c>
      <c r="P102" s="18" t="n">
        <f aca="false">CostoAlm*(F102+J102)/2</f>
        <v>1560</v>
      </c>
      <c r="Q102" s="18" t="n">
        <f aca="false">CostoFijo*D102</f>
        <v>0</v>
      </c>
      <c r="R102" s="18" t="n">
        <f aca="false">M102-N102-O102-P102-Q102</f>
        <v>-7001560</v>
      </c>
      <c r="W102" s="5" t="n">
        <v>96</v>
      </c>
      <c r="X102" s="21" t="n">
        <v>111156640</v>
      </c>
      <c r="Y102" s="22" t="n">
        <v>0</v>
      </c>
      <c r="Z102" s="22" t="n">
        <v>0</v>
      </c>
    </row>
    <row r="103" customFormat="false" ht="15" hidden="false" customHeight="true" outlineLevel="0" collapsed="false">
      <c r="A103" s="5" t="n">
        <f aca="false">A102+1</f>
        <v>98</v>
      </c>
      <c r="B103" s="16" t="n">
        <f aca="false">B102+IF(WEEKDAY(B102,2)=6,2,1)</f>
        <v>46136</v>
      </c>
      <c r="C103" s="5" t="n">
        <f aca="false">MONTH(B103)</f>
        <v>4</v>
      </c>
      <c r="D103" s="5" t="n">
        <f aca="false">IF(C103&lt;&gt;C102,1,0)</f>
        <v>0</v>
      </c>
      <c r="E103" s="5" t="n">
        <f aca="false">IF(L102=1,CantPedido,0)</f>
        <v>0</v>
      </c>
      <c r="F103" s="5" t="n">
        <f aca="false">J102+E103</f>
        <v>18</v>
      </c>
      <c r="G103" s="5" t="n">
        <f aca="true">VLOOKUP(RAND(),TablaEmpirica,2,TRUE())</f>
        <v>5</v>
      </c>
      <c r="H103" s="5" t="n">
        <f aca="false">MIN(F103,G103)</f>
        <v>5</v>
      </c>
      <c r="I103" s="5" t="n">
        <f aca="false">G103-H103</f>
        <v>0</v>
      </c>
      <c r="J103" s="5" t="n">
        <f aca="false">F103-H103</f>
        <v>13</v>
      </c>
      <c r="K103" s="5" t="n">
        <f aca="false">IF(I103&gt;0,1,0)</f>
        <v>0</v>
      </c>
      <c r="L103" s="5" t="n">
        <f aca="false">IF(J103&lt;PuntoReorden,1,0)</f>
        <v>0</v>
      </c>
      <c r="M103" s="18" t="n">
        <f aca="false">PrecioVenta*H103</f>
        <v>3400000</v>
      </c>
      <c r="N103" s="18" t="n">
        <f aca="false">CostoUnitario*E103</f>
        <v>0</v>
      </c>
      <c r="O103" s="18" t="n">
        <f aca="false">IF(E103&gt;0,CostoPedido,0)</f>
        <v>0</v>
      </c>
      <c r="P103" s="18" t="n">
        <f aca="false">CostoAlm*(F103+J103)/2</f>
        <v>1240</v>
      </c>
      <c r="Q103" s="18" t="n">
        <f aca="false">CostoFijo*D103</f>
        <v>0</v>
      </c>
      <c r="R103" s="18" t="n">
        <f aca="false">M103-N103-O103-P103-Q103</f>
        <v>3398760</v>
      </c>
      <c r="W103" s="5" t="n">
        <v>97</v>
      </c>
      <c r="X103" s="21" t="n">
        <v>103387760</v>
      </c>
      <c r="Y103" s="22" t="n">
        <v>0</v>
      </c>
      <c r="Z103" s="22" t="n">
        <v>0</v>
      </c>
    </row>
    <row r="104" customFormat="false" ht="15" hidden="false" customHeight="true" outlineLevel="0" collapsed="false">
      <c r="A104" s="5" t="n">
        <f aca="false">A103+1</f>
        <v>99</v>
      </c>
      <c r="B104" s="16" t="n">
        <f aca="false">B103+IF(WEEKDAY(B103,2)=6,2,1)</f>
        <v>46137</v>
      </c>
      <c r="C104" s="5" t="n">
        <f aca="false">MONTH(B104)</f>
        <v>4</v>
      </c>
      <c r="D104" s="5" t="n">
        <f aca="false">IF(C104&lt;&gt;C103,1,0)</f>
        <v>0</v>
      </c>
      <c r="E104" s="17" t="n">
        <f aca="false">IF(L103=1,CantPedido,0)</f>
        <v>0</v>
      </c>
      <c r="F104" s="5" t="n">
        <f aca="false">J103+E104</f>
        <v>13</v>
      </c>
      <c r="G104" s="5" t="n">
        <f aca="true">VLOOKUP(RAND(),TablaEmpirica,2,TRUE())</f>
        <v>5</v>
      </c>
      <c r="H104" s="5" t="n">
        <f aca="false">MIN(F104,G104)</f>
        <v>5</v>
      </c>
      <c r="I104" s="5" t="n">
        <f aca="false">G104-H104</f>
        <v>0</v>
      </c>
      <c r="J104" s="5" t="n">
        <f aca="false">F104-H104</f>
        <v>8</v>
      </c>
      <c r="K104" s="5" t="n">
        <f aca="false">IF(I104&gt;0,1,0)</f>
        <v>0</v>
      </c>
      <c r="L104" s="5" t="n">
        <f aca="false">IF(J104&lt;PuntoReorden,1,0)</f>
        <v>0</v>
      </c>
      <c r="M104" s="18" t="n">
        <f aca="false">PrecioVenta*H104</f>
        <v>3400000</v>
      </c>
      <c r="N104" s="18" t="n">
        <f aca="false">CostoUnitario*E104</f>
        <v>0</v>
      </c>
      <c r="O104" s="18" t="n">
        <f aca="false">IF(E104&gt;0,CostoPedido,0)</f>
        <v>0</v>
      </c>
      <c r="P104" s="18" t="n">
        <f aca="false">CostoAlm*(F104+J104)/2</f>
        <v>840</v>
      </c>
      <c r="Q104" s="18" t="n">
        <f aca="false">CostoFijo*D104</f>
        <v>0</v>
      </c>
      <c r="R104" s="18" t="n">
        <f aca="false">M104-N104-O104-P104-Q104</f>
        <v>3399160</v>
      </c>
      <c r="W104" s="5" t="n">
        <v>98</v>
      </c>
      <c r="X104" s="21" t="n">
        <v>105431960</v>
      </c>
      <c r="Y104" s="22" t="n">
        <v>0</v>
      </c>
      <c r="Z104" s="22" t="n">
        <v>0</v>
      </c>
    </row>
    <row r="105" customFormat="false" ht="15" hidden="false" customHeight="true" outlineLevel="0" collapsed="false">
      <c r="A105" s="5" t="n">
        <f aca="false">A104+1</f>
        <v>100</v>
      </c>
      <c r="B105" s="16" t="n">
        <f aca="false">B104+IF(WEEKDAY(B104,2)=6,2,1)</f>
        <v>46139</v>
      </c>
      <c r="C105" s="5" t="n">
        <f aca="false">MONTH(B105)</f>
        <v>4</v>
      </c>
      <c r="D105" s="5" t="n">
        <f aca="false">IF(C105&lt;&gt;C104,1,0)</f>
        <v>0</v>
      </c>
      <c r="E105" s="5" t="n">
        <f aca="false">IF(L104=1,CantPedido,0)</f>
        <v>0</v>
      </c>
      <c r="F105" s="5" t="n">
        <f aca="false">J104+E105</f>
        <v>8</v>
      </c>
      <c r="G105" s="5" t="n">
        <f aca="true">VLOOKUP(RAND(),TablaEmpirica,2,TRUE())</f>
        <v>5</v>
      </c>
      <c r="H105" s="5" t="n">
        <f aca="false">MIN(F105,G105)</f>
        <v>5</v>
      </c>
      <c r="I105" s="5" t="n">
        <f aca="false">G105-H105</f>
        <v>0</v>
      </c>
      <c r="J105" s="5" t="n">
        <f aca="false">F105-H105</f>
        <v>3</v>
      </c>
      <c r="K105" s="5" t="n">
        <f aca="false">IF(I105&gt;0,1,0)</f>
        <v>0</v>
      </c>
      <c r="L105" s="5" t="n">
        <f aca="false">IF(J105&lt;PuntoReorden,1,0)</f>
        <v>1</v>
      </c>
      <c r="M105" s="18" t="n">
        <f aca="false">PrecioVenta*H105</f>
        <v>3400000</v>
      </c>
      <c r="N105" s="18" t="n">
        <f aca="false">CostoUnitario*E105</f>
        <v>0</v>
      </c>
      <c r="O105" s="18" t="n">
        <f aca="false">IF(E105&gt;0,CostoPedido,0)</f>
        <v>0</v>
      </c>
      <c r="P105" s="18" t="n">
        <f aca="false">CostoAlm*(F105+J105)/2</f>
        <v>440</v>
      </c>
      <c r="Q105" s="18" t="n">
        <f aca="false">CostoFijo*D105</f>
        <v>0</v>
      </c>
      <c r="R105" s="18" t="n">
        <f aca="false">M105-N105-O105-P105-Q105</f>
        <v>3399560</v>
      </c>
      <c r="W105" s="5" t="n">
        <v>99</v>
      </c>
      <c r="X105" s="21" t="n">
        <v>104550520</v>
      </c>
      <c r="Y105" s="22" t="n">
        <v>0</v>
      </c>
      <c r="Z105" s="22" t="n">
        <v>0</v>
      </c>
    </row>
    <row r="106" customFormat="false" ht="15" hidden="false" customHeight="true" outlineLevel="0" collapsed="false">
      <c r="A106" s="5" t="n">
        <f aca="false">A105+1</f>
        <v>101</v>
      </c>
      <c r="B106" s="16" t="n">
        <f aca="false">B105+IF(WEEKDAY(B105,2)=6,2,1)</f>
        <v>46140</v>
      </c>
      <c r="C106" s="5" t="n">
        <f aca="false">MONTH(B106)</f>
        <v>4</v>
      </c>
      <c r="D106" s="5" t="n">
        <f aca="false">IF(C106&lt;&gt;C105,1,0)</f>
        <v>0</v>
      </c>
      <c r="E106" s="17" t="n">
        <f aca="false">IF(L105=1,CantPedido,0)</f>
        <v>15</v>
      </c>
      <c r="F106" s="5" t="n">
        <f aca="false">J105+E106</f>
        <v>18</v>
      </c>
      <c r="G106" s="5" t="n">
        <f aca="true">VLOOKUP(RAND(),TablaEmpirica,2,TRUE())</f>
        <v>6</v>
      </c>
      <c r="H106" s="5" t="n">
        <f aca="false">MIN(F106,G106)</f>
        <v>6</v>
      </c>
      <c r="I106" s="5" t="n">
        <f aca="false">G106-H106</f>
        <v>0</v>
      </c>
      <c r="J106" s="5" t="n">
        <f aca="false">F106-H106</f>
        <v>12</v>
      </c>
      <c r="K106" s="5" t="n">
        <f aca="false">IF(I106&gt;0,1,0)</f>
        <v>0</v>
      </c>
      <c r="L106" s="5" t="n">
        <f aca="false">IF(J106&lt;PuntoReorden,1,0)</f>
        <v>0</v>
      </c>
      <c r="M106" s="18" t="n">
        <f aca="false">PrecioVenta*H106</f>
        <v>4080000</v>
      </c>
      <c r="N106" s="18" t="n">
        <f aca="false">CostoUnitario*E106</f>
        <v>9000000</v>
      </c>
      <c r="O106" s="18" t="n">
        <f aca="false">IF(E106&gt;0,CostoPedido,0)</f>
        <v>40000</v>
      </c>
      <c r="P106" s="18" t="n">
        <f aca="false">CostoAlm*(F106+J106)/2</f>
        <v>1200</v>
      </c>
      <c r="Q106" s="18" t="n">
        <f aca="false">CostoFijo*D106</f>
        <v>0</v>
      </c>
      <c r="R106" s="18" t="n">
        <f aca="false">M106-N106-O106-P106-Q106</f>
        <v>-4961200</v>
      </c>
      <c r="W106" s="5" t="n">
        <v>100</v>
      </c>
      <c r="X106" s="21" t="n">
        <v>102030640</v>
      </c>
      <c r="Y106" s="22" t="n">
        <v>0</v>
      </c>
      <c r="Z106" s="22" t="n">
        <v>0</v>
      </c>
    </row>
    <row r="107" customFormat="false" ht="15" hidden="false" customHeight="true" outlineLevel="0" collapsed="false">
      <c r="A107" s="5" t="n">
        <f aca="false">A106+1</f>
        <v>102</v>
      </c>
      <c r="B107" s="16" t="n">
        <f aca="false">B106+IF(WEEKDAY(B106,2)=6,2,1)</f>
        <v>46141</v>
      </c>
      <c r="C107" s="5" t="n">
        <f aca="false">MONTH(B107)</f>
        <v>4</v>
      </c>
      <c r="D107" s="5" t="n">
        <f aca="false">IF(C107&lt;&gt;C106,1,0)</f>
        <v>0</v>
      </c>
      <c r="E107" s="17" t="n">
        <f aca="false">IF(L106=1,CantPedido,0)</f>
        <v>0</v>
      </c>
      <c r="F107" s="5" t="n">
        <f aca="false">J106+E107</f>
        <v>12</v>
      </c>
      <c r="G107" s="5" t="n">
        <f aca="true">VLOOKUP(RAND(),TablaEmpirica,2,TRUE())</f>
        <v>5</v>
      </c>
      <c r="H107" s="5" t="n">
        <f aca="false">MIN(F107,G107)</f>
        <v>5</v>
      </c>
      <c r="I107" s="5" t="n">
        <f aca="false">G107-H107</f>
        <v>0</v>
      </c>
      <c r="J107" s="5" t="n">
        <f aca="false">F107-H107</f>
        <v>7</v>
      </c>
      <c r="K107" s="5" t="n">
        <f aca="false">IF(I107&gt;0,1,0)</f>
        <v>0</v>
      </c>
      <c r="L107" s="5" t="n">
        <f aca="false">IF(J107&lt;PuntoReorden,1,0)</f>
        <v>0</v>
      </c>
      <c r="M107" s="18" t="n">
        <f aca="false">PrecioVenta*H107</f>
        <v>3400000</v>
      </c>
      <c r="N107" s="18" t="n">
        <f aca="false">CostoUnitario*E107</f>
        <v>0</v>
      </c>
      <c r="O107" s="18" t="n">
        <f aca="false">IF(E107&gt;0,CostoPedido,0)</f>
        <v>0</v>
      </c>
      <c r="P107" s="18" t="n">
        <f aca="false">CostoAlm*(F107+J107)/2</f>
        <v>760</v>
      </c>
      <c r="Q107" s="18" t="n">
        <f aca="false">CostoFijo*D107</f>
        <v>0</v>
      </c>
      <c r="R107" s="18" t="n">
        <f aca="false">M107-N107-O107-P107-Q107</f>
        <v>3399240</v>
      </c>
    </row>
    <row r="108" customFormat="false" ht="15" hidden="false" customHeight="true" outlineLevel="0" collapsed="false">
      <c r="A108" s="5" t="n">
        <f aca="false">A107+1</f>
        <v>103</v>
      </c>
      <c r="B108" s="16" t="n">
        <f aca="false">B107+IF(WEEKDAY(B107,2)=6,2,1)</f>
        <v>46142</v>
      </c>
      <c r="C108" s="5" t="n">
        <f aca="false">MONTH(B108)</f>
        <v>4</v>
      </c>
      <c r="D108" s="5" t="n">
        <f aca="false">IF(C108&lt;&gt;C107,1,0)</f>
        <v>0</v>
      </c>
      <c r="E108" s="5" t="n">
        <f aca="false">IF(L107=1,CantPedido,0)</f>
        <v>0</v>
      </c>
      <c r="F108" s="5" t="n">
        <f aca="false">J107+E108</f>
        <v>7</v>
      </c>
      <c r="G108" s="5" t="n">
        <f aca="true">VLOOKUP(RAND(),TablaEmpirica,2,TRUE())</f>
        <v>5</v>
      </c>
      <c r="H108" s="5" t="n">
        <f aca="false">MIN(F108,G108)</f>
        <v>5</v>
      </c>
      <c r="I108" s="5" t="n">
        <f aca="false">G108-H108</f>
        <v>0</v>
      </c>
      <c r="J108" s="5" t="n">
        <f aca="false">F108-H108</f>
        <v>2</v>
      </c>
      <c r="K108" s="5" t="n">
        <f aca="false">IF(I108&gt;0,1,0)</f>
        <v>0</v>
      </c>
      <c r="L108" s="5" t="n">
        <f aca="false">IF(J108&lt;PuntoReorden,1,0)</f>
        <v>1</v>
      </c>
      <c r="M108" s="18" t="n">
        <f aca="false">PrecioVenta*H108</f>
        <v>3400000</v>
      </c>
      <c r="N108" s="18" t="n">
        <f aca="false">CostoUnitario*E108</f>
        <v>0</v>
      </c>
      <c r="O108" s="18" t="n">
        <f aca="false">IF(E108&gt;0,CostoPedido,0)</f>
        <v>0</v>
      </c>
      <c r="P108" s="18" t="n">
        <f aca="false">CostoAlm*(F108+J108)/2</f>
        <v>360</v>
      </c>
      <c r="Q108" s="18" t="n">
        <f aca="false">CostoFijo*D108</f>
        <v>0</v>
      </c>
      <c r="R108" s="18" t="n">
        <f aca="false">M108-N108-O108-P108-Q108</f>
        <v>3399640</v>
      </c>
    </row>
    <row r="109" customFormat="false" ht="15" hidden="false" customHeight="true" outlineLevel="0" collapsed="false">
      <c r="A109" s="5" t="n">
        <f aca="false">A108+1</f>
        <v>104</v>
      </c>
      <c r="B109" s="16" t="n">
        <f aca="false">B108+IF(WEEKDAY(B108,2)=6,2,1)</f>
        <v>46143</v>
      </c>
      <c r="C109" s="5" t="n">
        <f aca="false">MONTH(B109)</f>
        <v>5</v>
      </c>
      <c r="D109" s="5" t="n">
        <f aca="false">IF(C109&lt;&gt;C108,1,0)</f>
        <v>1</v>
      </c>
      <c r="E109" s="17" t="n">
        <f aca="false">IF(L108=1,CantPedido,0)</f>
        <v>15</v>
      </c>
      <c r="F109" s="5" t="n">
        <f aca="false">J108+E109</f>
        <v>17</v>
      </c>
      <c r="G109" s="5" t="n">
        <f aca="true">VLOOKUP(RAND(),TablaEmpirica,2,TRUE())</f>
        <v>7</v>
      </c>
      <c r="H109" s="5" t="n">
        <f aca="false">MIN(F109,G109)</f>
        <v>7</v>
      </c>
      <c r="I109" s="5" t="n">
        <f aca="false">G109-H109</f>
        <v>0</v>
      </c>
      <c r="J109" s="5" t="n">
        <f aca="false">F109-H109</f>
        <v>10</v>
      </c>
      <c r="K109" s="5" t="n">
        <f aca="false">IF(I109&gt;0,1,0)</f>
        <v>0</v>
      </c>
      <c r="L109" s="5" t="n">
        <f aca="false">IF(J109&lt;PuntoReorden,1,0)</f>
        <v>0</v>
      </c>
      <c r="M109" s="18" t="n">
        <f aca="false">PrecioVenta*H109</f>
        <v>4760000</v>
      </c>
      <c r="N109" s="18" t="n">
        <f aca="false">CostoUnitario*E109</f>
        <v>9000000</v>
      </c>
      <c r="O109" s="18" t="n">
        <f aca="false">IF(E109&gt;0,CostoPedido,0)</f>
        <v>40000</v>
      </c>
      <c r="P109" s="18" t="n">
        <f aca="false">CostoAlm*(F109+J109)/2</f>
        <v>1080</v>
      </c>
      <c r="Q109" s="18" t="n">
        <f aca="false">CostoFijo*D109</f>
        <v>1000000</v>
      </c>
      <c r="R109" s="18" t="n">
        <f aca="false">M109-N109-O109-P109-Q109</f>
        <v>-5281080</v>
      </c>
    </row>
    <row r="110" customFormat="false" ht="15" hidden="false" customHeight="true" outlineLevel="0" collapsed="false">
      <c r="A110" s="5" t="n">
        <f aca="false">A109+1</f>
        <v>105</v>
      </c>
      <c r="B110" s="16" t="n">
        <f aca="false">B109+IF(WEEKDAY(B109,2)=6,2,1)</f>
        <v>46144</v>
      </c>
      <c r="C110" s="5" t="n">
        <f aca="false">MONTH(B110)</f>
        <v>5</v>
      </c>
      <c r="D110" s="5" t="n">
        <f aca="false">IF(C110&lt;&gt;C109,1,0)</f>
        <v>0</v>
      </c>
      <c r="E110" s="17" t="n">
        <f aca="false">IF(L109=1,CantPedido,0)</f>
        <v>0</v>
      </c>
      <c r="F110" s="5" t="n">
        <f aca="false">J109+E110</f>
        <v>10</v>
      </c>
      <c r="G110" s="5" t="n">
        <f aca="true">VLOOKUP(RAND(),TablaEmpirica,2,TRUE())</f>
        <v>7</v>
      </c>
      <c r="H110" s="5" t="n">
        <f aca="false">MIN(F110,G110)</f>
        <v>7</v>
      </c>
      <c r="I110" s="5" t="n">
        <f aca="false">G110-H110</f>
        <v>0</v>
      </c>
      <c r="J110" s="5" t="n">
        <f aca="false">F110-H110</f>
        <v>3</v>
      </c>
      <c r="K110" s="5" t="n">
        <f aca="false">IF(I110&gt;0,1,0)</f>
        <v>0</v>
      </c>
      <c r="L110" s="5" t="n">
        <f aca="false">IF(J110&lt;PuntoReorden,1,0)</f>
        <v>1</v>
      </c>
      <c r="M110" s="18" t="n">
        <f aca="false">PrecioVenta*H110</f>
        <v>4760000</v>
      </c>
      <c r="N110" s="18" t="n">
        <f aca="false">CostoUnitario*E110</f>
        <v>0</v>
      </c>
      <c r="O110" s="18" t="n">
        <f aca="false">IF(E110&gt;0,CostoPedido,0)</f>
        <v>0</v>
      </c>
      <c r="P110" s="18" t="n">
        <f aca="false">CostoAlm*(F110+J110)/2</f>
        <v>520</v>
      </c>
      <c r="Q110" s="18" t="n">
        <f aca="false">CostoFijo*D110</f>
        <v>0</v>
      </c>
      <c r="R110" s="18" t="n">
        <f aca="false">M110-N110-O110-P110-Q110</f>
        <v>4759480</v>
      </c>
    </row>
    <row r="111" customFormat="false" ht="15" hidden="false" customHeight="true" outlineLevel="0" collapsed="false">
      <c r="A111" s="5" t="n">
        <f aca="false">A110+1</f>
        <v>106</v>
      </c>
      <c r="B111" s="16" t="n">
        <f aca="false">B110+IF(WEEKDAY(B110,2)=6,2,1)</f>
        <v>46146</v>
      </c>
      <c r="C111" s="5" t="n">
        <f aca="false">MONTH(B111)</f>
        <v>5</v>
      </c>
      <c r="D111" s="5" t="n">
        <f aca="false">IF(C111&lt;&gt;C110,1,0)</f>
        <v>0</v>
      </c>
      <c r="E111" s="17" t="n">
        <f aca="false">IF(L110=1,CantPedido,0)</f>
        <v>15</v>
      </c>
      <c r="F111" s="5" t="n">
        <f aca="false">J110+E111</f>
        <v>18</v>
      </c>
      <c r="G111" s="5" t="n">
        <f aca="true">VLOOKUP(RAND(),TablaEmpirica,2,TRUE())</f>
        <v>6</v>
      </c>
      <c r="H111" s="5" t="n">
        <f aca="false">MIN(F111,G111)</f>
        <v>6</v>
      </c>
      <c r="I111" s="5" t="n">
        <f aca="false">G111-H111</f>
        <v>0</v>
      </c>
      <c r="J111" s="5" t="n">
        <f aca="false">F111-H111</f>
        <v>12</v>
      </c>
      <c r="K111" s="5" t="n">
        <f aca="false">IF(I111&gt;0,1,0)</f>
        <v>0</v>
      </c>
      <c r="L111" s="5" t="n">
        <f aca="false">IF(J111&lt;PuntoReorden,1,0)</f>
        <v>0</v>
      </c>
      <c r="M111" s="18" t="n">
        <f aca="false">PrecioVenta*H111</f>
        <v>4080000</v>
      </c>
      <c r="N111" s="18" t="n">
        <f aca="false">CostoUnitario*E111</f>
        <v>9000000</v>
      </c>
      <c r="O111" s="18" t="n">
        <f aca="false">IF(E111&gt;0,CostoPedido,0)</f>
        <v>40000</v>
      </c>
      <c r="P111" s="18" t="n">
        <f aca="false">CostoAlm*(F111+J111)/2</f>
        <v>1200</v>
      </c>
      <c r="Q111" s="18" t="n">
        <f aca="false">CostoFijo*D111</f>
        <v>0</v>
      </c>
      <c r="R111" s="18" t="n">
        <f aca="false">M111-N111-O111-P111-Q111</f>
        <v>-4961200</v>
      </c>
    </row>
    <row r="112" customFormat="false" ht="15" hidden="false" customHeight="true" outlineLevel="0" collapsed="false">
      <c r="A112" s="5" t="n">
        <f aca="false">A111+1</f>
        <v>107</v>
      </c>
      <c r="B112" s="16" t="n">
        <f aca="false">B111+IF(WEEKDAY(B111,2)=6,2,1)</f>
        <v>46147</v>
      </c>
      <c r="C112" s="5" t="n">
        <f aca="false">MONTH(B112)</f>
        <v>5</v>
      </c>
      <c r="D112" s="5" t="n">
        <f aca="false">IF(C112&lt;&gt;C111,1,0)</f>
        <v>0</v>
      </c>
      <c r="E112" s="5" t="n">
        <f aca="false">IF(L111=1,CantPedido,0)</f>
        <v>0</v>
      </c>
      <c r="F112" s="5" t="n">
        <f aca="false">J111+E112</f>
        <v>12</v>
      </c>
      <c r="G112" s="5" t="n">
        <f aca="true">VLOOKUP(RAND(),TablaEmpirica,2,TRUE())</f>
        <v>6</v>
      </c>
      <c r="H112" s="5" t="n">
        <f aca="false">MIN(F112,G112)</f>
        <v>6</v>
      </c>
      <c r="I112" s="5" t="n">
        <f aca="false">G112-H112</f>
        <v>0</v>
      </c>
      <c r="J112" s="5" t="n">
        <f aca="false">F112-H112</f>
        <v>6</v>
      </c>
      <c r="K112" s="5" t="n">
        <f aca="false">IF(I112&gt;0,1,0)</f>
        <v>0</v>
      </c>
      <c r="L112" s="5" t="n">
        <f aca="false">IF(J112&lt;PuntoReorden,1,0)</f>
        <v>1</v>
      </c>
      <c r="M112" s="18" t="n">
        <f aca="false">PrecioVenta*H112</f>
        <v>4080000</v>
      </c>
      <c r="N112" s="18" t="n">
        <f aca="false">CostoUnitario*E112</f>
        <v>0</v>
      </c>
      <c r="O112" s="18" t="n">
        <f aca="false">IF(E112&gt;0,CostoPedido,0)</f>
        <v>0</v>
      </c>
      <c r="P112" s="18" t="n">
        <f aca="false">CostoAlm*(F112+J112)/2</f>
        <v>720</v>
      </c>
      <c r="Q112" s="18" t="n">
        <f aca="false">CostoFijo*D112</f>
        <v>0</v>
      </c>
      <c r="R112" s="18" t="n">
        <f aca="false">M112-N112-O112-P112-Q112</f>
        <v>4079280</v>
      </c>
    </row>
    <row r="113" customFormat="false" ht="15" hidden="false" customHeight="true" outlineLevel="0" collapsed="false">
      <c r="A113" s="5" t="n">
        <f aca="false">A112+1</f>
        <v>108</v>
      </c>
      <c r="B113" s="16" t="n">
        <f aca="false">B112+IF(WEEKDAY(B112,2)=6,2,1)</f>
        <v>46148</v>
      </c>
      <c r="C113" s="5" t="n">
        <f aca="false">MONTH(B113)</f>
        <v>5</v>
      </c>
      <c r="D113" s="5" t="n">
        <f aca="false">IF(C113&lt;&gt;C112,1,0)</f>
        <v>0</v>
      </c>
      <c r="E113" s="17" t="n">
        <f aca="false">IF(L112=1,CantPedido,0)</f>
        <v>15</v>
      </c>
      <c r="F113" s="5" t="n">
        <f aca="false">J112+E113</f>
        <v>21</v>
      </c>
      <c r="G113" s="5" t="n">
        <f aca="true">VLOOKUP(RAND(),TablaEmpirica,2,TRUE())</f>
        <v>6</v>
      </c>
      <c r="H113" s="5" t="n">
        <f aca="false">MIN(F113,G113)</f>
        <v>6</v>
      </c>
      <c r="I113" s="5" t="n">
        <f aca="false">G113-H113</f>
        <v>0</v>
      </c>
      <c r="J113" s="5" t="n">
        <f aca="false">F113-H113</f>
        <v>15</v>
      </c>
      <c r="K113" s="5" t="n">
        <f aca="false">IF(I113&gt;0,1,0)</f>
        <v>0</v>
      </c>
      <c r="L113" s="5" t="n">
        <f aca="false">IF(J113&lt;PuntoReorden,1,0)</f>
        <v>0</v>
      </c>
      <c r="M113" s="18" t="n">
        <f aca="false">PrecioVenta*H113</f>
        <v>4080000</v>
      </c>
      <c r="N113" s="18" t="n">
        <f aca="false">CostoUnitario*E113</f>
        <v>9000000</v>
      </c>
      <c r="O113" s="18" t="n">
        <f aca="false">IF(E113&gt;0,CostoPedido,0)</f>
        <v>40000</v>
      </c>
      <c r="P113" s="18" t="n">
        <f aca="false">CostoAlm*(F113+J113)/2</f>
        <v>1440</v>
      </c>
      <c r="Q113" s="18" t="n">
        <f aca="false">CostoFijo*D113</f>
        <v>0</v>
      </c>
      <c r="R113" s="18" t="n">
        <f aca="false">M113-N113-O113-P113-Q113</f>
        <v>-4961440</v>
      </c>
    </row>
    <row r="114" customFormat="false" ht="15" hidden="false" customHeight="true" outlineLevel="0" collapsed="false">
      <c r="A114" s="5" t="n">
        <f aca="false">A113+1</f>
        <v>109</v>
      </c>
      <c r="B114" s="16" t="n">
        <f aca="false">B113+IF(WEEKDAY(B113,2)=6,2,1)</f>
        <v>46149</v>
      </c>
      <c r="C114" s="5" t="n">
        <f aca="false">MONTH(B114)</f>
        <v>5</v>
      </c>
      <c r="D114" s="5" t="n">
        <f aca="false">IF(C114&lt;&gt;C113,1,0)</f>
        <v>0</v>
      </c>
      <c r="E114" s="17" t="n">
        <f aca="false">IF(L113=1,CantPedido,0)</f>
        <v>0</v>
      </c>
      <c r="F114" s="5" t="n">
        <f aca="false">J113+E114</f>
        <v>15</v>
      </c>
      <c r="G114" s="5" t="n">
        <f aca="true">VLOOKUP(RAND(),TablaEmpirica,2,TRUE())</f>
        <v>3</v>
      </c>
      <c r="H114" s="5" t="n">
        <f aca="false">MIN(F114,G114)</f>
        <v>3</v>
      </c>
      <c r="I114" s="5" t="n">
        <f aca="false">G114-H114</f>
        <v>0</v>
      </c>
      <c r="J114" s="5" t="n">
        <f aca="false">F114-H114</f>
        <v>12</v>
      </c>
      <c r="K114" s="5" t="n">
        <f aca="false">IF(I114&gt;0,1,0)</f>
        <v>0</v>
      </c>
      <c r="L114" s="5" t="n">
        <f aca="false">IF(J114&lt;PuntoReorden,1,0)</f>
        <v>0</v>
      </c>
      <c r="M114" s="18" t="n">
        <f aca="false">PrecioVenta*H114</f>
        <v>2040000</v>
      </c>
      <c r="N114" s="18" t="n">
        <f aca="false">CostoUnitario*E114</f>
        <v>0</v>
      </c>
      <c r="O114" s="18" t="n">
        <f aca="false">IF(E114&gt;0,CostoPedido,0)</f>
        <v>0</v>
      </c>
      <c r="P114" s="18" t="n">
        <f aca="false">CostoAlm*(F114+J114)/2</f>
        <v>1080</v>
      </c>
      <c r="Q114" s="18" t="n">
        <f aca="false">CostoFijo*D114</f>
        <v>0</v>
      </c>
      <c r="R114" s="18" t="n">
        <f aca="false">M114-N114-O114-P114-Q114</f>
        <v>2038920</v>
      </c>
    </row>
    <row r="115" customFormat="false" ht="15" hidden="false" customHeight="true" outlineLevel="0" collapsed="false">
      <c r="A115" s="5" t="n">
        <f aca="false">A114+1</f>
        <v>110</v>
      </c>
      <c r="B115" s="16" t="n">
        <f aca="false">B114+IF(WEEKDAY(B114,2)=6,2,1)</f>
        <v>46150</v>
      </c>
      <c r="C115" s="5" t="n">
        <f aca="false">MONTH(B115)</f>
        <v>5</v>
      </c>
      <c r="D115" s="5" t="n">
        <f aca="false">IF(C115&lt;&gt;C114,1,0)</f>
        <v>0</v>
      </c>
      <c r="E115" s="5" t="n">
        <f aca="false">IF(L114=1,CantPedido,0)</f>
        <v>0</v>
      </c>
      <c r="F115" s="5" t="n">
        <f aca="false">J114+E115</f>
        <v>12</v>
      </c>
      <c r="G115" s="5" t="n">
        <f aca="true">VLOOKUP(RAND(),TablaEmpirica,2,TRUE())</f>
        <v>5</v>
      </c>
      <c r="H115" s="5" t="n">
        <f aca="false">MIN(F115,G115)</f>
        <v>5</v>
      </c>
      <c r="I115" s="5" t="n">
        <f aca="false">G115-H115</f>
        <v>0</v>
      </c>
      <c r="J115" s="5" t="n">
        <f aca="false">F115-H115</f>
        <v>7</v>
      </c>
      <c r="K115" s="5" t="n">
        <f aca="false">IF(I115&gt;0,1,0)</f>
        <v>0</v>
      </c>
      <c r="L115" s="5" t="n">
        <f aca="false">IF(J115&lt;PuntoReorden,1,0)</f>
        <v>0</v>
      </c>
      <c r="M115" s="18" t="n">
        <f aca="false">PrecioVenta*H115</f>
        <v>3400000</v>
      </c>
      <c r="N115" s="18" t="n">
        <f aca="false">CostoUnitario*E115</f>
        <v>0</v>
      </c>
      <c r="O115" s="18" t="n">
        <f aca="false">IF(E115&gt;0,CostoPedido,0)</f>
        <v>0</v>
      </c>
      <c r="P115" s="18" t="n">
        <f aca="false">CostoAlm*(F115+J115)/2</f>
        <v>760</v>
      </c>
      <c r="Q115" s="18" t="n">
        <f aca="false">CostoFijo*D115</f>
        <v>0</v>
      </c>
      <c r="R115" s="18" t="n">
        <f aca="false">M115-N115-O115-P115-Q115</f>
        <v>3399240</v>
      </c>
    </row>
    <row r="116" customFormat="false" ht="15" hidden="false" customHeight="true" outlineLevel="0" collapsed="false">
      <c r="A116" s="5" t="n">
        <f aca="false">A115+1</f>
        <v>111</v>
      </c>
      <c r="B116" s="16" t="n">
        <f aca="false">B115+IF(WEEKDAY(B115,2)=6,2,1)</f>
        <v>46151</v>
      </c>
      <c r="C116" s="5" t="n">
        <f aca="false">MONTH(B116)</f>
        <v>5</v>
      </c>
      <c r="D116" s="5" t="n">
        <f aca="false">IF(C116&lt;&gt;C115,1,0)</f>
        <v>0</v>
      </c>
      <c r="E116" s="5" t="n">
        <f aca="false">IF(L115=1,CantPedido,0)</f>
        <v>0</v>
      </c>
      <c r="F116" s="5" t="n">
        <f aca="false">J115+E116</f>
        <v>7</v>
      </c>
      <c r="G116" s="5" t="n">
        <f aca="true">VLOOKUP(RAND(),TablaEmpirica,2,TRUE())</f>
        <v>5</v>
      </c>
      <c r="H116" s="5" t="n">
        <f aca="false">MIN(F116,G116)</f>
        <v>5</v>
      </c>
      <c r="I116" s="5" t="n">
        <f aca="false">G116-H116</f>
        <v>0</v>
      </c>
      <c r="J116" s="5" t="n">
        <f aca="false">F116-H116</f>
        <v>2</v>
      </c>
      <c r="K116" s="5" t="n">
        <f aca="false">IF(I116&gt;0,1,0)</f>
        <v>0</v>
      </c>
      <c r="L116" s="5" t="n">
        <f aca="false">IF(J116&lt;PuntoReorden,1,0)</f>
        <v>1</v>
      </c>
      <c r="M116" s="18" t="n">
        <f aca="false">PrecioVenta*H116</f>
        <v>3400000</v>
      </c>
      <c r="N116" s="18" t="n">
        <f aca="false">CostoUnitario*E116</f>
        <v>0</v>
      </c>
      <c r="O116" s="18" t="n">
        <f aca="false">IF(E116&gt;0,CostoPedido,0)</f>
        <v>0</v>
      </c>
      <c r="P116" s="18" t="n">
        <f aca="false">CostoAlm*(F116+J116)/2</f>
        <v>360</v>
      </c>
      <c r="Q116" s="18" t="n">
        <f aca="false">CostoFijo*D116</f>
        <v>0</v>
      </c>
      <c r="R116" s="18" t="n">
        <f aca="false">M116-N116-O116-P116-Q116</f>
        <v>3399640</v>
      </c>
    </row>
    <row r="117" customFormat="false" ht="15" hidden="false" customHeight="true" outlineLevel="0" collapsed="false">
      <c r="A117" s="5" t="n">
        <f aca="false">A116+1</f>
        <v>112</v>
      </c>
      <c r="B117" s="16" t="n">
        <f aca="false">B116+IF(WEEKDAY(B116,2)=6,2,1)</f>
        <v>46153</v>
      </c>
      <c r="C117" s="5" t="n">
        <f aca="false">MONTH(B117)</f>
        <v>5</v>
      </c>
      <c r="D117" s="5" t="n">
        <f aca="false">IF(C117&lt;&gt;C116,1,0)</f>
        <v>0</v>
      </c>
      <c r="E117" s="17" t="n">
        <f aca="false">IF(L116=1,CantPedido,0)</f>
        <v>15</v>
      </c>
      <c r="F117" s="5" t="n">
        <f aca="false">J116+E117</f>
        <v>17</v>
      </c>
      <c r="G117" s="5" t="n">
        <f aca="true">VLOOKUP(RAND(),TablaEmpirica,2,TRUE())</f>
        <v>5</v>
      </c>
      <c r="H117" s="5" t="n">
        <f aca="false">MIN(F117,G117)</f>
        <v>5</v>
      </c>
      <c r="I117" s="5" t="n">
        <f aca="false">G117-H117</f>
        <v>0</v>
      </c>
      <c r="J117" s="5" t="n">
        <f aca="false">F117-H117</f>
        <v>12</v>
      </c>
      <c r="K117" s="5" t="n">
        <f aca="false">IF(I117&gt;0,1,0)</f>
        <v>0</v>
      </c>
      <c r="L117" s="5" t="n">
        <f aca="false">IF(J117&lt;PuntoReorden,1,0)</f>
        <v>0</v>
      </c>
      <c r="M117" s="18" t="n">
        <f aca="false">PrecioVenta*H117</f>
        <v>3400000</v>
      </c>
      <c r="N117" s="18" t="n">
        <f aca="false">CostoUnitario*E117</f>
        <v>9000000</v>
      </c>
      <c r="O117" s="18" t="n">
        <f aca="false">IF(E117&gt;0,CostoPedido,0)</f>
        <v>40000</v>
      </c>
      <c r="P117" s="18" t="n">
        <f aca="false">CostoAlm*(F117+J117)/2</f>
        <v>1160</v>
      </c>
      <c r="Q117" s="18" t="n">
        <f aca="false">CostoFijo*D117</f>
        <v>0</v>
      </c>
      <c r="R117" s="18" t="n">
        <f aca="false">M117-N117-O117-P117-Q117</f>
        <v>-5641160</v>
      </c>
    </row>
    <row r="118" customFormat="false" ht="15" hidden="false" customHeight="true" outlineLevel="0" collapsed="false">
      <c r="A118" s="5" t="n">
        <f aca="false">A117+1</f>
        <v>113</v>
      </c>
      <c r="B118" s="16" t="n">
        <f aca="false">B117+IF(WEEKDAY(B117,2)=6,2,1)</f>
        <v>46154</v>
      </c>
      <c r="C118" s="5" t="n">
        <f aca="false">MONTH(B118)</f>
        <v>5</v>
      </c>
      <c r="D118" s="5" t="n">
        <f aca="false">IF(C118&lt;&gt;C117,1,0)</f>
        <v>0</v>
      </c>
      <c r="E118" s="5" t="n">
        <f aca="false">IF(L117=1,CantPedido,0)</f>
        <v>0</v>
      </c>
      <c r="F118" s="5" t="n">
        <f aca="false">J117+E118</f>
        <v>12</v>
      </c>
      <c r="G118" s="5" t="n">
        <f aca="true">VLOOKUP(RAND(),TablaEmpirica,2,TRUE())</f>
        <v>6</v>
      </c>
      <c r="H118" s="5" t="n">
        <f aca="false">MIN(F118,G118)</f>
        <v>6</v>
      </c>
      <c r="I118" s="5" t="n">
        <f aca="false">G118-H118</f>
        <v>0</v>
      </c>
      <c r="J118" s="5" t="n">
        <f aca="false">F118-H118</f>
        <v>6</v>
      </c>
      <c r="K118" s="5" t="n">
        <f aca="false">IF(I118&gt;0,1,0)</f>
        <v>0</v>
      </c>
      <c r="L118" s="5" t="n">
        <f aca="false">IF(J118&lt;PuntoReorden,1,0)</f>
        <v>1</v>
      </c>
      <c r="M118" s="18" t="n">
        <f aca="false">PrecioVenta*H118</f>
        <v>4080000</v>
      </c>
      <c r="N118" s="18" t="n">
        <f aca="false">CostoUnitario*E118</f>
        <v>0</v>
      </c>
      <c r="O118" s="18" t="n">
        <f aca="false">IF(E118&gt;0,CostoPedido,0)</f>
        <v>0</v>
      </c>
      <c r="P118" s="18" t="n">
        <f aca="false">CostoAlm*(F118+J118)/2</f>
        <v>720</v>
      </c>
      <c r="Q118" s="18" t="n">
        <f aca="false">CostoFijo*D118</f>
        <v>0</v>
      </c>
      <c r="R118" s="18" t="n">
        <f aca="false">M118-N118-O118-P118-Q118</f>
        <v>4079280</v>
      </c>
    </row>
    <row r="119" customFormat="false" ht="15" hidden="false" customHeight="true" outlineLevel="0" collapsed="false">
      <c r="A119" s="5" t="n">
        <f aca="false">A118+1</f>
        <v>114</v>
      </c>
      <c r="B119" s="16" t="n">
        <f aca="false">B118+IF(WEEKDAY(B118,2)=6,2,1)</f>
        <v>46155</v>
      </c>
      <c r="C119" s="5" t="n">
        <f aca="false">MONTH(B119)</f>
        <v>5</v>
      </c>
      <c r="D119" s="5" t="n">
        <f aca="false">IF(C119&lt;&gt;C118,1,0)</f>
        <v>0</v>
      </c>
      <c r="E119" s="17" t="n">
        <f aca="false">IF(L118=1,CantPedido,0)</f>
        <v>15</v>
      </c>
      <c r="F119" s="5" t="n">
        <f aca="false">J118+E119</f>
        <v>21</v>
      </c>
      <c r="G119" s="5" t="n">
        <f aca="true">VLOOKUP(RAND(),TablaEmpirica,2,TRUE())</f>
        <v>4</v>
      </c>
      <c r="H119" s="5" t="n">
        <f aca="false">MIN(F119,G119)</f>
        <v>4</v>
      </c>
      <c r="I119" s="5" t="n">
        <f aca="false">G119-H119</f>
        <v>0</v>
      </c>
      <c r="J119" s="5" t="n">
        <f aca="false">F119-H119</f>
        <v>17</v>
      </c>
      <c r="K119" s="5" t="n">
        <f aca="false">IF(I119&gt;0,1,0)</f>
        <v>0</v>
      </c>
      <c r="L119" s="5" t="n">
        <f aca="false">IF(J119&lt;PuntoReorden,1,0)</f>
        <v>0</v>
      </c>
      <c r="M119" s="18" t="n">
        <f aca="false">PrecioVenta*H119</f>
        <v>2720000</v>
      </c>
      <c r="N119" s="18" t="n">
        <f aca="false">CostoUnitario*E119</f>
        <v>9000000</v>
      </c>
      <c r="O119" s="18" t="n">
        <f aca="false">IF(E119&gt;0,CostoPedido,0)</f>
        <v>40000</v>
      </c>
      <c r="P119" s="18" t="n">
        <f aca="false">CostoAlm*(F119+J119)/2</f>
        <v>1520</v>
      </c>
      <c r="Q119" s="18" t="n">
        <f aca="false">CostoFijo*D119</f>
        <v>0</v>
      </c>
      <c r="R119" s="18" t="n">
        <f aca="false">M119-N119-O119-P119-Q119</f>
        <v>-6321520</v>
      </c>
    </row>
    <row r="120" customFormat="false" ht="15" hidden="false" customHeight="true" outlineLevel="0" collapsed="false">
      <c r="A120" s="5" t="n">
        <f aca="false">A119+1</f>
        <v>115</v>
      </c>
      <c r="B120" s="16" t="n">
        <f aca="false">B119+IF(WEEKDAY(B119,2)=6,2,1)</f>
        <v>46156</v>
      </c>
      <c r="C120" s="5" t="n">
        <f aca="false">MONTH(B120)</f>
        <v>5</v>
      </c>
      <c r="D120" s="5" t="n">
        <f aca="false">IF(C120&lt;&gt;C119,1,0)</f>
        <v>0</v>
      </c>
      <c r="E120" s="17" t="n">
        <f aca="false">IF(L119=1,CantPedido,0)</f>
        <v>0</v>
      </c>
      <c r="F120" s="5" t="n">
        <f aca="false">J119+E120</f>
        <v>17</v>
      </c>
      <c r="G120" s="5" t="n">
        <f aca="true">VLOOKUP(RAND(),TablaEmpirica,2,TRUE())</f>
        <v>5</v>
      </c>
      <c r="H120" s="5" t="n">
        <f aca="false">MIN(F120,G120)</f>
        <v>5</v>
      </c>
      <c r="I120" s="5" t="n">
        <f aca="false">G120-H120</f>
        <v>0</v>
      </c>
      <c r="J120" s="5" t="n">
        <f aca="false">F120-H120</f>
        <v>12</v>
      </c>
      <c r="K120" s="5" t="n">
        <f aca="false">IF(I120&gt;0,1,0)</f>
        <v>0</v>
      </c>
      <c r="L120" s="5" t="n">
        <f aca="false">IF(J120&lt;PuntoReorden,1,0)</f>
        <v>0</v>
      </c>
      <c r="M120" s="18" t="n">
        <f aca="false">PrecioVenta*H120</f>
        <v>3400000</v>
      </c>
      <c r="N120" s="18" t="n">
        <f aca="false">CostoUnitario*E120</f>
        <v>0</v>
      </c>
      <c r="O120" s="18" t="n">
        <f aca="false">IF(E120&gt;0,CostoPedido,0)</f>
        <v>0</v>
      </c>
      <c r="P120" s="18" t="n">
        <f aca="false">CostoAlm*(F120+J120)/2</f>
        <v>1160</v>
      </c>
      <c r="Q120" s="18" t="n">
        <f aca="false">CostoFijo*D120</f>
        <v>0</v>
      </c>
      <c r="R120" s="18" t="n">
        <f aca="false">M120-N120-O120-P120-Q120</f>
        <v>3398840</v>
      </c>
    </row>
    <row r="121" customFormat="false" ht="15" hidden="false" customHeight="true" outlineLevel="0" collapsed="false">
      <c r="A121" s="5" t="n">
        <f aca="false">A120+1</f>
        <v>116</v>
      </c>
      <c r="B121" s="16" t="n">
        <f aca="false">B120+IF(WEEKDAY(B120,2)=6,2,1)</f>
        <v>46157</v>
      </c>
      <c r="C121" s="5" t="n">
        <f aca="false">MONTH(B121)</f>
        <v>5</v>
      </c>
      <c r="D121" s="5" t="n">
        <f aca="false">IF(C121&lt;&gt;C120,1,0)</f>
        <v>0</v>
      </c>
      <c r="E121" s="5" t="n">
        <f aca="false">IF(L120=1,CantPedido,0)</f>
        <v>0</v>
      </c>
      <c r="F121" s="5" t="n">
        <f aca="false">J120+E121</f>
        <v>12</v>
      </c>
      <c r="G121" s="5" t="n">
        <f aca="true">VLOOKUP(RAND(),TablaEmpirica,2,TRUE())</f>
        <v>6</v>
      </c>
      <c r="H121" s="5" t="n">
        <f aca="false">MIN(F121,G121)</f>
        <v>6</v>
      </c>
      <c r="I121" s="5" t="n">
        <f aca="false">G121-H121</f>
        <v>0</v>
      </c>
      <c r="J121" s="5" t="n">
        <f aca="false">F121-H121</f>
        <v>6</v>
      </c>
      <c r="K121" s="5" t="n">
        <f aca="false">IF(I121&gt;0,1,0)</f>
        <v>0</v>
      </c>
      <c r="L121" s="5" t="n">
        <f aca="false">IF(J121&lt;PuntoReorden,1,0)</f>
        <v>1</v>
      </c>
      <c r="M121" s="18" t="n">
        <f aca="false">PrecioVenta*H121</f>
        <v>4080000</v>
      </c>
      <c r="N121" s="18" t="n">
        <f aca="false">CostoUnitario*E121</f>
        <v>0</v>
      </c>
      <c r="O121" s="18" t="n">
        <f aca="false">IF(E121&gt;0,CostoPedido,0)</f>
        <v>0</v>
      </c>
      <c r="P121" s="18" t="n">
        <f aca="false">CostoAlm*(F121+J121)/2</f>
        <v>720</v>
      </c>
      <c r="Q121" s="18" t="n">
        <f aca="false">CostoFijo*D121</f>
        <v>0</v>
      </c>
      <c r="R121" s="18" t="n">
        <f aca="false">M121-N121-O121-P121-Q121</f>
        <v>4079280</v>
      </c>
    </row>
    <row r="122" customFormat="false" ht="15" hidden="false" customHeight="true" outlineLevel="0" collapsed="false">
      <c r="A122" s="5" t="n">
        <f aca="false">A121+1</f>
        <v>117</v>
      </c>
      <c r="B122" s="16" t="n">
        <f aca="false">B121+IF(WEEKDAY(B121,2)=6,2,1)</f>
        <v>46158</v>
      </c>
      <c r="C122" s="5" t="n">
        <f aca="false">MONTH(B122)</f>
        <v>5</v>
      </c>
      <c r="D122" s="5" t="n">
        <f aca="false">IF(C122&lt;&gt;C121,1,0)</f>
        <v>0</v>
      </c>
      <c r="E122" s="17" t="n">
        <f aca="false">IF(L121=1,CantPedido,0)</f>
        <v>15</v>
      </c>
      <c r="F122" s="5" t="n">
        <f aca="false">J121+E122</f>
        <v>21</v>
      </c>
      <c r="G122" s="5" t="n">
        <f aca="true">VLOOKUP(RAND(),TablaEmpirica,2,TRUE())</f>
        <v>5</v>
      </c>
      <c r="H122" s="5" t="n">
        <f aca="false">MIN(F122,G122)</f>
        <v>5</v>
      </c>
      <c r="I122" s="5" t="n">
        <f aca="false">G122-H122</f>
        <v>0</v>
      </c>
      <c r="J122" s="5" t="n">
        <f aca="false">F122-H122</f>
        <v>16</v>
      </c>
      <c r="K122" s="5" t="n">
        <f aca="false">IF(I122&gt;0,1,0)</f>
        <v>0</v>
      </c>
      <c r="L122" s="5" t="n">
        <f aca="false">IF(J122&lt;PuntoReorden,1,0)</f>
        <v>0</v>
      </c>
      <c r="M122" s="18" t="n">
        <f aca="false">PrecioVenta*H122</f>
        <v>3400000</v>
      </c>
      <c r="N122" s="18" t="n">
        <f aca="false">CostoUnitario*E122</f>
        <v>9000000</v>
      </c>
      <c r="O122" s="18" t="n">
        <f aca="false">IF(E122&gt;0,CostoPedido,0)</f>
        <v>40000</v>
      </c>
      <c r="P122" s="18" t="n">
        <f aca="false">CostoAlm*(F122+J122)/2</f>
        <v>1480</v>
      </c>
      <c r="Q122" s="18" t="n">
        <f aca="false">CostoFijo*D122</f>
        <v>0</v>
      </c>
      <c r="R122" s="18" t="n">
        <f aca="false">M122-N122-O122-P122-Q122</f>
        <v>-5641480</v>
      </c>
    </row>
    <row r="123" customFormat="false" ht="15" hidden="false" customHeight="true" outlineLevel="0" collapsed="false">
      <c r="A123" s="5" t="n">
        <f aca="false">A122+1</f>
        <v>118</v>
      </c>
      <c r="B123" s="16" t="n">
        <f aca="false">B122+IF(WEEKDAY(B122,2)=6,2,1)</f>
        <v>46160</v>
      </c>
      <c r="C123" s="5" t="n">
        <f aca="false">MONTH(B123)</f>
        <v>5</v>
      </c>
      <c r="D123" s="5" t="n">
        <f aca="false">IF(C123&lt;&gt;C122,1,0)</f>
        <v>0</v>
      </c>
      <c r="E123" s="17" t="n">
        <f aca="false">IF(L122=1,CantPedido,0)</f>
        <v>0</v>
      </c>
      <c r="F123" s="5" t="n">
        <f aca="false">J122+E123</f>
        <v>16</v>
      </c>
      <c r="G123" s="5" t="n">
        <f aca="true">VLOOKUP(RAND(),TablaEmpirica,2,TRUE())</f>
        <v>4</v>
      </c>
      <c r="H123" s="5" t="n">
        <f aca="false">MIN(F123,G123)</f>
        <v>4</v>
      </c>
      <c r="I123" s="5" t="n">
        <f aca="false">G123-H123</f>
        <v>0</v>
      </c>
      <c r="J123" s="5" t="n">
        <f aca="false">F123-H123</f>
        <v>12</v>
      </c>
      <c r="K123" s="5" t="n">
        <f aca="false">IF(I123&gt;0,1,0)</f>
        <v>0</v>
      </c>
      <c r="L123" s="5" t="n">
        <f aca="false">IF(J123&lt;PuntoReorden,1,0)</f>
        <v>0</v>
      </c>
      <c r="M123" s="18" t="n">
        <f aca="false">PrecioVenta*H123</f>
        <v>2720000</v>
      </c>
      <c r="N123" s="18" t="n">
        <f aca="false">CostoUnitario*E123</f>
        <v>0</v>
      </c>
      <c r="O123" s="18" t="n">
        <f aca="false">IF(E123&gt;0,CostoPedido,0)</f>
        <v>0</v>
      </c>
      <c r="P123" s="18" t="n">
        <f aca="false">CostoAlm*(F123+J123)/2</f>
        <v>1120</v>
      </c>
      <c r="Q123" s="18" t="n">
        <f aca="false">CostoFijo*D123</f>
        <v>0</v>
      </c>
      <c r="R123" s="18" t="n">
        <f aca="false">M123-N123-O123-P123-Q123</f>
        <v>2718880</v>
      </c>
    </row>
    <row r="124" customFormat="false" ht="15" hidden="false" customHeight="true" outlineLevel="0" collapsed="false">
      <c r="A124" s="5" t="n">
        <f aca="false">A123+1</f>
        <v>119</v>
      </c>
      <c r="B124" s="16" t="n">
        <f aca="false">B123+IF(WEEKDAY(B123,2)=6,2,1)</f>
        <v>46161</v>
      </c>
      <c r="C124" s="5" t="n">
        <f aca="false">MONTH(B124)</f>
        <v>5</v>
      </c>
      <c r="D124" s="5" t="n">
        <f aca="false">IF(C124&lt;&gt;C123,1,0)</f>
        <v>0</v>
      </c>
      <c r="E124" s="5" t="n">
        <f aca="false">IF(L123=1,CantPedido,0)</f>
        <v>0</v>
      </c>
      <c r="F124" s="5" t="n">
        <f aca="false">J123+E124</f>
        <v>12</v>
      </c>
      <c r="G124" s="5" t="n">
        <f aca="true">VLOOKUP(RAND(),TablaEmpirica,2,TRUE())</f>
        <v>5</v>
      </c>
      <c r="H124" s="5" t="n">
        <f aca="false">MIN(F124,G124)</f>
        <v>5</v>
      </c>
      <c r="I124" s="5" t="n">
        <f aca="false">G124-H124</f>
        <v>0</v>
      </c>
      <c r="J124" s="5" t="n">
        <f aca="false">F124-H124</f>
        <v>7</v>
      </c>
      <c r="K124" s="5" t="n">
        <f aca="false">IF(I124&gt;0,1,0)</f>
        <v>0</v>
      </c>
      <c r="L124" s="5" t="n">
        <f aca="false">IF(J124&lt;PuntoReorden,1,0)</f>
        <v>0</v>
      </c>
      <c r="M124" s="18" t="n">
        <f aca="false">PrecioVenta*H124</f>
        <v>3400000</v>
      </c>
      <c r="N124" s="18" t="n">
        <f aca="false">CostoUnitario*E124</f>
        <v>0</v>
      </c>
      <c r="O124" s="18" t="n">
        <f aca="false">IF(E124&gt;0,CostoPedido,0)</f>
        <v>0</v>
      </c>
      <c r="P124" s="18" t="n">
        <f aca="false">CostoAlm*(F124+J124)/2</f>
        <v>760</v>
      </c>
      <c r="Q124" s="18" t="n">
        <f aca="false">CostoFijo*D124</f>
        <v>0</v>
      </c>
      <c r="R124" s="18" t="n">
        <f aca="false">M124-N124-O124-P124-Q124</f>
        <v>3399240</v>
      </c>
    </row>
    <row r="125" customFormat="false" ht="15" hidden="false" customHeight="true" outlineLevel="0" collapsed="false">
      <c r="A125" s="5" t="n">
        <f aca="false">A124+1</f>
        <v>120</v>
      </c>
      <c r="B125" s="16" t="n">
        <f aca="false">B124+IF(WEEKDAY(B124,2)=6,2,1)</f>
        <v>46162</v>
      </c>
      <c r="C125" s="5" t="n">
        <f aca="false">MONTH(B125)</f>
        <v>5</v>
      </c>
      <c r="D125" s="5" t="n">
        <f aca="false">IF(C125&lt;&gt;C124,1,0)</f>
        <v>0</v>
      </c>
      <c r="E125" s="5" t="n">
        <f aca="false">IF(L124=1,CantPedido,0)</f>
        <v>0</v>
      </c>
      <c r="F125" s="5" t="n">
        <f aca="false">J124+E125</f>
        <v>7</v>
      </c>
      <c r="G125" s="5" t="n">
        <f aca="true">VLOOKUP(RAND(),TablaEmpirica,2,TRUE())</f>
        <v>5</v>
      </c>
      <c r="H125" s="5" t="n">
        <f aca="false">MIN(F125,G125)</f>
        <v>5</v>
      </c>
      <c r="I125" s="5" t="n">
        <f aca="false">G125-H125</f>
        <v>0</v>
      </c>
      <c r="J125" s="5" t="n">
        <f aca="false">F125-H125</f>
        <v>2</v>
      </c>
      <c r="K125" s="5" t="n">
        <f aca="false">IF(I125&gt;0,1,0)</f>
        <v>0</v>
      </c>
      <c r="L125" s="5" t="n">
        <f aca="false">IF(J125&lt;PuntoReorden,1,0)</f>
        <v>1</v>
      </c>
      <c r="M125" s="18" t="n">
        <f aca="false">PrecioVenta*H125</f>
        <v>3400000</v>
      </c>
      <c r="N125" s="18" t="n">
        <f aca="false">CostoUnitario*E125</f>
        <v>0</v>
      </c>
      <c r="O125" s="18" t="n">
        <f aca="false">IF(E125&gt;0,CostoPedido,0)</f>
        <v>0</v>
      </c>
      <c r="P125" s="18" t="n">
        <f aca="false">CostoAlm*(F125+J125)/2</f>
        <v>360</v>
      </c>
      <c r="Q125" s="18" t="n">
        <f aca="false">CostoFijo*D125</f>
        <v>0</v>
      </c>
      <c r="R125" s="18" t="n">
        <f aca="false">M125-N125-O125-P125-Q125</f>
        <v>3399640</v>
      </c>
    </row>
    <row r="126" customFormat="false" ht="15" hidden="false" customHeight="true" outlineLevel="0" collapsed="false">
      <c r="A126" s="5" t="n">
        <f aca="false">A125+1</f>
        <v>121</v>
      </c>
      <c r="B126" s="16" t="n">
        <f aca="false">B125+IF(WEEKDAY(B125,2)=6,2,1)</f>
        <v>46163</v>
      </c>
      <c r="C126" s="5" t="n">
        <f aca="false">MONTH(B126)</f>
        <v>5</v>
      </c>
      <c r="D126" s="5" t="n">
        <f aca="false">IF(C126&lt;&gt;C125,1,0)</f>
        <v>0</v>
      </c>
      <c r="E126" s="17" t="n">
        <f aca="false">IF(L125=1,CantPedido,0)</f>
        <v>15</v>
      </c>
      <c r="F126" s="5" t="n">
        <f aca="false">J125+E126</f>
        <v>17</v>
      </c>
      <c r="G126" s="5" t="n">
        <f aca="true">VLOOKUP(RAND(),TablaEmpirica,2,TRUE())</f>
        <v>4</v>
      </c>
      <c r="H126" s="5" t="n">
        <f aca="false">MIN(F126,G126)</f>
        <v>4</v>
      </c>
      <c r="I126" s="5" t="n">
        <f aca="false">G126-H126</f>
        <v>0</v>
      </c>
      <c r="J126" s="5" t="n">
        <f aca="false">F126-H126</f>
        <v>13</v>
      </c>
      <c r="K126" s="5" t="n">
        <f aca="false">IF(I126&gt;0,1,0)</f>
        <v>0</v>
      </c>
      <c r="L126" s="5" t="n">
        <f aca="false">IF(J126&lt;PuntoReorden,1,0)</f>
        <v>0</v>
      </c>
      <c r="M126" s="18" t="n">
        <f aca="false">PrecioVenta*H126</f>
        <v>2720000</v>
      </c>
      <c r="N126" s="18" t="n">
        <f aca="false">CostoUnitario*E126</f>
        <v>9000000</v>
      </c>
      <c r="O126" s="18" t="n">
        <f aca="false">IF(E126&gt;0,CostoPedido,0)</f>
        <v>40000</v>
      </c>
      <c r="P126" s="18" t="n">
        <f aca="false">CostoAlm*(F126+J126)/2</f>
        <v>1200</v>
      </c>
      <c r="Q126" s="18" t="n">
        <f aca="false">CostoFijo*D126</f>
        <v>0</v>
      </c>
      <c r="R126" s="18" t="n">
        <f aca="false">M126-N126-O126-P126-Q126</f>
        <v>-6321200</v>
      </c>
    </row>
    <row r="127" customFormat="false" ht="15" hidden="false" customHeight="true" outlineLevel="0" collapsed="false">
      <c r="A127" s="5" t="n">
        <f aca="false">A126+1</f>
        <v>122</v>
      </c>
      <c r="B127" s="16" t="n">
        <f aca="false">B126+IF(WEEKDAY(B126,2)=6,2,1)</f>
        <v>46164</v>
      </c>
      <c r="C127" s="5" t="n">
        <f aca="false">MONTH(B127)</f>
        <v>5</v>
      </c>
      <c r="D127" s="5" t="n">
        <f aca="false">IF(C127&lt;&gt;C126,1,0)</f>
        <v>0</v>
      </c>
      <c r="E127" s="17" t="n">
        <f aca="false">IF(L126=1,CantPedido,0)</f>
        <v>0</v>
      </c>
      <c r="F127" s="5" t="n">
        <f aca="false">J126+E127</f>
        <v>13</v>
      </c>
      <c r="G127" s="5" t="n">
        <f aca="true">VLOOKUP(RAND(),TablaEmpirica,2,TRUE())</f>
        <v>5</v>
      </c>
      <c r="H127" s="5" t="n">
        <f aca="false">MIN(F127,G127)</f>
        <v>5</v>
      </c>
      <c r="I127" s="5" t="n">
        <f aca="false">G127-H127</f>
        <v>0</v>
      </c>
      <c r="J127" s="5" t="n">
        <f aca="false">F127-H127</f>
        <v>8</v>
      </c>
      <c r="K127" s="5" t="n">
        <f aca="false">IF(I127&gt;0,1,0)</f>
        <v>0</v>
      </c>
      <c r="L127" s="5" t="n">
        <f aca="false">IF(J127&lt;PuntoReorden,1,0)</f>
        <v>0</v>
      </c>
      <c r="M127" s="18" t="n">
        <f aca="false">PrecioVenta*H127</f>
        <v>3400000</v>
      </c>
      <c r="N127" s="18" t="n">
        <f aca="false">CostoUnitario*E127</f>
        <v>0</v>
      </c>
      <c r="O127" s="18" t="n">
        <f aca="false">IF(E127&gt;0,CostoPedido,0)</f>
        <v>0</v>
      </c>
      <c r="P127" s="18" t="n">
        <f aca="false">CostoAlm*(F127+J127)/2</f>
        <v>840</v>
      </c>
      <c r="Q127" s="18" t="n">
        <f aca="false">CostoFijo*D127</f>
        <v>0</v>
      </c>
      <c r="R127" s="18" t="n">
        <f aca="false">M127-N127-O127-P127-Q127</f>
        <v>3399160</v>
      </c>
    </row>
    <row r="128" customFormat="false" ht="15" hidden="false" customHeight="true" outlineLevel="0" collapsed="false">
      <c r="A128" s="5" t="n">
        <f aca="false">A127+1</f>
        <v>123</v>
      </c>
      <c r="B128" s="16" t="n">
        <f aca="false">B127+IF(WEEKDAY(B127,2)=6,2,1)</f>
        <v>46165</v>
      </c>
      <c r="C128" s="5" t="n">
        <f aca="false">MONTH(B128)</f>
        <v>5</v>
      </c>
      <c r="D128" s="5" t="n">
        <f aca="false">IF(C128&lt;&gt;C127,1,0)</f>
        <v>0</v>
      </c>
      <c r="E128" s="5" t="n">
        <f aca="false">IF(L127=1,CantPedido,0)</f>
        <v>0</v>
      </c>
      <c r="F128" s="5" t="n">
        <f aca="false">J127+E128</f>
        <v>8</v>
      </c>
      <c r="G128" s="5" t="n">
        <f aca="true">VLOOKUP(RAND(),TablaEmpirica,2,TRUE())</f>
        <v>6</v>
      </c>
      <c r="H128" s="5" t="n">
        <f aca="false">MIN(F128,G128)</f>
        <v>6</v>
      </c>
      <c r="I128" s="5" t="n">
        <f aca="false">G128-H128</f>
        <v>0</v>
      </c>
      <c r="J128" s="5" t="n">
        <f aca="false">F128-H128</f>
        <v>2</v>
      </c>
      <c r="K128" s="5" t="n">
        <f aca="false">IF(I128&gt;0,1,0)</f>
        <v>0</v>
      </c>
      <c r="L128" s="5" t="n">
        <f aca="false">IF(J128&lt;PuntoReorden,1,0)</f>
        <v>1</v>
      </c>
      <c r="M128" s="18" t="n">
        <f aca="false">PrecioVenta*H128</f>
        <v>4080000</v>
      </c>
      <c r="N128" s="18" t="n">
        <f aca="false">CostoUnitario*E128</f>
        <v>0</v>
      </c>
      <c r="O128" s="18" t="n">
        <f aca="false">IF(E128&gt;0,CostoPedido,0)</f>
        <v>0</v>
      </c>
      <c r="P128" s="18" t="n">
        <f aca="false">CostoAlm*(F128+J128)/2</f>
        <v>400</v>
      </c>
      <c r="Q128" s="18" t="n">
        <f aca="false">CostoFijo*D128</f>
        <v>0</v>
      </c>
      <c r="R128" s="18" t="n">
        <f aca="false">M128-N128-O128-P128-Q128</f>
        <v>4079600</v>
      </c>
    </row>
    <row r="129" customFormat="false" ht="15" hidden="false" customHeight="true" outlineLevel="0" collapsed="false">
      <c r="A129" s="5" t="n">
        <f aca="false">A128+1</f>
        <v>124</v>
      </c>
      <c r="B129" s="16" t="n">
        <f aca="false">B128+IF(WEEKDAY(B128,2)=6,2,1)</f>
        <v>46167</v>
      </c>
      <c r="C129" s="5" t="n">
        <f aca="false">MONTH(B129)</f>
        <v>5</v>
      </c>
      <c r="D129" s="5" t="n">
        <f aca="false">IF(C129&lt;&gt;C128,1,0)</f>
        <v>0</v>
      </c>
      <c r="E129" s="17" t="n">
        <f aca="false">IF(L128=1,CantPedido,0)</f>
        <v>15</v>
      </c>
      <c r="F129" s="5" t="n">
        <f aca="false">J128+E129</f>
        <v>17</v>
      </c>
      <c r="G129" s="5" t="n">
        <f aca="true">VLOOKUP(RAND(),TablaEmpirica,2,TRUE())</f>
        <v>5</v>
      </c>
      <c r="H129" s="5" t="n">
        <f aca="false">MIN(F129,G129)</f>
        <v>5</v>
      </c>
      <c r="I129" s="5" t="n">
        <f aca="false">G129-H129</f>
        <v>0</v>
      </c>
      <c r="J129" s="5" t="n">
        <f aca="false">F129-H129</f>
        <v>12</v>
      </c>
      <c r="K129" s="5" t="n">
        <f aca="false">IF(I129&gt;0,1,0)</f>
        <v>0</v>
      </c>
      <c r="L129" s="5" t="n">
        <f aca="false">IF(J129&lt;PuntoReorden,1,0)</f>
        <v>0</v>
      </c>
      <c r="M129" s="18" t="n">
        <f aca="false">PrecioVenta*H129</f>
        <v>3400000</v>
      </c>
      <c r="N129" s="18" t="n">
        <f aca="false">CostoUnitario*E129</f>
        <v>9000000</v>
      </c>
      <c r="O129" s="18" t="n">
        <f aca="false">IF(E129&gt;0,CostoPedido,0)</f>
        <v>40000</v>
      </c>
      <c r="P129" s="18" t="n">
        <f aca="false">CostoAlm*(F129+J129)/2</f>
        <v>1160</v>
      </c>
      <c r="Q129" s="18" t="n">
        <f aca="false">CostoFijo*D129</f>
        <v>0</v>
      </c>
      <c r="R129" s="18" t="n">
        <f aca="false">M129-N129-O129-P129-Q129</f>
        <v>-5641160</v>
      </c>
    </row>
    <row r="130" customFormat="false" ht="15" hidden="false" customHeight="true" outlineLevel="0" collapsed="false">
      <c r="A130" s="5" t="n">
        <f aca="false">A129+1</f>
        <v>125</v>
      </c>
      <c r="B130" s="16" t="n">
        <f aca="false">B129+IF(WEEKDAY(B129,2)=6,2,1)</f>
        <v>46168</v>
      </c>
      <c r="C130" s="5" t="n">
        <f aca="false">MONTH(B130)</f>
        <v>5</v>
      </c>
      <c r="D130" s="5" t="n">
        <f aca="false">IF(C130&lt;&gt;C129,1,0)</f>
        <v>0</v>
      </c>
      <c r="E130" s="5" t="n">
        <f aca="false">IF(L129=1,CantPedido,0)</f>
        <v>0</v>
      </c>
      <c r="F130" s="5" t="n">
        <f aca="false">J129+E130</f>
        <v>12</v>
      </c>
      <c r="G130" s="5" t="n">
        <f aca="true">VLOOKUP(RAND(),TablaEmpirica,2,TRUE())</f>
        <v>7</v>
      </c>
      <c r="H130" s="5" t="n">
        <f aca="false">MIN(F130,G130)</f>
        <v>7</v>
      </c>
      <c r="I130" s="5" t="n">
        <f aca="false">G130-H130</f>
        <v>0</v>
      </c>
      <c r="J130" s="5" t="n">
        <f aca="false">F130-H130</f>
        <v>5</v>
      </c>
      <c r="K130" s="5" t="n">
        <f aca="false">IF(I130&gt;0,1,0)</f>
        <v>0</v>
      </c>
      <c r="L130" s="5" t="n">
        <f aca="false">IF(J130&lt;PuntoReorden,1,0)</f>
        <v>1</v>
      </c>
      <c r="M130" s="18" t="n">
        <f aca="false">PrecioVenta*H130</f>
        <v>4760000</v>
      </c>
      <c r="N130" s="18" t="n">
        <f aca="false">CostoUnitario*E130</f>
        <v>0</v>
      </c>
      <c r="O130" s="18" t="n">
        <f aca="false">IF(E130&gt;0,CostoPedido,0)</f>
        <v>0</v>
      </c>
      <c r="P130" s="18" t="n">
        <f aca="false">CostoAlm*(F130+J130)/2</f>
        <v>680</v>
      </c>
      <c r="Q130" s="18" t="n">
        <f aca="false">CostoFijo*D130</f>
        <v>0</v>
      </c>
      <c r="R130" s="18" t="n">
        <f aca="false">M130-N130-O130-P130-Q130</f>
        <v>4759320</v>
      </c>
    </row>
    <row r="131" customFormat="false" ht="15" hidden="false" customHeight="true" outlineLevel="0" collapsed="false">
      <c r="A131" s="5" t="n">
        <f aca="false">A130+1</f>
        <v>126</v>
      </c>
      <c r="B131" s="16" t="n">
        <f aca="false">B130+IF(WEEKDAY(B130,2)=6,2,1)</f>
        <v>46169</v>
      </c>
      <c r="C131" s="5" t="n">
        <f aca="false">MONTH(B131)</f>
        <v>5</v>
      </c>
      <c r="D131" s="5" t="n">
        <f aca="false">IF(C131&lt;&gt;C130,1,0)</f>
        <v>0</v>
      </c>
      <c r="E131" s="17" t="n">
        <f aca="false">IF(L130=1,CantPedido,0)</f>
        <v>15</v>
      </c>
      <c r="F131" s="5" t="n">
        <f aca="false">J130+E131</f>
        <v>20</v>
      </c>
      <c r="G131" s="5" t="n">
        <f aca="true">VLOOKUP(RAND(),TablaEmpirica,2,TRUE())</f>
        <v>6</v>
      </c>
      <c r="H131" s="5" t="n">
        <f aca="false">MIN(F131,G131)</f>
        <v>6</v>
      </c>
      <c r="I131" s="5" t="n">
        <f aca="false">G131-H131</f>
        <v>0</v>
      </c>
      <c r="J131" s="5" t="n">
        <f aca="false">F131-H131</f>
        <v>14</v>
      </c>
      <c r="K131" s="5" t="n">
        <f aca="false">IF(I131&gt;0,1,0)</f>
        <v>0</v>
      </c>
      <c r="L131" s="5" t="n">
        <f aca="false">IF(J131&lt;PuntoReorden,1,0)</f>
        <v>0</v>
      </c>
      <c r="M131" s="18" t="n">
        <f aca="false">PrecioVenta*H131</f>
        <v>4080000</v>
      </c>
      <c r="N131" s="18" t="n">
        <f aca="false">CostoUnitario*E131</f>
        <v>9000000</v>
      </c>
      <c r="O131" s="18" t="n">
        <f aca="false">IF(E131&gt;0,CostoPedido,0)</f>
        <v>40000</v>
      </c>
      <c r="P131" s="18" t="n">
        <f aca="false">CostoAlm*(F131+J131)/2</f>
        <v>1360</v>
      </c>
      <c r="Q131" s="18" t="n">
        <f aca="false">CostoFijo*D131</f>
        <v>0</v>
      </c>
      <c r="R131" s="18" t="n">
        <f aca="false">M131-N131-O131-P131-Q131</f>
        <v>-4961360</v>
      </c>
    </row>
    <row r="132" customFormat="false" ht="15" hidden="false" customHeight="true" outlineLevel="0" collapsed="false">
      <c r="A132" s="5" t="n">
        <f aca="false">A131+1</f>
        <v>127</v>
      </c>
      <c r="B132" s="16" t="n">
        <f aca="false">B131+IF(WEEKDAY(B131,2)=6,2,1)</f>
        <v>46170</v>
      </c>
      <c r="C132" s="5" t="n">
        <f aca="false">MONTH(B132)</f>
        <v>5</v>
      </c>
      <c r="D132" s="5" t="n">
        <f aca="false">IF(C132&lt;&gt;C131,1,0)</f>
        <v>0</v>
      </c>
      <c r="E132" s="17" t="n">
        <f aca="false">IF(L131=1,CantPedido,0)</f>
        <v>0</v>
      </c>
      <c r="F132" s="5" t="n">
        <f aca="false">J131+E132</f>
        <v>14</v>
      </c>
      <c r="G132" s="5" t="n">
        <f aca="true">VLOOKUP(RAND(),TablaEmpirica,2,TRUE())</f>
        <v>5</v>
      </c>
      <c r="H132" s="5" t="n">
        <f aca="false">MIN(F132,G132)</f>
        <v>5</v>
      </c>
      <c r="I132" s="5" t="n">
        <f aca="false">G132-H132</f>
        <v>0</v>
      </c>
      <c r="J132" s="5" t="n">
        <f aca="false">F132-H132</f>
        <v>9</v>
      </c>
      <c r="K132" s="5" t="n">
        <f aca="false">IF(I132&gt;0,1,0)</f>
        <v>0</v>
      </c>
      <c r="L132" s="5" t="n">
        <f aca="false">IF(J132&lt;PuntoReorden,1,0)</f>
        <v>0</v>
      </c>
      <c r="M132" s="18" t="n">
        <f aca="false">PrecioVenta*H132</f>
        <v>3400000</v>
      </c>
      <c r="N132" s="18" t="n">
        <f aca="false">CostoUnitario*E132</f>
        <v>0</v>
      </c>
      <c r="O132" s="18" t="n">
        <f aca="false">IF(E132&gt;0,CostoPedido,0)</f>
        <v>0</v>
      </c>
      <c r="P132" s="18" t="n">
        <f aca="false">CostoAlm*(F132+J132)/2</f>
        <v>920</v>
      </c>
      <c r="Q132" s="18" t="n">
        <f aca="false">CostoFijo*D132</f>
        <v>0</v>
      </c>
      <c r="R132" s="18" t="n">
        <f aca="false">M132-N132-O132-P132-Q132</f>
        <v>3399080</v>
      </c>
    </row>
    <row r="133" customFormat="false" ht="15" hidden="false" customHeight="true" outlineLevel="0" collapsed="false">
      <c r="A133" s="5" t="n">
        <f aca="false">A132+1</f>
        <v>128</v>
      </c>
      <c r="B133" s="16" t="n">
        <f aca="false">B132+IF(WEEKDAY(B132,2)=6,2,1)</f>
        <v>46171</v>
      </c>
      <c r="C133" s="5" t="n">
        <f aca="false">MONTH(B133)</f>
        <v>5</v>
      </c>
      <c r="D133" s="5" t="n">
        <f aca="false">IF(C133&lt;&gt;C132,1,0)</f>
        <v>0</v>
      </c>
      <c r="E133" s="5" t="n">
        <f aca="false">IF(L132=1,CantPedido,0)</f>
        <v>0</v>
      </c>
      <c r="F133" s="5" t="n">
        <f aca="false">J132+E133</f>
        <v>9</v>
      </c>
      <c r="G133" s="5" t="n">
        <f aca="true">VLOOKUP(RAND(),TablaEmpirica,2,TRUE())</f>
        <v>5</v>
      </c>
      <c r="H133" s="5" t="n">
        <f aca="false">MIN(F133,G133)</f>
        <v>5</v>
      </c>
      <c r="I133" s="5" t="n">
        <f aca="false">G133-H133</f>
        <v>0</v>
      </c>
      <c r="J133" s="5" t="n">
        <f aca="false">F133-H133</f>
        <v>4</v>
      </c>
      <c r="K133" s="5" t="n">
        <f aca="false">IF(I133&gt;0,1,0)</f>
        <v>0</v>
      </c>
      <c r="L133" s="5" t="n">
        <f aca="false">IF(J133&lt;PuntoReorden,1,0)</f>
        <v>1</v>
      </c>
      <c r="M133" s="18" t="n">
        <f aca="false">PrecioVenta*H133</f>
        <v>3400000</v>
      </c>
      <c r="N133" s="18" t="n">
        <f aca="false">CostoUnitario*E133</f>
        <v>0</v>
      </c>
      <c r="O133" s="18" t="n">
        <f aca="false">IF(E133&gt;0,CostoPedido,0)</f>
        <v>0</v>
      </c>
      <c r="P133" s="18" t="n">
        <f aca="false">CostoAlm*(F133+J133)/2</f>
        <v>520</v>
      </c>
      <c r="Q133" s="18" t="n">
        <f aca="false">CostoFijo*D133</f>
        <v>0</v>
      </c>
      <c r="R133" s="18" t="n">
        <f aca="false">M133-N133-O133-P133-Q133</f>
        <v>3399480</v>
      </c>
    </row>
    <row r="134" customFormat="false" ht="15" hidden="false" customHeight="true" outlineLevel="0" collapsed="false">
      <c r="A134" s="5" t="n">
        <f aca="false">A133+1</f>
        <v>129</v>
      </c>
      <c r="B134" s="16" t="n">
        <f aca="false">B133+IF(WEEKDAY(B133,2)=6,2,1)</f>
        <v>46172</v>
      </c>
      <c r="C134" s="5" t="n">
        <f aca="false">MONTH(B134)</f>
        <v>5</v>
      </c>
      <c r="D134" s="5" t="n">
        <f aca="false">IF(C134&lt;&gt;C133,1,0)</f>
        <v>0</v>
      </c>
      <c r="E134" s="17" t="n">
        <f aca="false">IF(L133=1,CantPedido,0)</f>
        <v>15</v>
      </c>
      <c r="F134" s="5" t="n">
        <f aca="false">J133+E134</f>
        <v>19</v>
      </c>
      <c r="G134" s="5" t="n">
        <f aca="true">VLOOKUP(RAND(),TablaEmpirica,2,TRUE())</f>
        <v>5</v>
      </c>
      <c r="H134" s="5" t="n">
        <f aca="false">MIN(F134,G134)</f>
        <v>5</v>
      </c>
      <c r="I134" s="5" t="n">
        <f aca="false">G134-H134</f>
        <v>0</v>
      </c>
      <c r="J134" s="5" t="n">
        <f aca="false">F134-H134</f>
        <v>14</v>
      </c>
      <c r="K134" s="5" t="n">
        <f aca="false">IF(I134&gt;0,1,0)</f>
        <v>0</v>
      </c>
      <c r="L134" s="5" t="n">
        <f aca="false">IF(J134&lt;PuntoReorden,1,0)</f>
        <v>0</v>
      </c>
      <c r="M134" s="18" t="n">
        <f aca="false">PrecioVenta*H134</f>
        <v>3400000</v>
      </c>
      <c r="N134" s="18" t="n">
        <f aca="false">CostoUnitario*E134</f>
        <v>9000000</v>
      </c>
      <c r="O134" s="18" t="n">
        <f aca="false">IF(E134&gt;0,CostoPedido,0)</f>
        <v>40000</v>
      </c>
      <c r="P134" s="18" t="n">
        <f aca="false">CostoAlm*(F134+J134)/2</f>
        <v>1320</v>
      </c>
      <c r="Q134" s="18" t="n">
        <f aca="false">CostoFijo*D134</f>
        <v>0</v>
      </c>
      <c r="R134" s="18" t="n">
        <f aca="false">M134-N134-O134-P134-Q134</f>
        <v>-5641320</v>
      </c>
    </row>
    <row r="135" customFormat="false" ht="15" hidden="false" customHeight="true" outlineLevel="0" collapsed="false">
      <c r="A135" s="5" t="n">
        <f aca="false">A134+1</f>
        <v>130</v>
      </c>
      <c r="B135" s="16" t="n">
        <f aca="false">B134+IF(WEEKDAY(B134,2)=6,2,1)</f>
        <v>46174</v>
      </c>
      <c r="C135" s="5" t="n">
        <f aca="false">MONTH(B135)</f>
        <v>6</v>
      </c>
      <c r="D135" s="5" t="n">
        <f aca="false">IF(C135&lt;&gt;C134,1,0)</f>
        <v>1</v>
      </c>
      <c r="E135" s="17" t="n">
        <f aca="false">IF(L134=1,CantPedido,0)</f>
        <v>0</v>
      </c>
      <c r="F135" s="5" t="n">
        <f aca="false">J134+E135</f>
        <v>14</v>
      </c>
      <c r="G135" s="5" t="n">
        <f aca="true">VLOOKUP(RAND(),TablaEmpirica,2,TRUE())</f>
        <v>6</v>
      </c>
      <c r="H135" s="5" t="n">
        <f aca="false">MIN(F135,G135)</f>
        <v>6</v>
      </c>
      <c r="I135" s="5" t="n">
        <f aca="false">G135-H135</f>
        <v>0</v>
      </c>
      <c r="J135" s="5" t="n">
        <f aca="false">F135-H135</f>
        <v>8</v>
      </c>
      <c r="K135" s="5" t="n">
        <f aca="false">IF(I135&gt;0,1,0)</f>
        <v>0</v>
      </c>
      <c r="L135" s="5" t="n">
        <f aca="false">IF(J135&lt;PuntoReorden,1,0)</f>
        <v>0</v>
      </c>
      <c r="M135" s="18" t="n">
        <f aca="false">PrecioVenta*H135</f>
        <v>4080000</v>
      </c>
      <c r="N135" s="18" t="n">
        <f aca="false">CostoUnitario*E135</f>
        <v>0</v>
      </c>
      <c r="O135" s="18" t="n">
        <f aca="false">IF(E135&gt;0,CostoPedido,0)</f>
        <v>0</v>
      </c>
      <c r="P135" s="18" t="n">
        <f aca="false">CostoAlm*(F135+J135)/2</f>
        <v>880</v>
      </c>
      <c r="Q135" s="18" t="n">
        <f aca="false">CostoFijo*D135</f>
        <v>1000000</v>
      </c>
      <c r="R135" s="18" t="n">
        <f aca="false">M135-N135-O135-P135-Q135</f>
        <v>3079120</v>
      </c>
    </row>
    <row r="136" customFormat="false" ht="15" hidden="false" customHeight="true" outlineLevel="0" collapsed="false">
      <c r="A136" s="5" t="n">
        <f aca="false">A135+1</f>
        <v>131</v>
      </c>
      <c r="B136" s="16" t="n">
        <f aca="false">B135+IF(WEEKDAY(B135,2)=6,2,1)</f>
        <v>46175</v>
      </c>
      <c r="C136" s="5" t="n">
        <f aca="false">MONTH(B136)</f>
        <v>6</v>
      </c>
      <c r="D136" s="5" t="n">
        <f aca="false">IF(C136&lt;&gt;C135,1,0)</f>
        <v>0</v>
      </c>
      <c r="E136" s="5" t="n">
        <f aca="false">IF(L135=1,CantPedido,0)</f>
        <v>0</v>
      </c>
      <c r="F136" s="5" t="n">
        <f aca="false">J135+E136</f>
        <v>8</v>
      </c>
      <c r="G136" s="5" t="n">
        <f aca="true">VLOOKUP(RAND(),TablaEmpirica,2,TRUE())</f>
        <v>6</v>
      </c>
      <c r="H136" s="5" t="n">
        <f aca="false">MIN(F136,G136)</f>
        <v>6</v>
      </c>
      <c r="I136" s="5" t="n">
        <f aca="false">G136-H136</f>
        <v>0</v>
      </c>
      <c r="J136" s="5" t="n">
        <f aca="false">F136-H136</f>
        <v>2</v>
      </c>
      <c r="K136" s="5" t="n">
        <f aca="false">IF(I136&gt;0,1,0)</f>
        <v>0</v>
      </c>
      <c r="L136" s="5" t="n">
        <f aca="false">IF(J136&lt;PuntoReorden,1,0)</f>
        <v>1</v>
      </c>
      <c r="M136" s="18" t="n">
        <f aca="false">PrecioVenta*H136</f>
        <v>4080000</v>
      </c>
      <c r="N136" s="18" t="n">
        <f aca="false">CostoUnitario*E136</f>
        <v>0</v>
      </c>
      <c r="O136" s="18" t="n">
        <f aca="false">IF(E136&gt;0,CostoPedido,0)</f>
        <v>0</v>
      </c>
      <c r="P136" s="18" t="n">
        <f aca="false">CostoAlm*(F136+J136)/2</f>
        <v>400</v>
      </c>
      <c r="Q136" s="18" t="n">
        <f aca="false">CostoFijo*D136</f>
        <v>0</v>
      </c>
      <c r="R136" s="18" t="n">
        <f aca="false">M136-N136-O136-P136-Q136</f>
        <v>4079600</v>
      </c>
    </row>
    <row r="137" customFormat="false" ht="15" hidden="false" customHeight="true" outlineLevel="0" collapsed="false">
      <c r="A137" s="5" t="n">
        <f aca="false">A136+1</f>
        <v>132</v>
      </c>
      <c r="B137" s="16" t="n">
        <f aca="false">B136+IF(WEEKDAY(B136,2)=6,2,1)</f>
        <v>46176</v>
      </c>
      <c r="C137" s="5" t="n">
        <f aca="false">MONTH(B137)</f>
        <v>6</v>
      </c>
      <c r="D137" s="5" t="n">
        <f aca="false">IF(C137&lt;&gt;C136,1,0)</f>
        <v>0</v>
      </c>
      <c r="E137" s="17" t="n">
        <f aca="false">IF(L136=1,CantPedido,0)</f>
        <v>15</v>
      </c>
      <c r="F137" s="5" t="n">
        <f aca="false">J136+E137</f>
        <v>17</v>
      </c>
      <c r="G137" s="5" t="n">
        <f aca="true">VLOOKUP(RAND(),TablaEmpirica,2,TRUE())</f>
        <v>5</v>
      </c>
      <c r="H137" s="5" t="n">
        <f aca="false">MIN(F137,G137)</f>
        <v>5</v>
      </c>
      <c r="I137" s="5" t="n">
        <f aca="false">G137-H137</f>
        <v>0</v>
      </c>
      <c r="J137" s="5" t="n">
        <f aca="false">F137-H137</f>
        <v>12</v>
      </c>
      <c r="K137" s="5" t="n">
        <f aca="false">IF(I137&gt;0,1,0)</f>
        <v>0</v>
      </c>
      <c r="L137" s="5" t="n">
        <f aca="false">IF(J137&lt;PuntoReorden,1,0)</f>
        <v>0</v>
      </c>
      <c r="M137" s="18" t="n">
        <f aca="false">PrecioVenta*H137</f>
        <v>3400000</v>
      </c>
      <c r="N137" s="18" t="n">
        <f aca="false">CostoUnitario*E137</f>
        <v>9000000</v>
      </c>
      <c r="O137" s="18" t="n">
        <f aca="false">IF(E137&gt;0,CostoPedido,0)</f>
        <v>40000</v>
      </c>
      <c r="P137" s="18" t="n">
        <f aca="false">CostoAlm*(F137+J137)/2</f>
        <v>1160</v>
      </c>
      <c r="Q137" s="18" t="n">
        <f aca="false">CostoFijo*D137</f>
        <v>0</v>
      </c>
      <c r="R137" s="18" t="n">
        <f aca="false">M137-N137-O137-P137-Q137</f>
        <v>-5641160</v>
      </c>
    </row>
    <row r="138" customFormat="false" ht="15" hidden="false" customHeight="true" outlineLevel="0" collapsed="false">
      <c r="A138" s="5" t="n">
        <f aca="false">A137+1</f>
        <v>133</v>
      </c>
      <c r="B138" s="16" t="n">
        <f aca="false">B137+IF(WEEKDAY(B137,2)=6,2,1)</f>
        <v>46177</v>
      </c>
      <c r="C138" s="5" t="n">
        <f aca="false">MONTH(B138)</f>
        <v>6</v>
      </c>
      <c r="D138" s="5" t="n">
        <f aca="false">IF(C138&lt;&gt;C137,1,0)</f>
        <v>0</v>
      </c>
      <c r="E138" s="17" t="n">
        <f aca="false">IF(L137=1,CantPedido,0)</f>
        <v>0</v>
      </c>
      <c r="F138" s="5" t="n">
        <f aca="false">J137+E138</f>
        <v>12</v>
      </c>
      <c r="G138" s="5" t="n">
        <f aca="true">VLOOKUP(RAND(),TablaEmpirica,2,TRUE())</f>
        <v>5</v>
      </c>
      <c r="H138" s="5" t="n">
        <f aca="false">MIN(F138,G138)</f>
        <v>5</v>
      </c>
      <c r="I138" s="5" t="n">
        <f aca="false">G138-H138</f>
        <v>0</v>
      </c>
      <c r="J138" s="5" t="n">
        <f aca="false">F138-H138</f>
        <v>7</v>
      </c>
      <c r="K138" s="5" t="n">
        <f aca="false">IF(I138&gt;0,1,0)</f>
        <v>0</v>
      </c>
      <c r="L138" s="5" t="n">
        <f aca="false">IF(J138&lt;PuntoReorden,1,0)</f>
        <v>0</v>
      </c>
      <c r="M138" s="18" t="n">
        <f aca="false">PrecioVenta*H138</f>
        <v>3400000</v>
      </c>
      <c r="N138" s="18" t="n">
        <f aca="false">CostoUnitario*E138</f>
        <v>0</v>
      </c>
      <c r="O138" s="18" t="n">
        <f aca="false">IF(E138&gt;0,CostoPedido,0)</f>
        <v>0</v>
      </c>
      <c r="P138" s="18" t="n">
        <f aca="false">CostoAlm*(F138+J138)/2</f>
        <v>760</v>
      </c>
      <c r="Q138" s="18" t="n">
        <f aca="false">CostoFijo*D138</f>
        <v>0</v>
      </c>
      <c r="R138" s="18" t="n">
        <f aca="false">M138-N138-O138-P138-Q138</f>
        <v>3399240</v>
      </c>
    </row>
    <row r="139" customFormat="false" ht="15" hidden="false" customHeight="true" outlineLevel="0" collapsed="false">
      <c r="A139" s="5" t="n">
        <f aca="false">A138+1</f>
        <v>134</v>
      </c>
      <c r="B139" s="16" t="n">
        <f aca="false">B138+IF(WEEKDAY(B138,2)=6,2,1)</f>
        <v>46178</v>
      </c>
      <c r="C139" s="5" t="n">
        <f aca="false">MONTH(B139)</f>
        <v>6</v>
      </c>
      <c r="D139" s="5" t="n">
        <f aca="false">IF(C139&lt;&gt;C138,1,0)</f>
        <v>0</v>
      </c>
      <c r="E139" s="5" t="n">
        <f aca="false">IF(L138=1,CantPedido,0)</f>
        <v>0</v>
      </c>
      <c r="F139" s="5" t="n">
        <f aca="false">J138+E139</f>
        <v>7</v>
      </c>
      <c r="G139" s="5" t="n">
        <f aca="true">VLOOKUP(RAND(),TablaEmpirica,2,TRUE())</f>
        <v>3</v>
      </c>
      <c r="H139" s="5" t="n">
        <f aca="false">MIN(F139,G139)</f>
        <v>3</v>
      </c>
      <c r="I139" s="5" t="n">
        <f aca="false">G139-H139</f>
        <v>0</v>
      </c>
      <c r="J139" s="5" t="n">
        <f aca="false">F139-H139</f>
        <v>4</v>
      </c>
      <c r="K139" s="5" t="n">
        <f aca="false">IF(I139&gt;0,1,0)</f>
        <v>0</v>
      </c>
      <c r="L139" s="5" t="n">
        <f aca="false">IF(J139&lt;PuntoReorden,1,0)</f>
        <v>1</v>
      </c>
      <c r="M139" s="18" t="n">
        <f aca="false">PrecioVenta*H139</f>
        <v>2040000</v>
      </c>
      <c r="N139" s="18" t="n">
        <f aca="false">CostoUnitario*E139</f>
        <v>0</v>
      </c>
      <c r="O139" s="18" t="n">
        <f aca="false">IF(E139&gt;0,CostoPedido,0)</f>
        <v>0</v>
      </c>
      <c r="P139" s="18" t="n">
        <f aca="false">CostoAlm*(F139+J139)/2</f>
        <v>440</v>
      </c>
      <c r="Q139" s="18" t="n">
        <f aca="false">CostoFijo*D139</f>
        <v>0</v>
      </c>
      <c r="R139" s="18" t="n">
        <f aca="false">M139-N139-O139-P139-Q139</f>
        <v>2039560</v>
      </c>
    </row>
    <row r="140" customFormat="false" ht="15" hidden="false" customHeight="true" outlineLevel="0" collapsed="false">
      <c r="A140" s="5" t="n">
        <f aca="false">A139+1</f>
        <v>135</v>
      </c>
      <c r="B140" s="16" t="n">
        <f aca="false">B139+IF(WEEKDAY(B139,2)=6,2,1)</f>
        <v>46179</v>
      </c>
      <c r="C140" s="5" t="n">
        <f aca="false">MONTH(B140)</f>
        <v>6</v>
      </c>
      <c r="D140" s="5" t="n">
        <f aca="false">IF(C140&lt;&gt;C139,1,0)</f>
        <v>0</v>
      </c>
      <c r="E140" s="17" t="n">
        <f aca="false">IF(L139=1,CantPedido,0)</f>
        <v>15</v>
      </c>
      <c r="F140" s="5" t="n">
        <f aca="false">J139+E140</f>
        <v>19</v>
      </c>
      <c r="G140" s="5" t="n">
        <f aca="true">VLOOKUP(RAND(),TablaEmpirica,2,TRUE())</f>
        <v>7</v>
      </c>
      <c r="H140" s="5" t="n">
        <f aca="false">MIN(F140,G140)</f>
        <v>7</v>
      </c>
      <c r="I140" s="5" t="n">
        <f aca="false">G140-H140</f>
        <v>0</v>
      </c>
      <c r="J140" s="5" t="n">
        <f aca="false">F140-H140</f>
        <v>12</v>
      </c>
      <c r="K140" s="5" t="n">
        <f aca="false">IF(I140&gt;0,1,0)</f>
        <v>0</v>
      </c>
      <c r="L140" s="5" t="n">
        <f aca="false">IF(J140&lt;PuntoReorden,1,0)</f>
        <v>0</v>
      </c>
      <c r="M140" s="18" t="n">
        <f aca="false">PrecioVenta*H140</f>
        <v>4760000</v>
      </c>
      <c r="N140" s="18" t="n">
        <f aca="false">CostoUnitario*E140</f>
        <v>9000000</v>
      </c>
      <c r="O140" s="18" t="n">
        <f aca="false">IF(E140&gt;0,CostoPedido,0)</f>
        <v>40000</v>
      </c>
      <c r="P140" s="18" t="n">
        <f aca="false">CostoAlm*(F140+J140)/2</f>
        <v>1240</v>
      </c>
      <c r="Q140" s="18" t="n">
        <f aca="false">CostoFijo*D140</f>
        <v>0</v>
      </c>
      <c r="R140" s="18" t="n">
        <f aca="false">M140-N140-O140-P140-Q140</f>
        <v>-4281240</v>
      </c>
    </row>
    <row r="141" customFormat="false" ht="15" hidden="false" customHeight="true" outlineLevel="0" collapsed="false">
      <c r="A141" s="5" t="n">
        <f aca="false">A140+1</f>
        <v>136</v>
      </c>
      <c r="B141" s="16" t="n">
        <f aca="false">B140+IF(WEEKDAY(B140,2)=6,2,1)</f>
        <v>46181</v>
      </c>
      <c r="C141" s="5" t="n">
        <f aca="false">MONTH(B141)</f>
        <v>6</v>
      </c>
      <c r="D141" s="5" t="n">
        <f aca="false">IF(C141&lt;&gt;C140,1,0)</f>
        <v>0</v>
      </c>
      <c r="E141" s="17" t="n">
        <f aca="false">IF(L140=1,CantPedido,0)</f>
        <v>0</v>
      </c>
      <c r="F141" s="5" t="n">
        <f aca="false">J140+E141</f>
        <v>12</v>
      </c>
      <c r="G141" s="5" t="n">
        <f aca="true">VLOOKUP(RAND(),TablaEmpirica,2,TRUE())</f>
        <v>7</v>
      </c>
      <c r="H141" s="5" t="n">
        <f aca="false">MIN(F141,G141)</f>
        <v>7</v>
      </c>
      <c r="I141" s="5" t="n">
        <f aca="false">G141-H141</f>
        <v>0</v>
      </c>
      <c r="J141" s="5" t="n">
        <f aca="false">F141-H141</f>
        <v>5</v>
      </c>
      <c r="K141" s="5" t="n">
        <f aca="false">IF(I141&gt;0,1,0)</f>
        <v>0</v>
      </c>
      <c r="L141" s="5" t="n">
        <f aca="false">IF(J141&lt;PuntoReorden,1,0)</f>
        <v>1</v>
      </c>
      <c r="M141" s="18" t="n">
        <f aca="false">PrecioVenta*H141</f>
        <v>4760000</v>
      </c>
      <c r="N141" s="18" t="n">
        <f aca="false">CostoUnitario*E141</f>
        <v>0</v>
      </c>
      <c r="O141" s="18" t="n">
        <f aca="false">IF(E141&gt;0,CostoPedido,0)</f>
        <v>0</v>
      </c>
      <c r="P141" s="18" t="n">
        <f aca="false">CostoAlm*(F141+J141)/2</f>
        <v>680</v>
      </c>
      <c r="Q141" s="18" t="n">
        <f aca="false">CostoFijo*D141</f>
        <v>0</v>
      </c>
      <c r="R141" s="18" t="n">
        <f aca="false">M141-N141-O141-P141-Q141</f>
        <v>4759320</v>
      </c>
    </row>
    <row r="142" customFormat="false" ht="15" hidden="false" customHeight="true" outlineLevel="0" collapsed="false">
      <c r="A142" s="5" t="n">
        <f aca="false">A141+1</f>
        <v>137</v>
      </c>
      <c r="B142" s="16" t="n">
        <f aca="false">B141+IF(WEEKDAY(B141,2)=6,2,1)</f>
        <v>46182</v>
      </c>
      <c r="C142" s="5" t="n">
        <f aca="false">MONTH(B142)</f>
        <v>6</v>
      </c>
      <c r="D142" s="5" t="n">
        <f aca="false">IF(C142&lt;&gt;C141,1,0)</f>
        <v>0</v>
      </c>
      <c r="E142" s="17" t="n">
        <f aca="false">IF(L141=1,CantPedido,0)</f>
        <v>15</v>
      </c>
      <c r="F142" s="5" t="n">
        <f aca="false">J141+E142</f>
        <v>20</v>
      </c>
      <c r="G142" s="5" t="n">
        <f aca="true">VLOOKUP(RAND(),TablaEmpirica,2,TRUE())</f>
        <v>6</v>
      </c>
      <c r="H142" s="5" t="n">
        <f aca="false">MIN(F142,G142)</f>
        <v>6</v>
      </c>
      <c r="I142" s="5" t="n">
        <f aca="false">G142-H142</f>
        <v>0</v>
      </c>
      <c r="J142" s="5" t="n">
        <f aca="false">F142-H142</f>
        <v>14</v>
      </c>
      <c r="K142" s="5" t="n">
        <f aca="false">IF(I142&gt;0,1,0)</f>
        <v>0</v>
      </c>
      <c r="L142" s="5" t="n">
        <f aca="false">IF(J142&lt;PuntoReorden,1,0)</f>
        <v>0</v>
      </c>
      <c r="M142" s="18" t="n">
        <f aca="false">PrecioVenta*H142</f>
        <v>4080000</v>
      </c>
      <c r="N142" s="18" t="n">
        <f aca="false">CostoUnitario*E142</f>
        <v>9000000</v>
      </c>
      <c r="O142" s="18" t="n">
        <f aca="false">IF(E142&gt;0,CostoPedido,0)</f>
        <v>40000</v>
      </c>
      <c r="P142" s="18" t="n">
        <f aca="false">CostoAlm*(F142+J142)/2</f>
        <v>1360</v>
      </c>
      <c r="Q142" s="18" t="n">
        <f aca="false">CostoFijo*D142</f>
        <v>0</v>
      </c>
      <c r="R142" s="18" t="n">
        <f aca="false">M142-N142-O142-P142-Q142</f>
        <v>-4961360</v>
      </c>
    </row>
    <row r="143" customFormat="false" ht="15" hidden="false" customHeight="true" outlineLevel="0" collapsed="false">
      <c r="A143" s="5" t="n">
        <f aca="false">A142+1</f>
        <v>138</v>
      </c>
      <c r="B143" s="16" t="n">
        <f aca="false">B142+IF(WEEKDAY(B142,2)=6,2,1)</f>
        <v>46183</v>
      </c>
      <c r="C143" s="5" t="n">
        <f aca="false">MONTH(B143)</f>
        <v>6</v>
      </c>
      <c r="D143" s="5" t="n">
        <f aca="false">IF(C143&lt;&gt;C142,1,0)</f>
        <v>0</v>
      </c>
      <c r="E143" s="5" t="n">
        <f aca="false">IF(L142=1,CantPedido,0)</f>
        <v>0</v>
      </c>
      <c r="F143" s="5" t="n">
        <f aca="false">J142+E143</f>
        <v>14</v>
      </c>
      <c r="G143" s="5" t="n">
        <f aca="true">VLOOKUP(RAND(),TablaEmpirica,2,TRUE())</f>
        <v>3</v>
      </c>
      <c r="H143" s="5" t="n">
        <f aca="false">MIN(F143,G143)</f>
        <v>3</v>
      </c>
      <c r="I143" s="5" t="n">
        <f aca="false">G143-H143</f>
        <v>0</v>
      </c>
      <c r="J143" s="5" t="n">
        <f aca="false">F143-H143</f>
        <v>11</v>
      </c>
      <c r="K143" s="5" t="n">
        <f aca="false">IF(I143&gt;0,1,0)</f>
        <v>0</v>
      </c>
      <c r="L143" s="5" t="n">
        <f aca="false">IF(J143&lt;PuntoReorden,1,0)</f>
        <v>0</v>
      </c>
      <c r="M143" s="18" t="n">
        <f aca="false">PrecioVenta*H143</f>
        <v>2040000</v>
      </c>
      <c r="N143" s="18" t="n">
        <f aca="false">CostoUnitario*E143</f>
        <v>0</v>
      </c>
      <c r="O143" s="18" t="n">
        <f aca="false">IF(E143&gt;0,CostoPedido,0)</f>
        <v>0</v>
      </c>
      <c r="P143" s="18" t="n">
        <f aca="false">CostoAlm*(F143+J143)/2</f>
        <v>1000</v>
      </c>
      <c r="Q143" s="18" t="n">
        <f aca="false">CostoFijo*D143</f>
        <v>0</v>
      </c>
      <c r="R143" s="18" t="n">
        <f aca="false">M143-N143-O143-P143-Q143</f>
        <v>2039000</v>
      </c>
    </row>
    <row r="144" customFormat="false" ht="15" hidden="false" customHeight="true" outlineLevel="0" collapsed="false">
      <c r="A144" s="5" t="n">
        <f aca="false">A143+1</f>
        <v>139</v>
      </c>
      <c r="B144" s="16" t="n">
        <f aca="false">B143+IF(WEEKDAY(B143,2)=6,2,1)</f>
        <v>46184</v>
      </c>
      <c r="C144" s="5" t="n">
        <f aca="false">MONTH(B144)</f>
        <v>6</v>
      </c>
      <c r="D144" s="5" t="n">
        <f aca="false">IF(C144&lt;&gt;C143,1,0)</f>
        <v>0</v>
      </c>
      <c r="E144" s="17" t="n">
        <f aca="false">IF(L143=1,CantPedido,0)</f>
        <v>0</v>
      </c>
      <c r="F144" s="5" t="n">
        <f aca="false">J143+E144</f>
        <v>11</v>
      </c>
      <c r="G144" s="5" t="n">
        <f aca="true">VLOOKUP(RAND(),TablaEmpirica,2,TRUE())</f>
        <v>6</v>
      </c>
      <c r="H144" s="5" t="n">
        <f aca="false">MIN(F144,G144)</f>
        <v>6</v>
      </c>
      <c r="I144" s="5" t="n">
        <f aca="false">G144-H144</f>
        <v>0</v>
      </c>
      <c r="J144" s="5" t="n">
        <f aca="false">F144-H144</f>
        <v>5</v>
      </c>
      <c r="K144" s="5" t="n">
        <f aca="false">IF(I144&gt;0,1,0)</f>
        <v>0</v>
      </c>
      <c r="L144" s="5" t="n">
        <f aca="false">IF(J144&lt;PuntoReorden,1,0)</f>
        <v>1</v>
      </c>
      <c r="M144" s="18" t="n">
        <f aca="false">PrecioVenta*H144</f>
        <v>4080000</v>
      </c>
      <c r="N144" s="18" t="n">
        <f aca="false">CostoUnitario*E144</f>
        <v>0</v>
      </c>
      <c r="O144" s="18" t="n">
        <f aca="false">IF(E144&gt;0,CostoPedido,0)</f>
        <v>0</v>
      </c>
      <c r="P144" s="18" t="n">
        <f aca="false">CostoAlm*(F144+J144)/2</f>
        <v>640</v>
      </c>
      <c r="Q144" s="18" t="n">
        <f aca="false">CostoFijo*D144</f>
        <v>0</v>
      </c>
      <c r="R144" s="18" t="n">
        <f aca="false">M144-N144-O144-P144-Q144</f>
        <v>4079360</v>
      </c>
    </row>
    <row r="145" customFormat="false" ht="15" hidden="false" customHeight="true" outlineLevel="0" collapsed="false">
      <c r="A145" s="5" t="n">
        <f aca="false">A144+1</f>
        <v>140</v>
      </c>
      <c r="B145" s="16" t="n">
        <f aca="false">B144+IF(WEEKDAY(B144,2)=6,2,1)</f>
        <v>46185</v>
      </c>
      <c r="C145" s="5" t="n">
        <f aca="false">MONTH(B145)</f>
        <v>6</v>
      </c>
      <c r="D145" s="5" t="n">
        <f aca="false">IF(C145&lt;&gt;C144,1,0)</f>
        <v>0</v>
      </c>
      <c r="E145" s="17" t="n">
        <f aca="false">IF(L144=1,CantPedido,0)</f>
        <v>15</v>
      </c>
      <c r="F145" s="5" t="n">
        <f aca="false">J144+E145</f>
        <v>20</v>
      </c>
      <c r="G145" s="5" t="n">
        <f aca="true">VLOOKUP(RAND(),TablaEmpirica,2,TRUE())</f>
        <v>6</v>
      </c>
      <c r="H145" s="5" t="n">
        <f aca="false">MIN(F145,G145)</f>
        <v>6</v>
      </c>
      <c r="I145" s="5" t="n">
        <f aca="false">G145-H145</f>
        <v>0</v>
      </c>
      <c r="J145" s="5" t="n">
        <f aca="false">F145-H145</f>
        <v>14</v>
      </c>
      <c r="K145" s="5" t="n">
        <f aca="false">IF(I145&gt;0,1,0)</f>
        <v>0</v>
      </c>
      <c r="L145" s="5" t="n">
        <f aca="false">IF(J145&lt;PuntoReorden,1,0)</f>
        <v>0</v>
      </c>
      <c r="M145" s="18" t="n">
        <f aca="false">PrecioVenta*H145</f>
        <v>4080000</v>
      </c>
      <c r="N145" s="18" t="n">
        <f aca="false">CostoUnitario*E145</f>
        <v>9000000</v>
      </c>
      <c r="O145" s="18" t="n">
        <f aca="false">IF(E145&gt;0,CostoPedido,0)</f>
        <v>40000</v>
      </c>
      <c r="P145" s="18" t="n">
        <f aca="false">CostoAlm*(F145+J145)/2</f>
        <v>1360</v>
      </c>
      <c r="Q145" s="18" t="n">
        <f aca="false">CostoFijo*D145</f>
        <v>0</v>
      </c>
      <c r="R145" s="18" t="n">
        <f aca="false">M145-N145-O145-P145-Q145</f>
        <v>-4961360</v>
      </c>
    </row>
    <row r="146" customFormat="false" ht="15" hidden="false" customHeight="true" outlineLevel="0" collapsed="false">
      <c r="A146" s="5" t="n">
        <f aca="false">A145+1</f>
        <v>141</v>
      </c>
      <c r="B146" s="16" t="n">
        <f aca="false">B145+IF(WEEKDAY(B145,2)=6,2,1)</f>
        <v>46186</v>
      </c>
      <c r="C146" s="5" t="n">
        <f aca="false">MONTH(B146)</f>
        <v>6</v>
      </c>
      <c r="D146" s="5" t="n">
        <f aca="false">IF(C146&lt;&gt;C145,1,0)</f>
        <v>0</v>
      </c>
      <c r="E146" s="5" t="n">
        <f aca="false">IF(L145=1,CantPedido,0)</f>
        <v>0</v>
      </c>
      <c r="F146" s="5" t="n">
        <f aca="false">J145+E146</f>
        <v>14</v>
      </c>
      <c r="G146" s="5" t="n">
        <f aca="true">VLOOKUP(RAND(),TablaEmpirica,2,TRUE())</f>
        <v>5</v>
      </c>
      <c r="H146" s="5" t="n">
        <f aca="false">MIN(F146,G146)</f>
        <v>5</v>
      </c>
      <c r="I146" s="5" t="n">
        <f aca="false">G146-H146</f>
        <v>0</v>
      </c>
      <c r="J146" s="5" t="n">
        <f aca="false">F146-H146</f>
        <v>9</v>
      </c>
      <c r="K146" s="5" t="n">
        <f aca="false">IF(I146&gt;0,1,0)</f>
        <v>0</v>
      </c>
      <c r="L146" s="5" t="n">
        <f aca="false">IF(J146&lt;PuntoReorden,1,0)</f>
        <v>0</v>
      </c>
      <c r="M146" s="18" t="n">
        <f aca="false">PrecioVenta*H146</f>
        <v>3400000</v>
      </c>
      <c r="N146" s="18" t="n">
        <f aca="false">CostoUnitario*E146</f>
        <v>0</v>
      </c>
      <c r="O146" s="18" t="n">
        <f aca="false">IF(E146&gt;0,CostoPedido,0)</f>
        <v>0</v>
      </c>
      <c r="P146" s="18" t="n">
        <f aca="false">CostoAlm*(F146+J146)/2</f>
        <v>920</v>
      </c>
      <c r="Q146" s="18" t="n">
        <f aca="false">CostoFijo*D146</f>
        <v>0</v>
      </c>
      <c r="R146" s="18" t="n">
        <f aca="false">M146-N146-O146-P146-Q146</f>
        <v>3399080</v>
      </c>
    </row>
    <row r="147" customFormat="false" ht="15" hidden="false" customHeight="true" outlineLevel="0" collapsed="false">
      <c r="A147" s="5" t="n">
        <f aca="false">A146+1</f>
        <v>142</v>
      </c>
      <c r="B147" s="16" t="n">
        <f aca="false">B146+IF(WEEKDAY(B146,2)=6,2,1)</f>
        <v>46188</v>
      </c>
      <c r="C147" s="5" t="n">
        <f aca="false">MONTH(B147)</f>
        <v>6</v>
      </c>
      <c r="D147" s="5" t="n">
        <f aca="false">IF(C147&lt;&gt;C146,1,0)</f>
        <v>0</v>
      </c>
      <c r="E147" s="17" t="n">
        <f aca="false">IF(L146=1,CantPedido,0)</f>
        <v>0</v>
      </c>
      <c r="F147" s="5" t="n">
        <f aca="false">J146+E147</f>
        <v>9</v>
      </c>
      <c r="G147" s="5" t="n">
        <f aca="true">VLOOKUP(RAND(),TablaEmpirica,2,TRUE())</f>
        <v>5</v>
      </c>
      <c r="H147" s="5" t="n">
        <f aca="false">MIN(F147,G147)</f>
        <v>5</v>
      </c>
      <c r="I147" s="5" t="n">
        <f aca="false">G147-H147</f>
        <v>0</v>
      </c>
      <c r="J147" s="5" t="n">
        <f aca="false">F147-H147</f>
        <v>4</v>
      </c>
      <c r="K147" s="5" t="n">
        <f aca="false">IF(I147&gt;0,1,0)</f>
        <v>0</v>
      </c>
      <c r="L147" s="5" t="n">
        <f aca="false">IF(J147&lt;PuntoReorden,1,0)</f>
        <v>1</v>
      </c>
      <c r="M147" s="18" t="n">
        <f aca="false">PrecioVenta*H147</f>
        <v>3400000</v>
      </c>
      <c r="N147" s="18" t="n">
        <f aca="false">CostoUnitario*E147</f>
        <v>0</v>
      </c>
      <c r="O147" s="18" t="n">
        <f aca="false">IF(E147&gt;0,CostoPedido,0)</f>
        <v>0</v>
      </c>
      <c r="P147" s="18" t="n">
        <f aca="false">CostoAlm*(F147+J147)/2</f>
        <v>520</v>
      </c>
      <c r="Q147" s="18" t="n">
        <f aca="false">CostoFijo*D147</f>
        <v>0</v>
      </c>
      <c r="R147" s="18" t="n">
        <f aca="false">M147-N147-O147-P147-Q147</f>
        <v>3399480</v>
      </c>
    </row>
    <row r="148" customFormat="false" ht="15" hidden="false" customHeight="true" outlineLevel="0" collapsed="false">
      <c r="A148" s="5" t="n">
        <f aca="false">A147+1</f>
        <v>143</v>
      </c>
      <c r="B148" s="16" t="n">
        <f aca="false">B147+IF(WEEKDAY(B147,2)=6,2,1)</f>
        <v>46189</v>
      </c>
      <c r="C148" s="5" t="n">
        <f aca="false">MONTH(B148)</f>
        <v>6</v>
      </c>
      <c r="D148" s="5" t="n">
        <f aca="false">IF(C148&lt;&gt;C147,1,0)</f>
        <v>0</v>
      </c>
      <c r="E148" s="17" t="n">
        <f aca="false">IF(L147=1,CantPedido,0)</f>
        <v>15</v>
      </c>
      <c r="F148" s="5" t="n">
        <f aca="false">J147+E148</f>
        <v>19</v>
      </c>
      <c r="G148" s="5" t="n">
        <f aca="true">VLOOKUP(RAND(),TablaEmpirica,2,TRUE())</f>
        <v>6</v>
      </c>
      <c r="H148" s="5" t="n">
        <f aca="false">MIN(F148,G148)</f>
        <v>6</v>
      </c>
      <c r="I148" s="5" t="n">
        <f aca="false">G148-H148</f>
        <v>0</v>
      </c>
      <c r="J148" s="5" t="n">
        <f aca="false">F148-H148</f>
        <v>13</v>
      </c>
      <c r="K148" s="5" t="n">
        <f aca="false">IF(I148&gt;0,1,0)</f>
        <v>0</v>
      </c>
      <c r="L148" s="5" t="n">
        <f aca="false">IF(J148&lt;PuntoReorden,1,0)</f>
        <v>0</v>
      </c>
      <c r="M148" s="18" t="n">
        <f aca="false">PrecioVenta*H148</f>
        <v>4080000</v>
      </c>
      <c r="N148" s="18" t="n">
        <f aca="false">CostoUnitario*E148</f>
        <v>9000000</v>
      </c>
      <c r="O148" s="18" t="n">
        <f aca="false">IF(E148&gt;0,CostoPedido,0)</f>
        <v>40000</v>
      </c>
      <c r="P148" s="18" t="n">
        <f aca="false">CostoAlm*(F148+J148)/2</f>
        <v>1280</v>
      </c>
      <c r="Q148" s="18" t="n">
        <f aca="false">CostoFijo*D148</f>
        <v>0</v>
      </c>
      <c r="R148" s="18" t="n">
        <f aca="false">M148-N148-O148-P148-Q148</f>
        <v>-4961280</v>
      </c>
    </row>
    <row r="149" customFormat="false" ht="15" hidden="false" customHeight="true" outlineLevel="0" collapsed="false">
      <c r="A149" s="5" t="n">
        <f aca="false">A148+1</f>
        <v>144</v>
      </c>
      <c r="B149" s="16" t="n">
        <f aca="false">B148+IF(WEEKDAY(B148,2)=6,2,1)</f>
        <v>46190</v>
      </c>
      <c r="C149" s="5" t="n">
        <f aca="false">MONTH(B149)</f>
        <v>6</v>
      </c>
      <c r="D149" s="5" t="n">
        <f aca="false">IF(C149&lt;&gt;C148,1,0)</f>
        <v>0</v>
      </c>
      <c r="E149" s="5" t="n">
        <f aca="false">IF(L148=1,CantPedido,0)</f>
        <v>0</v>
      </c>
      <c r="F149" s="5" t="n">
        <f aca="false">J148+E149</f>
        <v>13</v>
      </c>
      <c r="G149" s="5" t="n">
        <f aca="true">VLOOKUP(RAND(),TablaEmpirica,2,TRUE())</f>
        <v>7</v>
      </c>
      <c r="H149" s="5" t="n">
        <f aca="false">MIN(F149,G149)</f>
        <v>7</v>
      </c>
      <c r="I149" s="5" t="n">
        <f aca="false">G149-H149</f>
        <v>0</v>
      </c>
      <c r="J149" s="5" t="n">
        <f aca="false">F149-H149</f>
        <v>6</v>
      </c>
      <c r="K149" s="5" t="n">
        <f aca="false">IF(I149&gt;0,1,0)</f>
        <v>0</v>
      </c>
      <c r="L149" s="5" t="n">
        <f aca="false">IF(J149&lt;PuntoReorden,1,0)</f>
        <v>1</v>
      </c>
      <c r="M149" s="18" t="n">
        <f aca="false">PrecioVenta*H149</f>
        <v>4760000</v>
      </c>
      <c r="N149" s="18" t="n">
        <f aca="false">CostoUnitario*E149</f>
        <v>0</v>
      </c>
      <c r="O149" s="18" t="n">
        <f aca="false">IF(E149&gt;0,CostoPedido,0)</f>
        <v>0</v>
      </c>
      <c r="P149" s="18" t="n">
        <f aca="false">CostoAlm*(F149+J149)/2</f>
        <v>760</v>
      </c>
      <c r="Q149" s="18" t="n">
        <f aca="false">CostoFijo*D149</f>
        <v>0</v>
      </c>
      <c r="R149" s="18" t="n">
        <f aca="false">M149-N149-O149-P149-Q149</f>
        <v>4759240</v>
      </c>
    </row>
    <row r="150" customFormat="false" ht="15" hidden="false" customHeight="true" outlineLevel="0" collapsed="false">
      <c r="A150" s="5" t="n">
        <f aca="false">A149+1</f>
        <v>145</v>
      </c>
      <c r="B150" s="16" t="n">
        <f aca="false">B149+IF(WEEKDAY(B149,2)=6,2,1)</f>
        <v>46191</v>
      </c>
      <c r="C150" s="5" t="n">
        <f aca="false">MONTH(B150)</f>
        <v>6</v>
      </c>
      <c r="D150" s="5" t="n">
        <f aca="false">IF(C150&lt;&gt;C149,1,0)</f>
        <v>0</v>
      </c>
      <c r="E150" s="17" t="n">
        <f aca="false">IF(L149=1,CantPedido,0)</f>
        <v>15</v>
      </c>
      <c r="F150" s="5" t="n">
        <f aca="false">J149+E150</f>
        <v>21</v>
      </c>
      <c r="G150" s="5" t="n">
        <f aca="true">VLOOKUP(RAND(),TablaEmpirica,2,TRUE())</f>
        <v>6</v>
      </c>
      <c r="H150" s="5" t="n">
        <f aca="false">MIN(F150,G150)</f>
        <v>6</v>
      </c>
      <c r="I150" s="5" t="n">
        <f aca="false">G150-H150</f>
        <v>0</v>
      </c>
      <c r="J150" s="5" t="n">
        <f aca="false">F150-H150</f>
        <v>15</v>
      </c>
      <c r="K150" s="5" t="n">
        <f aca="false">IF(I150&gt;0,1,0)</f>
        <v>0</v>
      </c>
      <c r="L150" s="5" t="n">
        <f aca="false">IF(J150&lt;PuntoReorden,1,0)</f>
        <v>0</v>
      </c>
      <c r="M150" s="18" t="n">
        <f aca="false">PrecioVenta*H150</f>
        <v>4080000</v>
      </c>
      <c r="N150" s="18" t="n">
        <f aca="false">CostoUnitario*E150</f>
        <v>9000000</v>
      </c>
      <c r="O150" s="18" t="n">
        <f aca="false">IF(E150&gt;0,CostoPedido,0)</f>
        <v>40000</v>
      </c>
      <c r="P150" s="18" t="n">
        <f aca="false">CostoAlm*(F150+J150)/2</f>
        <v>1440</v>
      </c>
      <c r="Q150" s="18" t="n">
        <f aca="false">CostoFijo*D150</f>
        <v>0</v>
      </c>
      <c r="R150" s="18" t="n">
        <f aca="false">M150-N150-O150-P150-Q150</f>
        <v>-4961440</v>
      </c>
    </row>
    <row r="151" customFormat="false" ht="15" hidden="false" customHeight="true" outlineLevel="0" collapsed="false">
      <c r="A151" s="5" t="n">
        <f aca="false">A150+1</f>
        <v>146</v>
      </c>
      <c r="B151" s="16" t="n">
        <f aca="false">B150+IF(WEEKDAY(B150,2)=6,2,1)</f>
        <v>46192</v>
      </c>
      <c r="C151" s="5" t="n">
        <f aca="false">MONTH(B151)</f>
        <v>6</v>
      </c>
      <c r="D151" s="5" t="n">
        <f aca="false">IF(C151&lt;&gt;C150,1,0)</f>
        <v>0</v>
      </c>
      <c r="E151" s="5" t="n">
        <f aca="false">IF(L150=1,CantPedido,0)</f>
        <v>0</v>
      </c>
      <c r="F151" s="5" t="n">
        <f aca="false">J150+E151</f>
        <v>15</v>
      </c>
      <c r="G151" s="5" t="n">
        <f aca="true">VLOOKUP(RAND(),TablaEmpirica,2,TRUE())</f>
        <v>5</v>
      </c>
      <c r="H151" s="5" t="n">
        <f aca="false">MIN(F151,G151)</f>
        <v>5</v>
      </c>
      <c r="I151" s="5" t="n">
        <f aca="false">G151-H151</f>
        <v>0</v>
      </c>
      <c r="J151" s="5" t="n">
        <f aca="false">F151-H151</f>
        <v>10</v>
      </c>
      <c r="K151" s="5" t="n">
        <f aca="false">IF(I151&gt;0,1,0)</f>
        <v>0</v>
      </c>
      <c r="L151" s="5" t="n">
        <f aca="false">IF(J151&lt;PuntoReorden,1,0)</f>
        <v>0</v>
      </c>
      <c r="M151" s="18" t="n">
        <f aca="false">PrecioVenta*H151</f>
        <v>3400000</v>
      </c>
      <c r="N151" s="18" t="n">
        <f aca="false">CostoUnitario*E151</f>
        <v>0</v>
      </c>
      <c r="O151" s="18" t="n">
        <f aca="false">IF(E151&gt;0,CostoPedido,0)</f>
        <v>0</v>
      </c>
      <c r="P151" s="18" t="n">
        <f aca="false">CostoAlm*(F151+J151)/2</f>
        <v>1000</v>
      </c>
      <c r="Q151" s="18" t="n">
        <f aca="false">CostoFijo*D151</f>
        <v>0</v>
      </c>
      <c r="R151" s="18" t="n">
        <f aca="false">M151-N151-O151-P151-Q151</f>
        <v>3399000</v>
      </c>
    </row>
    <row r="152" customFormat="false" ht="15" hidden="false" customHeight="true" outlineLevel="0" collapsed="false">
      <c r="A152" s="5" t="n">
        <f aca="false">A151+1</f>
        <v>147</v>
      </c>
      <c r="B152" s="16" t="n">
        <f aca="false">B151+IF(WEEKDAY(B151,2)=6,2,1)</f>
        <v>46193</v>
      </c>
      <c r="C152" s="5" t="n">
        <f aca="false">MONTH(B152)</f>
        <v>6</v>
      </c>
      <c r="D152" s="5" t="n">
        <f aca="false">IF(C152&lt;&gt;C151,1,0)</f>
        <v>0</v>
      </c>
      <c r="E152" s="5" t="n">
        <f aca="false">IF(L151=1,CantPedido,0)</f>
        <v>0</v>
      </c>
      <c r="F152" s="5" t="n">
        <f aca="false">J151+E152</f>
        <v>10</v>
      </c>
      <c r="G152" s="5" t="n">
        <f aca="true">VLOOKUP(RAND(),TablaEmpirica,2,TRUE())</f>
        <v>4</v>
      </c>
      <c r="H152" s="5" t="n">
        <f aca="false">MIN(F152,G152)</f>
        <v>4</v>
      </c>
      <c r="I152" s="5" t="n">
        <f aca="false">G152-H152</f>
        <v>0</v>
      </c>
      <c r="J152" s="5" t="n">
        <f aca="false">F152-H152</f>
        <v>6</v>
      </c>
      <c r="K152" s="5" t="n">
        <f aca="false">IF(I152&gt;0,1,0)</f>
        <v>0</v>
      </c>
      <c r="L152" s="5" t="n">
        <f aca="false">IF(J152&lt;PuntoReorden,1,0)</f>
        <v>1</v>
      </c>
      <c r="M152" s="18" t="n">
        <f aca="false">PrecioVenta*H152</f>
        <v>2720000</v>
      </c>
      <c r="N152" s="18" t="n">
        <f aca="false">CostoUnitario*E152</f>
        <v>0</v>
      </c>
      <c r="O152" s="18" t="n">
        <f aca="false">IF(E152&gt;0,CostoPedido,0)</f>
        <v>0</v>
      </c>
      <c r="P152" s="18" t="n">
        <f aca="false">CostoAlm*(F152+J152)/2</f>
        <v>640</v>
      </c>
      <c r="Q152" s="18" t="n">
        <f aca="false">CostoFijo*D152</f>
        <v>0</v>
      </c>
      <c r="R152" s="18" t="n">
        <f aca="false">M152-N152-O152-P152-Q152</f>
        <v>2719360</v>
      </c>
    </row>
    <row r="153" customFormat="false" ht="15" hidden="false" customHeight="true" outlineLevel="0" collapsed="false">
      <c r="A153" s="5" t="n">
        <f aca="false">A152+1</f>
        <v>148</v>
      </c>
      <c r="B153" s="16" t="n">
        <f aca="false">B152+IF(WEEKDAY(B152,2)=6,2,1)</f>
        <v>46195</v>
      </c>
      <c r="C153" s="5" t="n">
        <f aca="false">MONTH(B153)</f>
        <v>6</v>
      </c>
      <c r="D153" s="5" t="n">
        <f aca="false">IF(C153&lt;&gt;C152,1,0)</f>
        <v>0</v>
      </c>
      <c r="E153" s="17" t="n">
        <f aca="false">IF(L152=1,CantPedido,0)</f>
        <v>15</v>
      </c>
      <c r="F153" s="5" t="n">
        <f aca="false">J152+E153</f>
        <v>21</v>
      </c>
      <c r="G153" s="5" t="n">
        <f aca="true">VLOOKUP(RAND(),TablaEmpirica,2,TRUE())</f>
        <v>3</v>
      </c>
      <c r="H153" s="5" t="n">
        <f aca="false">MIN(F153,G153)</f>
        <v>3</v>
      </c>
      <c r="I153" s="5" t="n">
        <f aca="false">G153-H153</f>
        <v>0</v>
      </c>
      <c r="J153" s="5" t="n">
        <f aca="false">F153-H153</f>
        <v>18</v>
      </c>
      <c r="K153" s="5" t="n">
        <f aca="false">IF(I153&gt;0,1,0)</f>
        <v>0</v>
      </c>
      <c r="L153" s="5" t="n">
        <f aca="false">IF(J153&lt;PuntoReorden,1,0)</f>
        <v>0</v>
      </c>
      <c r="M153" s="18" t="n">
        <f aca="false">PrecioVenta*H153</f>
        <v>2040000</v>
      </c>
      <c r="N153" s="18" t="n">
        <f aca="false">CostoUnitario*E153</f>
        <v>9000000</v>
      </c>
      <c r="O153" s="18" t="n">
        <f aca="false">IF(E153&gt;0,CostoPedido,0)</f>
        <v>40000</v>
      </c>
      <c r="P153" s="18" t="n">
        <f aca="false">CostoAlm*(F153+J153)/2</f>
        <v>1560</v>
      </c>
      <c r="Q153" s="18" t="n">
        <f aca="false">CostoFijo*D153</f>
        <v>0</v>
      </c>
      <c r="R153" s="18" t="n">
        <f aca="false">M153-N153-O153-P153-Q153</f>
        <v>-7001560</v>
      </c>
    </row>
    <row r="154" customFormat="false" ht="15" hidden="false" customHeight="true" outlineLevel="0" collapsed="false">
      <c r="A154" s="5" t="n">
        <f aca="false">A153+1</f>
        <v>149</v>
      </c>
      <c r="B154" s="16" t="n">
        <f aca="false">B153+IF(WEEKDAY(B153,2)=6,2,1)</f>
        <v>46196</v>
      </c>
      <c r="C154" s="5" t="n">
        <f aca="false">MONTH(B154)</f>
        <v>6</v>
      </c>
      <c r="D154" s="5" t="n">
        <f aca="false">IF(C154&lt;&gt;C153,1,0)</f>
        <v>0</v>
      </c>
      <c r="E154" s="5" t="n">
        <f aca="false">IF(L153=1,CantPedido,0)</f>
        <v>0</v>
      </c>
      <c r="F154" s="5" t="n">
        <f aca="false">J153+E154</f>
        <v>18</v>
      </c>
      <c r="G154" s="5" t="n">
        <f aca="true">VLOOKUP(RAND(),TablaEmpirica,2,TRUE())</f>
        <v>5</v>
      </c>
      <c r="H154" s="5" t="n">
        <f aca="false">MIN(F154,G154)</f>
        <v>5</v>
      </c>
      <c r="I154" s="5" t="n">
        <f aca="false">G154-H154</f>
        <v>0</v>
      </c>
      <c r="J154" s="5" t="n">
        <f aca="false">F154-H154</f>
        <v>13</v>
      </c>
      <c r="K154" s="5" t="n">
        <f aca="false">IF(I154&gt;0,1,0)</f>
        <v>0</v>
      </c>
      <c r="L154" s="5" t="n">
        <f aca="false">IF(J154&lt;PuntoReorden,1,0)</f>
        <v>0</v>
      </c>
      <c r="M154" s="18" t="n">
        <f aca="false">PrecioVenta*H154</f>
        <v>3400000</v>
      </c>
      <c r="N154" s="18" t="n">
        <f aca="false">CostoUnitario*E154</f>
        <v>0</v>
      </c>
      <c r="O154" s="18" t="n">
        <f aca="false">IF(E154&gt;0,CostoPedido,0)</f>
        <v>0</v>
      </c>
      <c r="P154" s="18" t="n">
        <f aca="false">CostoAlm*(F154+J154)/2</f>
        <v>1240</v>
      </c>
      <c r="Q154" s="18" t="n">
        <f aca="false">CostoFijo*D154</f>
        <v>0</v>
      </c>
      <c r="R154" s="18" t="n">
        <f aca="false">M154-N154-O154-P154-Q154</f>
        <v>3398760</v>
      </c>
    </row>
    <row r="155" customFormat="false" ht="15" hidden="false" customHeight="true" outlineLevel="0" collapsed="false">
      <c r="A155" s="5" t="n">
        <f aca="false">A154+1</f>
        <v>150</v>
      </c>
      <c r="B155" s="16" t="n">
        <f aca="false">B154+IF(WEEKDAY(B154,2)=6,2,1)</f>
        <v>46197</v>
      </c>
      <c r="C155" s="5" t="n">
        <f aca="false">MONTH(B155)</f>
        <v>6</v>
      </c>
      <c r="D155" s="5" t="n">
        <f aca="false">IF(C155&lt;&gt;C154,1,0)</f>
        <v>0</v>
      </c>
      <c r="E155" s="17" t="n">
        <f aca="false">IF(L154=1,CantPedido,0)</f>
        <v>0</v>
      </c>
      <c r="F155" s="5" t="n">
        <f aca="false">J154+E155</f>
        <v>13</v>
      </c>
      <c r="G155" s="5" t="n">
        <f aca="true">VLOOKUP(RAND(),TablaEmpirica,2,TRUE())</f>
        <v>5</v>
      </c>
      <c r="H155" s="5" t="n">
        <f aca="false">MIN(F155,G155)</f>
        <v>5</v>
      </c>
      <c r="I155" s="5" t="n">
        <f aca="false">G155-H155</f>
        <v>0</v>
      </c>
      <c r="J155" s="5" t="n">
        <f aca="false">F155-H155</f>
        <v>8</v>
      </c>
      <c r="K155" s="5" t="n">
        <f aca="false">IF(I155&gt;0,1,0)</f>
        <v>0</v>
      </c>
      <c r="L155" s="5" t="n">
        <f aca="false">IF(J155&lt;PuntoReorden,1,0)</f>
        <v>0</v>
      </c>
      <c r="M155" s="18" t="n">
        <f aca="false">PrecioVenta*H155</f>
        <v>3400000</v>
      </c>
      <c r="N155" s="18" t="n">
        <f aca="false">CostoUnitario*E155</f>
        <v>0</v>
      </c>
      <c r="O155" s="18" t="n">
        <f aca="false">IF(E155&gt;0,CostoPedido,0)</f>
        <v>0</v>
      </c>
      <c r="P155" s="18" t="n">
        <f aca="false">CostoAlm*(F155+J155)/2</f>
        <v>840</v>
      </c>
      <c r="Q155" s="18" t="n">
        <f aca="false">CostoFijo*D155</f>
        <v>0</v>
      </c>
      <c r="R155" s="18" t="n">
        <f aca="false">M155-N155-O155-P155-Q155</f>
        <v>3399160</v>
      </c>
    </row>
    <row r="156" customFormat="false" ht="15" hidden="false" customHeight="true" outlineLevel="0" collapsed="false">
      <c r="A156" s="5" t="n">
        <f aca="false">A155+1</f>
        <v>151</v>
      </c>
      <c r="B156" s="16" t="n">
        <f aca="false">B155+IF(WEEKDAY(B155,2)=6,2,1)</f>
        <v>46198</v>
      </c>
      <c r="C156" s="5" t="n">
        <f aca="false">MONTH(B156)</f>
        <v>6</v>
      </c>
      <c r="D156" s="5" t="n">
        <f aca="false">IF(C156&lt;&gt;C155,1,0)</f>
        <v>0</v>
      </c>
      <c r="E156" s="5" t="n">
        <f aca="false">IF(L155=1,CantPedido,0)</f>
        <v>0</v>
      </c>
      <c r="F156" s="5" t="n">
        <f aca="false">J155+E156</f>
        <v>8</v>
      </c>
      <c r="G156" s="5" t="n">
        <f aca="true">VLOOKUP(RAND(),TablaEmpirica,2,TRUE())</f>
        <v>5</v>
      </c>
      <c r="H156" s="5" t="n">
        <f aca="false">MIN(F156,G156)</f>
        <v>5</v>
      </c>
      <c r="I156" s="5" t="n">
        <f aca="false">G156-H156</f>
        <v>0</v>
      </c>
      <c r="J156" s="5" t="n">
        <f aca="false">F156-H156</f>
        <v>3</v>
      </c>
      <c r="K156" s="5" t="n">
        <f aca="false">IF(I156&gt;0,1,0)</f>
        <v>0</v>
      </c>
      <c r="L156" s="5" t="n">
        <f aca="false">IF(J156&lt;PuntoReorden,1,0)</f>
        <v>1</v>
      </c>
      <c r="M156" s="18" t="n">
        <f aca="false">PrecioVenta*H156</f>
        <v>3400000</v>
      </c>
      <c r="N156" s="18" t="n">
        <f aca="false">CostoUnitario*E156</f>
        <v>0</v>
      </c>
      <c r="O156" s="18" t="n">
        <f aca="false">IF(E156&gt;0,CostoPedido,0)</f>
        <v>0</v>
      </c>
      <c r="P156" s="18" t="n">
        <f aca="false">CostoAlm*(F156+J156)/2</f>
        <v>440</v>
      </c>
      <c r="Q156" s="18" t="n">
        <f aca="false">CostoFijo*D156</f>
        <v>0</v>
      </c>
      <c r="R156" s="18" t="n">
        <f aca="false">M156-N156-O156-P156-Q156</f>
        <v>3399560</v>
      </c>
    </row>
    <row r="157" customFormat="false" ht="15" hidden="false" customHeight="true" outlineLevel="0" collapsed="false">
      <c r="A157" s="5" t="n">
        <f aca="false">A156+1</f>
        <v>152</v>
      </c>
      <c r="B157" s="16" t="n">
        <f aca="false">B156+IF(WEEKDAY(B156,2)=6,2,1)</f>
        <v>46199</v>
      </c>
      <c r="C157" s="5" t="n">
        <f aca="false">MONTH(B157)</f>
        <v>6</v>
      </c>
      <c r="D157" s="5" t="n">
        <f aca="false">IF(C157&lt;&gt;C156,1,0)</f>
        <v>0</v>
      </c>
      <c r="E157" s="17" t="n">
        <f aca="false">IF(L156=1,CantPedido,0)</f>
        <v>15</v>
      </c>
      <c r="F157" s="5" t="n">
        <f aca="false">J156+E157</f>
        <v>18</v>
      </c>
      <c r="G157" s="5" t="n">
        <f aca="true">VLOOKUP(RAND(),TablaEmpirica,2,TRUE())</f>
        <v>5</v>
      </c>
      <c r="H157" s="5" t="n">
        <f aca="false">MIN(F157,G157)</f>
        <v>5</v>
      </c>
      <c r="I157" s="5" t="n">
        <f aca="false">G157-H157</f>
        <v>0</v>
      </c>
      <c r="J157" s="5" t="n">
        <f aca="false">F157-H157</f>
        <v>13</v>
      </c>
      <c r="K157" s="5" t="n">
        <f aca="false">IF(I157&gt;0,1,0)</f>
        <v>0</v>
      </c>
      <c r="L157" s="5" t="n">
        <f aca="false">IF(J157&lt;PuntoReorden,1,0)</f>
        <v>0</v>
      </c>
      <c r="M157" s="18" t="n">
        <f aca="false">PrecioVenta*H157</f>
        <v>3400000</v>
      </c>
      <c r="N157" s="18" t="n">
        <f aca="false">CostoUnitario*E157</f>
        <v>9000000</v>
      </c>
      <c r="O157" s="18" t="n">
        <f aca="false">IF(E157&gt;0,CostoPedido,0)</f>
        <v>40000</v>
      </c>
      <c r="P157" s="18" t="n">
        <f aca="false">CostoAlm*(F157+J157)/2</f>
        <v>1240</v>
      </c>
      <c r="Q157" s="18" t="n">
        <f aca="false">CostoFijo*D157</f>
        <v>0</v>
      </c>
      <c r="R157" s="18" t="n">
        <f aca="false">M157-N157-O157-P157-Q157</f>
        <v>-5641240</v>
      </c>
    </row>
    <row r="158" customFormat="false" ht="15" hidden="false" customHeight="true" outlineLevel="0" collapsed="false">
      <c r="A158" s="5" t="n">
        <f aca="false">A157+1</f>
        <v>153</v>
      </c>
      <c r="B158" s="16" t="n">
        <f aca="false">B157+IF(WEEKDAY(B157,2)=6,2,1)</f>
        <v>46200</v>
      </c>
      <c r="C158" s="5" t="n">
        <f aca="false">MONTH(B158)</f>
        <v>6</v>
      </c>
      <c r="D158" s="5" t="n">
        <f aca="false">IF(C158&lt;&gt;C157,1,0)</f>
        <v>0</v>
      </c>
      <c r="E158" s="17" t="n">
        <f aca="false">IF(L157=1,CantPedido,0)</f>
        <v>0</v>
      </c>
      <c r="F158" s="5" t="n">
        <f aca="false">J157+E158</f>
        <v>13</v>
      </c>
      <c r="G158" s="5" t="n">
        <f aca="true">VLOOKUP(RAND(),TablaEmpirica,2,TRUE())</f>
        <v>7</v>
      </c>
      <c r="H158" s="5" t="n">
        <f aca="false">MIN(F158,G158)</f>
        <v>7</v>
      </c>
      <c r="I158" s="5" t="n">
        <f aca="false">G158-H158</f>
        <v>0</v>
      </c>
      <c r="J158" s="5" t="n">
        <f aca="false">F158-H158</f>
        <v>6</v>
      </c>
      <c r="K158" s="5" t="n">
        <f aca="false">IF(I158&gt;0,1,0)</f>
        <v>0</v>
      </c>
      <c r="L158" s="5" t="n">
        <f aca="false">IF(J158&lt;PuntoReorden,1,0)</f>
        <v>1</v>
      </c>
      <c r="M158" s="18" t="n">
        <f aca="false">PrecioVenta*H158</f>
        <v>4760000</v>
      </c>
      <c r="N158" s="18" t="n">
        <f aca="false">CostoUnitario*E158</f>
        <v>0</v>
      </c>
      <c r="O158" s="18" t="n">
        <f aca="false">IF(E158&gt;0,CostoPedido,0)</f>
        <v>0</v>
      </c>
      <c r="P158" s="18" t="n">
        <f aca="false">CostoAlm*(F158+J158)/2</f>
        <v>760</v>
      </c>
      <c r="Q158" s="18" t="n">
        <f aca="false">CostoFijo*D158</f>
        <v>0</v>
      </c>
      <c r="R158" s="18" t="n">
        <f aca="false">M158-N158-O158-P158-Q158</f>
        <v>4759240</v>
      </c>
    </row>
    <row r="159" customFormat="false" ht="15" hidden="false" customHeight="true" outlineLevel="0" collapsed="false">
      <c r="A159" s="5" t="n">
        <f aca="false">A158+1</f>
        <v>154</v>
      </c>
      <c r="B159" s="16" t="n">
        <f aca="false">B158+IF(WEEKDAY(B158,2)=6,2,1)</f>
        <v>46202</v>
      </c>
      <c r="C159" s="5" t="n">
        <f aca="false">MONTH(B159)</f>
        <v>6</v>
      </c>
      <c r="D159" s="5" t="n">
        <f aca="false">IF(C159&lt;&gt;C158,1,0)</f>
        <v>0</v>
      </c>
      <c r="E159" s="17" t="n">
        <f aca="false">IF(L158=1,CantPedido,0)</f>
        <v>15</v>
      </c>
      <c r="F159" s="5" t="n">
        <f aca="false">J158+E159</f>
        <v>21</v>
      </c>
      <c r="G159" s="5" t="n">
        <f aca="true">VLOOKUP(RAND(),TablaEmpirica,2,TRUE())</f>
        <v>4</v>
      </c>
      <c r="H159" s="5" t="n">
        <f aca="false">MIN(F159,G159)</f>
        <v>4</v>
      </c>
      <c r="I159" s="5" t="n">
        <f aca="false">G159-H159</f>
        <v>0</v>
      </c>
      <c r="J159" s="5" t="n">
        <f aca="false">F159-H159</f>
        <v>17</v>
      </c>
      <c r="K159" s="5" t="n">
        <f aca="false">IF(I159&gt;0,1,0)</f>
        <v>0</v>
      </c>
      <c r="L159" s="5" t="n">
        <f aca="false">IF(J159&lt;PuntoReorden,1,0)</f>
        <v>0</v>
      </c>
      <c r="M159" s="18" t="n">
        <f aca="false">PrecioVenta*H159</f>
        <v>2720000</v>
      </c>
      <c r="N159" s="18" t="n">
        <f aca="false">CostoUnitario*E159</f>
        <v>9000000</v>
      </c>
      <c r="O159" s="18" t="n">
        <f aca="false">IF(E159&gt;0,CostoPedido,0)</f>
        <v>40000</v>
      </c>
      <c r="P159" s="18" t="n">
        <f aca="false">CostoAlm*(F159+J159)/2</f>
        <v>1520</v>
      </c>
      <c r="Q159" s="18" t="n">
        <f aca="false">CostoFijo*D159</f>
        <v>0</v>
      </c>
      <c r="R159" s="18" t="n">
        <f aca="false">M159-N159-O159-P159-Q159</f>
        <v>-6321520</v>
      </c>
    </row>
    <row r="160" customFormat="false" ht="15" hidden="false" customHeight="true" outlineLevel="0" collapsed="false">
      <c r="A160" s="5" t="n">
        <f aca="false">A159+1</f>
        <v>155</v>
      </c>
      <c r="B160" s="16" t="n">
        <f aca="false">B159+IF(WEEKDAY(B159,2)=6,2,1)</f>
        <v>46203</v>
      </c>
      <c r="C160" s="5" t="n">
        <f aca="false">MONTH(B160)</f>
        <v>6</v>
      </c>
      <c r="D160" s="5" t="n">
        <f aca="false">IF(C160&lt;&gt;C159,1,0)</f>
        <v>0</v>
      </c>
      <c r="E160" s="5" t="n">
        <f aca="false">IF(L159=1,CantPedido,0)</f>
        <v>0</v>
      </c>
      <c r="F160" s="5" t="n">
        <f aca="false">J159+E160</f>
        <v>17</v>
      </c>
      <c r="G160" s="5" t="n">
        <f aca="true">VLOOKUP(RAND(),TablaEmpirica,2,TRUE())</f>
        <v>5</v>
      </c>
      <c r="H160" s="5" t="n">
        <f aca="false">MIN(F160,G160)</f>
        <v>5</v>
      </c>
      <c r="I160" s="5" t="n">
        <f aca="false">G160-H160</f>
        <v>0</v>
      </c>
      <c r="J160" s="5" t="n">
        <f aca="false">F160-H160</f>
        <v>12</v>
      </c>
      <c r="K160" s="5" t="n">
        <f aca="false">IF(I160&gt;0,1,0)</f>
        <v>0</v>
      </c>
      <c r="L160" s="5" t="n">
        <f aca="false">IF(J160&lt;PuntoReorden,1,0)</f>
        <v>0</v>
      </c>
      <c r="M160" s="18" t="n">
        <f aca="false">PrecioVenta*H160</f>
        <v>3400000</v>
      </c>
      <c r="N160" s="18" t="n">
        <f aca="false">CostoUnitario*E160</f>
        <v>0</v>
      </c>
      <c r="O160" s="18" t="n">
        <f aca="false">IF(E160&gt;0,CostoPedido,0)</f>
        <v>0</v>
      </c>
      <c r="P160" s="18" t="n">
        <f aca="false">CostoAlm*(F160+J160)/2</f>
        <v>1160</v>
      </c>
      <c r="Q160" s="18" t="n">
        <f aca="false">CostoFijo*D160</f>
        <v>0</v>
      </c>
      <c r="R160" s="18" t="n">
        <f aca="false">M160-N160-O160-P160-Q160</f>
        <v>3398840</v>
      </c>
    </row>
    <row r="161" customFormat="false" ht="15" hidden="false" customHeight="true" outlineLevel="0" collapsed="false">
      <c r="A161" s="5" t="n">
        <f aca="false">A160+1</f>
        <v>156</v>
      </c>
      <c r="B161" s="16" t="n">
        <f aca="false">B160+IF(WEEKDAY(B160,2)=6,2,1)</f>
        <v>46204</v>
      </c>
      <c r="C161" s="5" t="n">
        <f aca="false">MONTH(B161)</f>
        <v>7</v>
      </c>
      <c r="D161" s="5" t="n">
        <f aca="false">IF(C161&lt;&gt;C160,1,0)</f>
        <v>1</v>
      </c>
      <c r="E161" s="17" t="n">
        <f aca="false">IF(L160=1,CantPedido,0)</f>
        <v>0</v>
      </c>
      <c r="F161" s="5" t="n">
        <f aca="false">J160+E161</f>
        <v>12</v>
      </c>
      <c r="G161" s="5" t="n">
        <f aca="true">VLOOKUP(RAND(),TablaEmpirica,2,TRUE())</f>
        <v>6</v>
      </c>
      <c r="H161" s="5" t="n">
        <f aca="false">MIN(F161,G161)</f>
        <v>6</v>
      </c>
      <c r="I161" s="5" t="n">
        <f aca="false">G161-H161</f>
        <v>0</v>
      </c>
      <c r="J161" s="5" t="n">
        <f aca="false">F161-H161</f>
        <v>6</v>
      </c>
      <c r="K161" s="5" t="n">
        <f aca="false">IF(I161&gt;0,1,0)</f>
        <v>0</v>
      </c>
      <c r="L161" s="5" t="n">
        <f aca="false">IF(J161&lt;PuntoReorden,1,0)</f>
        <v>1</v>
      </c>
      <c r="M161" s="18" t="n">
        <f aca="false">PrecioVenta*H161</f>
        <v>4080000</v>
      </c>
      <c r="N161" s="18" t="n">
        <f aca="false">CostoUnitario*E161</f>
        <v>0</v>
      </c>
      <c r="O161" s="18" t="n">
        <f aca="false">IF(E161&gt;0,CostoPedido,0)</f>
        <v>0</v>
      </c>
      <c r="P161" s="18" t="n">
        <f aca="false">CostoAlm*(F161+J161)/2</f>
        <v>720</v>
      </c>
      <c r="Q161" s="18" t="n">
        <f aca="false">CostoFijo*D161</f>
        <v>1000000</v>
      </c>
      <c r="R161" s="18" t="n">
        <f aca="false">M161-N161-O161-P161-Q161</f>
        <v>3079280</v>
      </c>
    </row>
    <row r="162" customFormat="false" ht="15" hidden="false" customHeight="true" outlineLevel="0" collapsed="false">
      <c r="A162" s="5" t="n">
        <f aca="false">A161+1</f>
        <v>157</v>
      </c>
      <c r="B162" s="16" t="n">
        <f aca="false">B161+IF(WEEKDAY(B161,2)=6,2,1)</f>
        <v>46205</v>
      </c>
      <c r="C162" s="5" t="n">
        <f aca="false">MONTH(B162)</f>
        <v>7</v>
      </c>
      <c r="D162" s="5" t="n">
        <f aca="false">IF(C162&lt;&gt;C161,1,0)</f>
        <v>0</v>
      </c>
      <c r="E162" s="17" t="n">
        <f aca="false">IF(L161=1,CantPedido,0)</f>
        <v>15</v>
      </c>
      <c r="F162" s="5" t="n">
        <f aca="false">J161+E162</f>
        <v>21</v>
      </c>
      <c r="G162" s="5" t="n">
        <f aca="true">VLOOKUP(RAND(),TablaEmpirica,2,TRUE())</f>
        <v>5</v>
      </c>
      <c r="H162" s="5" t="n">
        <f aca="false">MIN(F162,G162)</f>
        <v>5</v>
      </c>
      <c r="I162" s="5" t="n">
        <f aca="false">G162-H162</f>
        <v>0</v>
      </c>
      <c r="J162" s="5" t="n">
        <f aca="false">F162-H162</f>
        <v>16</v>
      </c>
      <c r="K162" s="5" t="n">
        <f aca="false">IF(I162&gt;0,1,0)</f>
        <v>0</v>
      </c>
      <c r="L162" s="5" t="n">
        <f aca="false">IF(J162&lt;PuntoReorden,1,0)</f>
        <v>0</v>
      </c>
      <c r="M162" s="18" t="n">
        <f aca="false">PrecioVenta*H162</f>
        <v>3400000</v>
      </c>
      <c r="N162" s="18" t="n">
        <f aca="false">CostoUnitario*E162</f>
        <v>9000000</v>
      </c>
      <c r="O162" s="18" t="n">
        <f aca="false">IF(E162&gt;0,CostoPedido,0)</f>
        <v>40000</v>
      </c>
      <c r="P162" s="18" t="n">
        <f aca="false">CostoAlm*(F162+J162)/2</f>
        <v>1480</v>
      </c>
      <c r="Q162" s="18" t="n">
        <f aca="false">CostoFijo*D162</f>
        <v>0</v>
      </c>
      <c r="R162" s="18" t="n">
        <f aca="false">M162-N162-O162-P162-Q162</f>
        <v>-5641480</v>
      </c>
    </row>
    <row r="163" customFormat="false" ht="15" hidden="false" customHeight="true" outlineLevel="0" collapsed="false">
      <c r="A163" s="5" t="n">
        <f aca="false">A162+1</f>
        <v>158</v>
      </c>
      <c r="B163" s="16" t="n">
        <f aca="false">B162+IF(WEEKDAY(B162,2)=6,2,1)</f>
        <v>46206</v>
      </c>
      <c r="C163" s="5" t="n">
        <f aca="false">MONTH(B163)</f>
        <v>7</v>
      </c>
      <c r="D163" s="5" t="n">
        <f aca="false">IF(C163&lt;&gt;C162,1,0)</f>
        <v>0</v>
      </c>
      <c r="E163" s="5" t="n">
        <f aca="false">IF(L162=1,CantPedido,0)</f>
        <v>0</v>
      </c>
      <c r="F163" s="5" t="n">
        <f aca="false">J162+E163</f>
        <v>16</v>
      </c>
      <c r="G163" s="5" t="n">
        <f aca="true">VLOOKUP(RAND(),TablaEmpirica,2,TRUE())</f>
        <v>5</v>
      </c>
      <c r="H163" s="5" t="n">
        <f aca="false">MIN(F163,G163)</f>
        <v>5</v>
      </c>
      <c r="I163" s="5" t="n">
        <f aca="false">G163-H163</f>
        <v>0</v>
      </c>
      <c r="J163" s="5" t="n">
        <f aca="false">F163-H163</f>
        <v>11</v>
      </c>
      <c r="K163" s="5" t="n">
        <f aca="false">IF(I163&gt;0,1,0)</f>
        <v>0</v>
      </c>
      <c r="L163" s="5" t="n">
        <f aca="false">IF(J163&lt;PuntoReorden,1,0)</f>
        <v>0</v>
      </c>
      <c r="M163" s="18" t="n">
        <f aca="false">PrecioVenta*H163</f>
        <v>3400000</v>
      </c>
      <c r="N163" s="18" t="n">
        <f aca="false">CostoUnitario*E163</f>
        <v>0</v>
      </c>
      <c r="O163" s="18" t="n">
        <f aca="false">IF(E163&gt;0,CostoPedido,0)</f>
        <v>0</v>
      </c>
      <c r="P163" s="18" t="n">
        <f aca="false">CostoAlm*(F163+J163)/2</f>
        <v>1080</v>
      </c>
      <c r="Q163" s="18" t="n">
        <f aca="false">CostoFijo*D163</f>
        <v>0</v>
      </c>
      <c r="R163" s="18" t="n">
        <f aca="false">M163-N163-O163-P163-Q163</f>
        <v>3398920</v>
      </c>
    </row>
    <row r="164" customFormat="false" ht="15" hidden="false" customHeight="true" outlineLevel="0" collapsed="false">
      <c r="A164" s="5" t="n">
        <f aca="false">A163+1</f>
        <v>159</v>
      </c>
      <c r="B164" s="16" t="n">
        <f aca="false">B163+IF(WEEKDAY(B163,2)=6,2,1)</f>
        <v>46207</v>
      </c>
      <c r="C164" s="5" t="n">
        <f aca="false">MONTH(B164)</f>
        <v>7</v>
      </c>
      <c r="D164" s="5" t="n">
        <f aca="false">IF(C164&lt;&gt;C163,1,0)</f>
        <v>0</v>
      </c>
      <c r="E164" s="17" t="n">
        <f aca="false">IF(L163=1,CantPedido,0)</f>
        <v>0</v>
      </c>
      <c r="F164" s="5" t="n">
        <f aca="false">J163+E164</f>
        <v>11</v>
      </c>
      <c r="G164" s="5" t="n">
        <f aca="true">VLOOKUP(RAND(),TablaEmpirica,2,TRUE())</f>
        <v>5</v>
      </c>
      <c r="H164" s="5" t="n">
        <f aca="false">MIN(F164,G164)</f>
        <v>5</v>
      </c>
      <c r="I164" s="5" t="n">
        <f aca="false">G164-H164</f>
        <v>0</v>
      </c>
      <c r="J164" s="5" t="n">
        <f aca="false">F164-H164</f>
        <v>6</v>
      </c>
      <c r="K164" s="5" t="n">
        <f aca="false">IF(I164&gt;0,1,0)</f>
        <v>0</v>
      </c>
      <c r="L164" s="5" t="n">
        <f aca="false">IF(J164&lt;PuntoReorden,1,0)</f>
        <v>1</v>
      </c>
      <c r="M164" s="18" t="n">
        <f aca="false">PrecioVenta*H164</f>
        <v>3400000</v>
      </c>
      <c r="N164" s="18" t="n">
        <f aca="false">CostoUnitario*E164</f>
        <v>0</v>
      </c>
      <c r="O164" s="18" t="n">
        <f aca="false">IF(E164&gt;0,CostoPedido,0)</f>
        <v>0</v>
      </c>
      <c r="P164" s="18" t="n">
        <f aca="false">CostoAlm*(F164+J164)/2</f>
        <v>680</v>
      </c>
      <c r="Q164" s="18" t="n">
        <f aca="false">CostoFijo*D164</f>
        <v>0</v>
      </c>
      <c r="R164" s="18" t="n">
        <f aca="false">M164-N164-O164-P164-Q164</f>
        <v>3399320</v>
      </c>
    </row>
    <row r="165" customFormat="false" ht="15" hidden="false" customHeight="true" outlineLevel="0" collapsed="false">
      <c r="A165" s="5" t="n">
        <f aca="false">A164+1</f>
        <v>160</v>
      </c>
      <c r="B165" s="16" t="n">
        <f aca="false">B164+IF(WEEKDAY(B164,2)=6,2,1)</f>
        <v>46209</v>
      </c>
      <c r="C165" s="5" t="n">
        <f aca="false">MONTH(B165)</f>
        <v>7</v>
      </c>
      <c r="D165" s="5" t="n">
        <f aca="false">IF(C165&lt;&gt;C164,1,0)</f>
        <v>0</v>
      </c>
      <c r="E165" s="17" t="n">
        <f aca="false">IF(L164=1,CantPedido,0)</f>
        <v>15</v>
      </c>
      <c r="F165" s="5" t="n">
        <f aca="false">J164+E165</f>
        <v>21</v>
      </c>
      <c r="G165" s="5" t="n">
        <f aca="true">VLOOKUP(RAND(),TablaEmpirica,2,TRUE())</f>
        <v>4</v>
      </c>
      <c r="H165" s="5" t="n">
        <f aca="false">MIN(F165,G165)</f>
        <v>4</v>
      </c>
      <c r="I165" s="5" t="n">
        <f aca="false">G165-H165</f>
        <v>0</v>
      </c>
      <c r="J165" s="5" t="n">
        <f aca="false">F165-H165</f>
        <v>17</v>
      </c>
      <c r="K165" s="5" t="n">
        <f aca="false">IF(I165&gt;0,1,0)</f>
        <v>0</v>
      </c>
      <c r="L165" s="5" t="n">
        <f aca="false">IF(J165&lt;PuntoReorden,1,0)</f>
        <v>0</v>
      </c>
      <c r="M165" s="18" t="n">
        <f aca="false">PrecioVenta*H165</f>
        <v>2720000</v>
      </c>
      <c r="N165" s="18" t="n">
        <f aca="false">CostoUnitario*E165</f>
        <v>9000000</v>
      </c>
      <c r="O165" s="18" t="n">
        <f aca="false">IF(E165&gt;0,CostoPedido,0)</f>
        <v>40000</v>
      </c>
      <c r="P165" s="18" t="n">
        <f aca="false">CostoAlm*(F165+J165)/2</f>
        <v>1520</v>
      </c>
      <c r="Q165" s="18" t="n">
        <f aca="false">CostoFijo*D165</f>
        <v>0</v>
      </c>
      <c r="R165" s="18" t="n">
        <f aca="false">M165-N165-O165-P165-Q165</f>
        <v>-6321520</v>
      </c>
    </row>
    <row r="166" customFormat="false" ht="15" hidden="false" customHeight="true" outlineLevel="0" collapsed="false">
      <c r="A166" s="5" t="n">
        <f aca="false">A165+1</f>
        <v>161</v>
      </c>
      <c r="B166" s="16" t="n">
        <f aca="false">B165+IF(WEEKDAY(B165,2)=6,2,1)</f>
        <v>46210</v>
      </c>
      <c r="C166" s="5" t="n">
        <f aca="false">MONTH(B166)</f>
        <v>7</v>
      </c>
      <c r="D166" s="5" t="n">
        <f aca="false">IF(C166&lt;&gt;C165,1,0)</f>
        <v>0</v>
      </c>
      <c r="E166" s="5" t="n">
        <f aca="false">IF(L165=1,CantPedido,0)</f>
        <v>0</v>
      </c>
      <c r="F166" s="5" t="n">
        <f aca="false">J165+E166</f>
        <v>17</v>
      </c>
      <c r="G166" s="5" t="n">
        <f aca="true">VLOOKUP(RAND(),TablaEmpirica,2,TRUE())</f>
        <v>5</v>
      </c>
      <c r="H166" s="5" t="n">
        <f aca="false">MIN(F166,G166)</f>
        <v>5</v>
      </c>
      <c r="I166" s="5" t="n">
        <f aca="false">G166-H166</f>
        <v>0</v>
      </c>
      <c r="J166" s="5" t="n">
        <f aca="false">F166-H166</f>
        <v>12</v>
      </c>
      <c r="K166" s="5" t="n">
        <f aca="false">IF(I166&gt;0,1,0)</f>
        <v>0</v>
      </c>
      <c r="L166" s="5" t="n">
        <f aca="false">IF(J166&lt;PuntoReorden,1,0)</f>
        <v>0</v>
      </c>
      <c r="M166" s="18" t="n">
        <f aca="false">PrecioVenta*H166</f>
        <v>3400000</v>
      </c>
      <c r="N166" s="18" t="n">
        <f aca="false">CostoUnitario*E166</f>
        <v>0</v>
      </c>
      <c r="O166" s="18" t="n">
        <f aca="false">IF(E166&gt;0,CostoPedido,0)</f>
        <v>0</v>
      </c>
      <c r="P166" s="18" t="n">
        <f aca="false">CostoAlm*(F166+J166)/2</f>
        <v>1160</v>
      </c>
      <c r="Q166" s="18" t="n">
        <f aca="false">CostoFijo*D166</f>
        <v>0</v>
      </c>
      <c r="R166" s="18" t="n">
        <f aca="false">M166-N166-O166-P166-Q166</f>
        <v>3398840</v>
      </c>
    </row>
    <row r="167" customFormat="false" ht="15" hidden="false" customHeight="true" outlineLevel="0" collapsed="false">
      <c r="A167" s="5" t="n">
        <f aca="false">A166+1</f>
        <v>162</v>
      </c>
      <c r="B167" s="16" t="n">
        <f aca="false">B166+IF(WEEKDAY(B166,2)=6,2,1)</f>
        <v>46211</v>
      </c>
      <c r="C167" s="5" t="n">
        <f aca="false">MONTH(B167)</f>
        <v>7</v>
      </c>
      <c r="D167" s="5" t="n">
        <f aca="false">IF(C167&lt;&gt;C166,1,0)</f>
        <v>0</v>
      </c>
      <c r="E167" s="17" t="n">
        <f aca="false">IF(L166=1,CantPedido,0)</f>
        <v>0</v>
      </c>
      <c r="F167" s="5" t="n">
        <f aca="false">J166+E167</f>
        <v>12</v>
      </c>
      <c r="G167" s="5" t="n">
        <f aca="true">VLOOKUP(RAND(),TablaEmpirica,2,TRUE())</f>
        <v>6</v>
      </c>
      <c r="H167" s="5" t="n">
        <f aca="false">MIN(F167,G167)</f>
        <v>6</v>
      </c>
      <c r="I167" s="5" t="n">
        <f aca="false">G167-H167</f>
        <v>0</v>
      </c>
      <c r="J167" s="5" t="n">
        <f aca="false">F167-H167</f>
        <v>6</v>
      </c>
      <c r="K167" s="5" t="n">
        <f aca="false">IF(I167&gt;0,1,0)</f>
        <v>0</v>
      </c>
      <c r="L167" s="5" t="n">
        <f aca="false">IF(J167&lt;PuntoReorden,1,0)</f>
        <v>1</v>
      </c>
      <c r="M167" s="18" t="n">
        <f aca="false">PrecioVenta*H167</f>
        <v>4080000</v>
      </c>
      <c r="N167" s="18" t="n">
        <f aca="false">CostoUnitario*E167</f>
        <v>0</v>
      </c>
      <c r="O167" s="18" t="n">
        <f aca="false">IF(E167&gt;0,CostoPedido,0)</f>
        <v>0</v>
      </c>
      <c r="P167" s="18" t="n">
        <f aca="false">CostoAlm*(F167+J167)/2</f>
        <v>720</v>
      </c>
      <c r="Q167" s="18" t="n">
        <f aca="false">CostoFijo*D167</f>
        <v>0</v>
      </c>
      <c r="R167" s="18" t="n">
        <f aca="false">M167-N167-O167-P167-Q167</f>
        <v>4079280</v>
      </c>
    </row>
    <row r="168" customFormat="false" ht="15" hidden="false" customHeight="true" outlineLevel="0" collapsed="false">
      <c r="A168" s="5" t="n">
        <f aca="false">A167+1</f>
        <v>163</v>
      </c>
      <c r="B168" s="16" t="n">
        <f aca="false">B167+IF(WEEKDAY(B167,2)=6,2,1)</f>
        <v>46212</v>
      </c>
      <c r="C168" s="5" t="n">
        <f aca="false">MONTH(B168)</f>
        <v>7</v>
      </c>
      <c r="D168" s="5" t="n">
        <f aca="false">IF(C168&lt;&gt;C167,1,0)</f>
        <v>0</v>
      </c>
      <c r="E168" s="17" t="n">
        <f aca="false">IF(L167=1,CantPedido,0)</f>
        <v>15</v>
      </c>
      <c r="F168" s="5" t="n">
        <f aca="false">J167+E168</f>
        <v>21</v>
      </c>
      <c r="G168" s="5" t="n">
        <f aca="true">VLOOKUP(RAND(),TablaEmpirica,2,TRUE())</f>
        <v>5</v>
      </c>
      <c r="H168" s="5" t="n">
        <f aca="false">MIN(F168,G168)</f>
        <v>5</v>
      </c>
      <c r="I168" s="5" t="n">
        <f aca="false">G168-H168</f>
        <v>0</v>
      </c>
      <c r="J168" s="5" t="n">
        <f aca="false">F168-H168</f>
        <v>16</v>
      </c>
      <c r="K168" s="5" t="n">
        <f aca="false">IF(I168&gt;0,1,0)</f>
        <v>0</v>
      </c>
      <c r="L168" s="5" t="n">
        <f aca="false">IF(J168&lt;PuntoReorden,1,0)</f>
        <v>0</v>
      </c>
      <c r="M168" s="18" t="n">
        <f aca="false">PrecioVenta*H168</f>
        <v>3400000</v>
      </c>
      <c r="N168" s="18" t="n">
        <f aca="false">CostoUnitario*E168</f>
        <v>9000000</v>
      </c>
      <c r="O168" s="18" t="n">
        <f aca="false">IF(E168&gt;0,CostoPedido,0)</f>
        <v>40000</v>
      </c>
      <c r="P168" s="18" t="n">
        <f aca="false">CostoAlm*(F168+J168)/2</f>
        <v>1480</v>
      </c>
      <c r="Q168" s="18" t="n">
        <f aca="false">CostoFijo*D168</f>
        <v>0</v>
      </c>
      <c r="R168" s="18" t="n">
        <f aca="false">M168-N168-O168-P168-Q168</f>
        <v>-5641480</v>
      </c>
    </row>
    <row r="169" customFormat="false" ht="15" hidden="false" customHeight="true" outlineLevel="0" collapsed="false">
      <c r="A169" s="5" t="n">
        <f aca="false">A168+1</f>
        <v>164</v>
      </c>
      <c r="B169" s="16" t="n">
        <f aca="false">B168+IF(WEEKDAY(B168,2)=6,2,1)</f>
        <v>46213</v>
      </c>
      <c r="C169" s="5" t="n">
        <f aca="false">MONTH(B169)</f>
        <v>7</v>
      </c>
      <c r="D169" s="5" t="n">
        <f aca="false">IF(C169&lt;&gt;C168,1,0)</f>
        <v>0</v>
      </c>
      <c r="E169" s="5" t="n">
        <f aca="false">IF(L168=1,CantPedido,0)</f>
        <v>0</v>
      </c>
      <c r="F169" s="5" t="n">
        <f aca="false">J168+E169</f>
        <v>16</v>
      </c>
      <c r="G169" s="5" t="n">
        <f aca="true">VLOOKUP(RAND(),TablaEmpirica,2,TRUE())</f>
        <v>6</v>
      </c>
      <c r="H169" s="5" t="n">
        <f aca="false">MIN(F169,G169)</f>
        <v>6</v>
      </c>
      <c r="I169" s="5" t="n">
        <f aca="false">G169-H169</f>
        <v>0</v>
      </c>
      <c r="J169" s="5" t="n">
        <f aca="false">F169-H169</f>
        <v>10</v>
      </c>
      <c r="K169" s="5" t="n">
        <f aca="false">IF(I169&gt;0,1,0)</f>
        <v>0</v>
      </c>
      <c r="L169" s="5" t="n">
        <f aca="false">IF(J169&lt;PuntoReorden,1,0)</f>
        <v>0</v>
      </c>
      <c r="M169" s="18" t="n">
        <f aca="false">PrecioVenta*H169</f>
        <v>4080000</v>
      </c>
      <c r="N169" s="18" t="n">
        <f aca="false">CostoUnitario*E169</f>
        <v>0</v>
      </c>
      <c r="O169" s="18" t="n">
        <f aca="false">IF(E169&gt;0,CostoPedido,0)</f>
        <v>0</v>
      </c>
      <c r="P169" s="18" t="n">
        <f aca="false">CostoAlm*(F169+J169)/2</f>
        <v>1040</v>
      </c>
      <c r="Q169" s="18" t="n">
        <f aca="false">CostoFijo*D169</f>
        <v>0</v>
      </c>
      <c r="R169" s="18" t="n">
        <f aca="false">M169-N169-O169-P169-Q169</f>
        <v>4078960</v>
      </c>
    </row>
    <row r="170" customFormat="false" ht="15" hidden="false" customHeight="true" outlineLevel="0" collapsed="false">
      <c r="A170" s="5" t="n">
        <f aca="false">A169+1</f>
        <v>165</v>
      </c>
      <c r="B170" s="16" t="n">
        <f aca="false">B169+IF(WEEKDAY(B169,2)=6,2,1)</f>
        <v>46214</v>
      </c>
      <c r="C170" s="5" t="n">
        <f aca="false">MONTH(B170)</f>
        <v>7</v>
      </c>
      <c r="D170" s="5" t="n">
        <f aca="false">IF(C170&lt;&gt;C169,1,0)</f>
        <v>0</v>
      </c>
      <c r="E170" s="17" t="n">
        <f aca="false">IF(L169=1,CantPedido,0)</f>
        <v>0</v>
      </c>
      <c r="F170" s="5" t="n">
        <f aca="false">J169+E170</f>
        <v>10</v>
      </c>
      <c r="G170" s="5" t="n">
        <f aca="true">VLOOKUP(RAND(),TablaEmpirica,2,TRUE())</f>
        <v>3</v>
      </c>
      <c r="H170" s="5" t="n">
        <f aca="false">MIN(F170,G170)</f>
        <v>3</v>
      </c>
      <c r="I170" s="5" t="n">
        <f aca="false">G170-H170</f>
        <v>0</v>
      </c>
      <c r="J170" s="5" t="n">
        <f aca="false">F170-H170</f>
        <v>7</v>
      </c>
      <c r="K170" s="5" t="n">
        <f aca="false">IF(I170&gt;0,1,0)</f>
        <v>0</v>
      </c>
      <c r="L170" s="5" t="n">
        <f aca="false">IF(J170&lt;PuntoReorden,1,0)</f>
        <v>0</v>
      </c>
      <c r="M170" s="18" t="n">
        <f aca="false">PrecioVenta*H170</f>
        <v>2040000</v>
      </c>
      <c r="N170" s="18" t="n">
        <f aca="false">CostoUnitario*E170</f>
        <v>0</v>
      </c>
      <c r="O170" s="18" t="n">
        <f aca="false">IF(E170&gt;0,CostoPedido,0)</f>
        <v>0</v>
      </c>
      <c r="P170" s="18" t="n">
        <f aca="false">CostoAlm*(F170+J170)/2</f>
        <v>680</v>
      </c>
      <c r="Q170" s="18" t="n">
        <f aca="false">CostoFijo*D170</f>
        <v>0</v>
      </c>
      <c r="R170" s="18" t="n">
        <f aca="false">M170-N170-O170-P170-Q170</f>
        <v>2039320</v>
      </c>
    </row>
    <row r="171" customFormat="false" ht="15" hidden="false" customHeight="true" outlineLevel="0" collapsed="false">
      <c r="A171" s="5" t="n">
        <f aca="false">A170+1</f>
        <v>166</v>
      </c>
      <c r="B171" s="16" t="n">
        <f aca="false">B170+IF(WEEKDAY(B170,2)=6,2,1)</f>
        <v>46216</v>
      </c>
      <c r="C171" s="5" t="n">
        <f aca="false">MONTH(B171)</f>
        <v>7</v>
      </c>
      <c r="D171" s="5" t="n">
        <f aca="false">IF(C171&lt;&gt;C170,1,0)</f>
        <v>0</v>
      </c>
      <c r="E171" s="5" t="n">
        <f aca="false">IF(L170=1,CantPedido,0)</f>
        <v>0</v>
      </c>
      <c r="F171" s="5" t="n">
        <f aca="false">J170+E171</f>
        <v>7</v>
      </c>
      <c r="G171" s="5" t="n">
        <f aca="true">VLOOKUP(RAND(),TablaEmpirica,2,TRUE())</f>
        <v>3</v>
      </c>
      <c r="H171" s="5" t="n">
        <f aca="false">MIN(F171,G171)</f>
        <v>3</v>
      </c>
      <c r="I171" s="5" t="n">
        <f aca="false">G171-H171</f>
        <v>0</v>
      </c>
      <c r="J171" s="5" t="n">
        <f aca="false">F171-H171</f>
        <v>4</v>
      </c>
      <c r="K171" s="5" t="n">
        <f aca="false">IF(I171&gt;0,1,0)</f>
        <v>0</v>
      </c>
      <c r="L171" s="5" t="n">
        <f aca="false">IF(J171&lt;PuntoReorden,1,0)</f>
        <v>1</v>
      </c>
      <c r="M171" s="18" t="n">
        <f aca="false">PrecioVenta*H171</f>
        <v>2040000</v>
      </c>
      <c r="N171" s="18" t="n">
        <f aca="false">CostoUnitario*E171</f>
        <v>0</v>
      </c>
      <c r="O171" s="18" t="n">
        <f aca="false">IF(E171&gt;0,CostoPedido,0)</f>
        <v>0</v>
      </c>
      <c r="P171" s="18" t="n">
        <f aca="false">CostoAlm*(F171+J171)/2</f>
        <v>440</v>
      </c>
      <c r="Q171" s="18" t="n">
        <f aca="false">CostoFijo*D171</f>
        <v>0</v>
      </c>
      <c r="R171" s="18" t="n">
        <f aca="false">M171-N171-O171-P171-Q171</f>
        <v>2039560</v>
      </c>
    </row>
    <row r="172" customFormat="false" ht="15" hidden="false" customHeight="true" outlineLevel="0" collapsed="false">
      <c r="A172" s="5" t="n">
        <f aca="false">A171+1</f>
        <v>167</v>
      </c>
      <c r="B172" s="16" t="n">
        <f aca="false">B171+IF(WEEKDAY(B171,2)=6,2,1)</f>
        <v>46217</v>
      </c>
      <c r="C172" s="5" t="n">
        <f aca="false">MONTH(B172)</f>
        <v>7</v>
      </c>
      <c r="D172" s="5" t="n">
        <f aca="false">IF(C172&lt;&gt;C171,1,0)</f>
        <v>0</v>
      </c>
      <c r="E172" s="17" t="n">
        <f aca="false">IF(L171=1,CantPedido,0)</f>
        <v>15</v>
      </c>
      <c r="F172" s="5" t="n">
        <f aca="false">J171+E172</f>
        <v>19</v>
      </c>
      <c r="G172" s="5" t="n">
        <f aca="true">VLOOKUP(RAND(),TablaEmpirica,2,TRUE())</f>
        <v>5</v>
      </c>
      <c r="H172" s="5" t="n">
        <f aca="false">MIN(F172,G172)</f>
        <v>5</v>
      </c>
      <c r="I172" s="5" t="n">
        <f aca="false">G172-H172</f>
        <v>0</v>
      </c>
      <c r="J172" s="5" t="n">
        <f aca="false">F172-H172</f>
        <v>14</v>
      </c>
      <c r="K172" s="5" t="n">
        <f aca="false">IF(I172&gt;0,1,0)</f>
        <v>0</v>
      </c>
      <c r="L172" s="5" t="n">
        <f aca="false">IF(J172&lt;PuntoReorden,1,0)</f>
        <v>0</v>
      </c>
      <c r="M172" s="18" t="n">
        <f aca="false">PrecioVenta*H172</f>
        <v>3400000</v>
      </c>
      <c r="N172" s="18" t="n">
        <f aca="false">CostoUnitario*E172</f>
        <v>9000000</v>
      </c>
      <c r="O172" s="18" t="n">
        <f aca="false">IF(E172&gt;0,CostoPedido,0)</f>
        <v>40000</v>
      </c>
      <c r="P172" s="18" t="n">
        <f aca="false">CostoAlm*(F172+J172)/2</f>
        <v>1320</v>
      </c>
      <c r="Q172" s="18" t="n">
        <f aca="false">CostoFijo*D172</f>
        <v>0</v>
      </c>
      <c r="R172" s="18" t="n">
        <f aca="false">M172-N172-O172-P172-Q172</f>
        <v>-5641320</v>
      </c>
    </row>
    <row r="173" customFormat="false" ht="15" hidden="false" customHeight="true" outlineLevel="0" collapsed="false">
      <c r="A173" s="5" t="n">
        <f aca="false">A172+1</f>
        <v>168</v>
      </c>
      <c r="B173" s="16" t="n">
        <f aca="false">B172+IF(WEEKDAY(B172,2)=6,2,1)</f>
        <v>46218</v>
      </c>
      <c r="C173" s="5" t="n">
        <f aca="false">MONTH(B173)</f>
        <v>7</v>
      </c>
      <c r="D173" s="5" t="n">
        <f aca="false">IF(C173&lt;&gt;C172,1,0)</f>
        <v>0</v>
      </c>
      <c r="E173" s="17" t="n">
        <f aca="false">IF(L172=1,CantPedido,0)</f>
        <v>0</v>
      </c>
      <c r="F173" s="5" t="n">
        <f aca="false">J172+E173</f>
        <v>14</v>
      </c>
      <c r="G173" s="5" t="n">
        <f aca="true">VLOOKUP(RAND(),TablaEmpirica,2,TRUE())</f>
        <v>6</v>
      </c>
      <c r="H173" s="5" t="n">
        <f aca="false">MIN(F173,G173)</f>
        <v>6</v>
      </c>
      <c r="I173" s="5" t="n">
        <f aca="false">G173-H173</f>
        <v>0</v>
      </c>
      <c r="J173" s="5" t="n">
        <f aca="false">F173-H173</f>
        <v>8</v>
      </c>
      <c r="K173" s="5" t="n">
        <f aca="false">IF(I173&gt;0,1,0)</f>
        <v>0</v>
      </c>
      <c r="L173" s="5" t="n">
        <f aca="false">IF(J173&lt;PuntoReorden,1,0)</f>
        <v>0</v>
      </c>
      <c r="M173" s="18" t="n">
        <f aca="false">PrecioVenta*H173</f>
        <v>4080000</v>
      </c>
      <c r="N173" s="18" t="n">
        <f aca="false">CostoUnitario*E173</f>
        <v>0</v>
      </c>
      <c r="O173" s="18" t="n">
        <f aca="false">IF(E173&gt;0,CostoPedido,0)</f>
        <v>0</v>
      </c>
      <c r="P173" s="18" t="n">
        <f aca="false">CostoAlm*(F173+J173)/2</f>
        <v>880</v>
      </c>
      <c r="Q173" s="18" t="n">
        <f aca="false">CostoFijo*D173</f>
        <v>0</v>
      </c>
      <c r="R173" s="18" t="n">
        <f aca="false">M173-N173-O173-P173-Q173</f>
        <v>4079120</v>
      </c>
    </row>
    <row r="174" customFormat="false" ht="15" hidden="false" customHeight="true" outlineLevel="0" collapsed="false">
      <c r="A174" s="5" t="n">
        <f aca="false">A173+1</f>
        <v>169</v>
      </c>
      <c r="B174" s="16" t="n">
        <f aca="false">B173+IF(WEEKDAY(B173,2)=6,2,1)</f>
        <v>46219</v>
      </c>
      <c r="C174" s="5" t="n">
        <f aca="false">MONTH(B174)</f>
        <v>7</v>
      </c>
      <c r="D174" s="5" t="n">
        <f aca="false">IF(C174&lt;&gt;C173,1,0)</f>
        <v>0</v>
      </c>
      <c r="E174" s="5" t="n">
        <f aca="false">IF(L173=1,CantPedido,0)</f>
        <v>0</v>
      </c>
      <c r="F174" s="5" t="n">
        <f aca="false">J173+E174</f>
        <v>8</v>
      </c>
      <c r="G174" s="5" t="n">
        <f aca="true">VLOOKUP(RAND(),TablaEmpirica,2,TRUE())</f>
        <v>5</v>
      </c>
      <c r="H174" s="5" t="n">
        <f aca="false">MIN(F174,G174)</f>
        <v>5</v>
      </c>
      <c r="I174" s="5" t="n">
        <f aca="false">G174-H174</f>
        <v>0</v>
      </c>
      <c r="J174" s="5" t="n">
        <f aca="false">F174-H174</f>
        <v>3</v>
      </c>
      <c r="K174" s="5" t="n">
        <f aca="false">IF(I174&gt;0,1,0)</f>
        <v>0</v>
      </c>
      <c r="L174" s="5" t="n">
        <f aca="false">IF(J174&lt;PuntoReorden,1,0)</f>
        <v>1</v>
      </c>
      <c r="M174" s="18" t="n">
        <f aca="false">PrecioVenta*H174</f>
        <v>3400000</v>
      </c>
      <c r="N174" s="18" t="n">
        <f aca="false">CostoUnitario*E174</f>
        <v>0</v>
      </c>
      <c r="O174" s="18" t="n">
        <f aca="false">IF(E174&gt;0,CostoPedido,0)</f>
        <v>0</v>
      </c>
      <c r="P174" s="18" t="n">
        <f aca="false">CostoAlm*(F174+J174)/2</f>
        <v>440</v>
      </c>
      <c r="Q174" s="18" t="n">
        <f aca="false">CostoFijo*D174</f>
        <v>0</v>
      </c>
      <c r="R174" s="18" t="n">
        <f aca="false">M174-N174-O174-P174-Q174</f>
        <v>3399560</v>
      </c>
    </row>
    <row r="175" customFormat="false" ht="15" hidden="false" customHeight="true" outlineLevel="0" collapsed="false">
      <c r="A175" s="5" t="n">
        <f aca="false">A174+1</f>
        <v>170</v>
      </c>
      <c r="B175" s="16" t="n">
        <f aca="false">B174+IF(WEEKDAY(B174,2)=6,2,1)</f>
        <v>46220</v>
      </c>
      <c r="C175" s="5" t="n">
        <f aca="false">MONTH(B175)</f>
        <v>7</v>
      </c>
      <c r="D175" s="5" t="n">
        <f aca="false">IF(C175&lt;&gt;C174,1,0)</f>
        <v>0</v>
      </c>
      <c r="E175" s="17" t="n">
        <f aca="false">IF(L174=1,CantPedido,0)</f>
        <v>15</v>
      </c>
      <c r="F175" s="5" t="n">
        <f aca="false">J174+E175</f>
        <v>18</v>
      </c>
      <c r="G175" s="5" t="n">
        <f aca="true">VLOOKUP(RAND(),TablaEmpirica,2,TRUE())</f>
        <v>5</v>
      </c>
      <c r="H175" s="5" t="n">
        <f aca="false">MIN(F175,G175)</f>
        <v>5</v>
      </c>
      <c r="I175" s="5" t="n">
        <f aca="false">G175-H175</f>
        <v>0</v>
      </c>
      <c r="J175" s="5" t="n">
        <f aca="false">F175-H175</f>
        <v>13</v>
      </c>
      <c r="K175" s="5" t="n">
        <f aca="false">IF(I175&gt;0,1,0)</f>
        <v>0</v>
      </c>
      <c r="L175" s="5" t="n">
        <f aca="false">IF(J175&lt;PuntoReorden,1,0)</f>
        <v>0</v>
      </c>
      <c r="M175" s="18" t="n">
        <f aca="false">PrecioVenta*H175</f>
        <v>3400000</v>
      </c>
      <c r="N175" s="18" t="n">
        <f aca="false">CostoUnitario*E175</f>
        <v>9000000</v>
      </c>
      <c r="O175" s="18" t="n">
        <f aca="false">IF(E175&gt;0,CostoPedido,0)</f>
        <v>40000</v>
      </c>
      <c r="P175" s="18" t="n">
        <f aca="false">CostoAlm*(F175+J175)/2</f>
        <v>1240</v>
      </c>
      <c r="Q175" s="18" t="n">
        <f aca="false">CostoFijo*D175</f>
        <v>0</v>
      </c>
      <c r="R175" s="18" t="n">
        <f aca="false">M175-N175-O175-P175-Q175</f>
        <v>-5641240</v>
      </c>
    </row>
    <row r="176" customFormat="false" ht="15" hidden="false" customHeight="true" outlineLevel="0" collapsed="false">
      <c r="A176" s="5" t="n">
        <f aca="false">A175+1</f>
        <v>171</v>
      </c>
      <c r="B176" s="16" t="n">
        <f aca="false">B175+IF(WEEKDAY(B175,2)=6,2,1)</f>
        <v>46221</v>
      </c>
      <c r="C176" s="5" t="n">
        <f aca="false">MONTH(B176)</f>
        <v>7</v>
      </c>
      <c r="D176" s="5" t="n">
        <f aca="false">IF(C176&lt;&gt;C175,1,0)</f>
        <v>0</v>
      </c>
      <c r="E176" s="17" t="n">
        <f aca="false">IF(L175=1,CantPedido,0)</f>
        <v>0</v>
      </c>
      <c r="F176" s="5" t="n">
        <f aca="false">J175+E176</f>
        <v>13</v>
      </c>
      <c r="G176" s="5" t="n">
        <f aca="true">VLOOKUP(RAND(),TablaEmpirica,2,TRUE())</f>
        <v>3</v>
      </c>
      <c r="H176" s="5" t="n">
        <f aca="false">MIN(F176,G176)</f>
        <v>3</v>
      </c>
      <c r="I176" s="5" t="n">
        <f aca="false">G176-H176</f>
        <v>0</v>
      </c>
      <c r="J176" s="5" t="n">
        <f aca="false">F176-H176</f>
        <v>10</v>
      </c>
      <c r="K176" s="5" t="n">
        <f aca="false">IF(I176&gt;0,1,0)</f>
        <v>0</v>
      </c>
      <c r="L176" s="5" t="n">
        <f aca="false">IF(J176&lt;PuntoReorden,1,0)</f>
        <v>0</v>
      </c>
      <c r="M176" s="18" t="n">
        <f aca="false">PrecioVenta*H176</f>
        <v>2040000</v>
      </c>
      <c r="N176" s="18" t="n">
        <f aca="false">CostoUnitario*E176</f>
        <v>0</v>
      </c>
      <c r="O176" s="18" t="n">
        <f aca="false">IF(E176&gt;0,CostoPedido,0)</f>
        <v>0</v>
      </c>
      <c r="P176" s="18" t="n">
        <f aca="false">CostoAlm*(F176+J176)/2</f>
        <v>920</v>
      </c>
      <c r="Q176" s="18" t="n">
        <f aca="false">CostoFijo*D176</f>
        <v>0</v>
      </c>
      <c r="R176" s="18" t="n">
        <f aca="false">M176-N176-O176-P176-Q176</f>
        <v>2039080</v>
      </c>
    </row>
    <row r="177" customFormat="false" ht="15" hidden="false" customHeight="true" outlineLevel="0" collapsed="false">
      <c r="A177" s="5" t="n">
        <f aca="false">A176+1</f>
        <v>172</v>
      </c>
      <c r="B177" s="16" t="n">
        <f aca="false">B176+IF(WEEKDAY(B176,2)=6,2,1)</f>
        <v>46223</v>
      </c>
      <c r="C177" s="5" t="n">
        <f aca="false">MONTH(B177)</f>
        <v>7</v>
      </c>
      <c r="D177" s="5" t="n">
        <f aca="false">IF(C177&lt;&gt;C176,1,0)</f>
        <v>0</v>
      </c>
      <c r="E177" s="5" t="n">
        <f aca="false">IF(L176=1,CantPedido,0)</f>
        <v>0</v>
      </c>
      <c r="F177" s="5" t="n">
        <f aca="false">J176+E177</f>
        <v>10</v>
      </c>
      <c r="G177" s="5" t="n">
        <f aca="true">VLOOKUP(RAND(),TablaEmpirica,2,TRUE())</f>
        <v>4</v>
      </c>
      <c r="H177" s="5" t="n">
        <f aca="false">MIN(F177,G177)</f>
        <v>4</v>
      </c>
      <c r="I177" s="5" t="n">
        <f aca="false">G177-H177</f>
        <v>0</v>
      </c>
      <c r="J177" s="5" t="n">
        <f aca="false">F177-H177</f>
        <v>6</v>
      </c>
      <c r="K177" s="5" t="n">
        <f aca="false">IF(I177&gt;0,1,0)</f>
        <v>0</v>
      </c>
      <c r="L177" s="5" t="n">
        <f aca="false">IF(J177&lt;PuntoReorden,1,0)</f>
        <v>1</v>
      </c>
      <c r="M177" s="18" t="n">
        <f aca="false">PrecioVenta*H177</f>
        <v>2720000</v>
      </c>
      <c r="N177" s="18" t="n">
        <f aca="false">CostoUnitario*E177</f>
        <v>0</v>
      </c>
      <c r="O177" s="18" t="n">
        <f aca="false">IF(E177&gt;0,CostoPedido,0)</f>
        <v>0</v>
      </c>
      <c r="P177" s="18" t="n">
        <f aca="false">CostoAlm*(F177+J177)/2</f>
        <v>640</v>
      </c>
      <c r="Q177" s="18" t="n">
        <f aca="false">CostoFijo*D177</f>
        <v>0</v>
      </c>
      <c r="R177" s="18" t="n">
        <f aca="false">M177-N177-O177-P177-Q177</f>
        <v>2719360</v>
      </c>
    </row>
    <row r="178" customFormat="false" ht="15" hidden="false" customHeight="true" outlineLevel="0" collapsed="false">
      <c r="A178" s="5" t="n">
        <f aca="false">A177+1</f>
        <v>173</v>
      </c>
      <c r="B178" s="16" t="n">
        <f aca="false">B177+IF(WEEKDAY(B177,2)=6,2,1)</f>
        <v>46224</v>
      </c>
      <c r="C178" s="5" t="n">
        <f aca="false">MONTH(B178)</f>
        <v>7</v>
      </c>
      <c r="D178" s="5" t="n">
        <f aca="false">IF(C178&lt;&gt;C177,1,0)</f>
        <v>0</v>
      </c>
      <c r="E178" s="17" t="n">
        <f aca="false">IF(L177=1,CantPedido,0)</f>
        <v>15</v>
      </c>
      <c r="F178" s="5" t="n">
        <f aca="false">J177+E178</f>
        <v>21</v>
      </c>
      <c r="G178" s="5" t="n">
        <f aca="true">VLOOKUP(RAND(),TablaEmpirica,2,TRUE())</f>
        <v>4</v>
      </c>
      <c r="H178" s="5" t="n">
        <f aca="false">MIN(F178,G178)</f>
        <v>4</v>
      </c>
      <c r="I178" s="5" t="n">
        <f aca="false">G178-H178</f>
        <v>0</v>
      </c>
      <c r="J178" s="5" t="n">
        <f aca="false">F178-H178</f>
        <v>17</v>
      </c>
      <c r="K178" s="5" t="n">
        <f aca="false">IF(I178&gt;0,1,0)</f>
        <v>0</v>
      </c>
      <c r="L178" s="5" t="n">
        <f aca="false">IF(J178&lt;PuntoReorden,1,0)</f>
        <v>0</v>
      </c>
      <c r="M178" s="18" t="n">
        <f aca="false">PrecioVenta*H178</f>
        <v>2720000</v>
      </c>
      <c r="N178" s="18" t="n">
        <f aca="false">CostoUnitario*E178</f>
        <v>9000000</v>
      </c>
      <c r="O178" s="18" t="n">
        <f aca="false">IF(E178&gt;0,CostoPedido,0)</f>
        <v>40000</v>
      </c>
      <c r="P178" s="18" t="n">
        <f aca="false">CostoAlm*(F178+J178)/2</f>
        <v>1520</v>
      </c>
      <c r="Q178" s="18" t="n">
        <f aca="false">CostoFijo*D178</f>
        <v>0</v>
      </c>
      <c r="R178" s="18" t="n">
        <f aca="false">M178-N178-O178-P178-Q178</f>
        <v>-6321520</v>
      </c>
    </row>
    <row r="179" customFormat="false" ht="15" hidden="false" customHeight="true" outlineLevel="0" collapsed="false">
      <c r="A179" s="5" t="n">
        <f aca="false">A178+1</f>
        <v>174</v>
      </c>
      <c r="B179" s="16" t="n">
        <f aca="false">B178+IF(WEEKDAY(B178,2)=6,2,1)</f>
        <v>46225</v>
      </c>
      <c r="C179" s="5" t="n">
        <f aca="false">MONTH(B179)</f>
        <v>7</v>
      </c>
      <c r="D179" s="5" t="n">
        <f aca="false">IF(C179&lt;&gt;C178,1,0)</f>
        <v>0</v>
      </c>
      <c r="E179" s="17" t="n">
        <f aca="false">IF(L178=1,CantPedido,0)</f>
        <v>0</v>
      </c>
      <c r="F179" s="5" t="n">
        <f aca="false">J178+E179</f>
        <v>17</v>
      </c>
      <c r="G179" s="5" t="n">
        <f aca="true">VLOOKUP(RAND(),TablaEmpirica,2,TRUE())</f>
        <v>5</v>
      </c>
      <c r="H179" s="5" t="n">
        <f aca="false">MIN(F179,G179)</f>
        <v>5</v>
      </c>
      <c r="I179" s="5" t="n">
        <f aca="false">G179-H179</f>
        <v>0</v>
      </c>
      <c r="J179" s="5" t="n">
        <f aca="false">F179-H179</f>
        <v>12</v>
      </c>
      <c r="K179" s="5" t="n">
        <f aca="false">IF(I179&gt;0,1,0)</f>
        <v>0</v>
      </c>
      <c r="L179" s="5" t="n">
        <f aca="false">IF(J179&lt;PuntoReorden,1,0)</f>
        <v>0</v>
      </c>
      <c r="M179" s="18" t="n">
        <f aca="false">PrecioVenta*H179</f>
        <v>3400000</v>
      </c>
      <c r="N179" s="18" t="n">
        <f aca="false">CostoUnitario*E179</f>
        <v>0</v>
      </c>
      <c r="O179" s="18" t="n">
        <f aca="false">IF(E179&gt;0,CostoPedido,0)</f>
        <v>0</v>
      </c>
      <c r="P179" s="18" t="n">
        <f aca="false">CostoAlm*(F179+J179)/2</f>
        <v>1160</v>
      </c>
      <c r="Q179" s="18" t="n">
        <f aca="false">CostoFijo*D179</f>
        <v>0</v>
      </c>
      <c r="R179" s="18" t="n">
        <f aca="false">M179-N179-O179-P179-Q179</f>
        <v>3398840</v>
      </c>
    </row>
    <row r="180" customFormat="false" ht="15" hidden="false" customHeight="true" outlineLevel="0" collapsed="false">
      <c r="A180" s="5" t="n">
        <f aca="false">A179+1</f>
        <v>175</v>
      </c>
      <c r="B180" s="16" t="n">
        <f aca="false">B179+IF(WEEKDAY(B179,2)=6,2,1)</f>
        <v>46226</v>
      </c>
      <c r="C180" s="5" t="n">
        <f aca="false">MONTH(B180)</f>
        <v>7</v>
      </c>
      <c r="D180" s="5" t="n">
        <f aca="false">IF(C180&lt;&gt;C179,1,0)</f>
        <v>0</v>
      </c>
      <c r="E180" s="5" t="n">
        <f aca="false">IF(L179=1,CantPedido,0)</f>
        <v>0</v>
      </c>
      <c r="F180" s="5" t="n">
        <f aca="false">J179+E180</f>
        <v>12</v>
      </c>
      <c r="G180" s="5" t="n">
        <f aca="true">VLOOKUP(RAND(),TablaEmpirica,2,TRUE())</f>
        <v>5</v>
      </c>
      <c r="H180" s="5" t="n">
        <f aca="false">MIN(F180,G180)</f>
        <v>5</v>
      </c>
      <c r="I180" s="5" t="n">
        <f aca="false">G180-H180</f>
        <v>0</v>
      </c>
      <c r="J180" s="5" t="n">
        <f aca="false">F180-H180</f>
        <v>7</v>
      </c>
      <c r="K180" s="5" t="n">
        <f aca="false">IF(I180&gt;0,1,0)</f>
        <v>0</v>
      </c>
      <c r="L180" s="5" t="n">
        <f aca="false">IF(J180&lt;PuntoReorden,1,0)</f>
        <v>0</v>
      </c>
      <c r="M180" s="18" t="n">
        <f aca="false">PrecioVenta*H180</f>
        <v>3400000</v>
      </c>
      <c r="N180" s="18" t="n">
        <f aca="false">CostoUnitario*E180</f>
        <v>0</v>
      </c>
      <c r="O180" s="18" t="n">
        <f aca="false">IF(E180&gt;0,CostoPedido,0)</f>
        <v>0</v>
      </c>
      <c r="P180" s="18" t="n">
        <f aca="false">CostoAlm*(F180+J180)/2</f>
        <v>760</v>
      </c>
      <c r="Q180" s="18" t="n">
        <f aca="false">CostoFijo*D180</f>
        <v>0</v>
      </c>
      <c r="R180" s="18" t="n">
        <f aca="false">M180-N180-O180-P180-Q180</f>
        <v>3399240</v>
      </c>
    </row>
    <row r="181" customFormat="false" ht="15" hidden="false" customHeight="true" outlineLevel="0" collapsed="false">
      <c r="A181" s="5" t="n">
        <f aca="false">A180+1</f>
        <v>176</v>
      </c>
      <c r="B181" s="16" t="n">
        <f aca="false">B180+IF(WEEKDAY(B180,2)=6,2,1)</f>
        <v>46227</v>
      </c>
      <c r="C181" s="5" t="n">
        <f aca="false">MONTH(B181)</f>
        <v>7</v>
      </c>
      <c r="D181" s="5" t="n">
        <f aca="false">IF(C181&lt;&gt;C180,1,0)</f>
        <v>0</v>
      </c>
      <c r="E181" s="5" t="n">
        <f aca="false">IF(L180=1,CantPedido,0)</f>
        <v>0</v>
      </c>
      <c r="F181" s="5" t="n">
        <f aca="false">J180+E181</f>
        <v>7</v>
      </c>
      <c r="G181" s="5" t="n">
        <f aca="true">VLOOKUP(RAND(),TablaEmpirica,2,TRUE())</f>
        <v>5</v>
      </c>
      <c r="H181" s="5" t="n">
        <f aca="false">MIN(F181,G181)</f>
        <v>5</v>
      </c>
      <c r="I181" s="5" t="n">
        <f aca="false">G181-H181</f>
        <v>0</v>
      </c>
      <c r="J181" s="5" t="n">
        <f aca="false">F181-H181</f>
        <v>2</v>
      </c>
      <c r="K181" s="5" t="n">
        <f aca="false">IF(I181&gt;0,1,0)</f>
        <v>0</v>
      </c>
      <c r="L181" s="5" t="n">
        <f aca="false">IF(J181&lt;PuntoReorden,1,0)</f>
        <v>1</v>
      </c>
      <c r="M181" s="18" t="n">
        <f aca="false">PrecioVenta*H181</f>
        <v>3400000</v>
      </c>
      <c r="N181" s="18" t="n">
        <f aca="false">CostoUnitario*E181</f>
        <v>0</v>
      </c>
      <c r="O181" s="18" t="n">
        <f aca="false">IF(E181&gt;0,CostoPedido,0)</f>
        <v>0</v>
      </c>
      <c r="P181" s="18" t="n">
        <f aca="false">CostoAlm*(F181+J181)/2</f>
        <v>360</v>
      </c>
      <c r="Q181" s="18" t="n">
        <f aca="false">CostoFijo*D181</f>
        <v>0</v>
      </c>
      <c r="R181" s="18" t="n">
        <f aca="false">M181-N181-O181-P181-Q181</f>
        <v>3399640</v>
      </c>
    </row>
    <row r="182" customFormat="false" ht="15" hidden="false" customHeight="true" outlineLevel="0" collapsed="false">
      <c r="A182" s="5" t="n">
        <f aca="false">A181+1</f>
        <v>177</v>
      </c>
      <c r="B182" s="16" t="n">
        <f aca="false">B181+IF(WEEKDAY(B181,2)=6,2,1)</f>
        <v>46228</v>
      </c>
      <c r="C182" s="5" t="n">
        <f aca="false">MONTH(B182)</f>
        <v>7</v>
      </c>
      <c r="D182" s="5" t="n">
        <f aca="false">IF(C182&lt;&gt;C181,1,0)</f>
        <v>0</v>
      </c>
      <c r="E182" s="17" t="n">
        <f aca="false">IF(L181=1,CantPedido,0)</f>
        <v>15</v>
      </c>
      <c r="F182" s="5" t="n">
        <f aca="false">J181+E182</f>
        <v>17</v>
      </c>
      <c r="G182" s="5" t="n">
        <f aca="true">VLOOKUP(RAND(),TablaEmpirica,2,TRUE())</f>
        <v>5</v>
      </c>
      <c r="H182" s="5" t="n">
        <f aca="false">MIN(F182,G182)</f>
        <v>5</v>
      </c>
      <c r="I182" s="5" t="n">
        <f aca="false">G182-H182</f>
        <v>0</v>
      </c>
      <c r="J182" s="5" t="n">
        <f aca="false">F182-H182</f>
        <v>12</v>
      </c>
      <c r="K182" s="5" t="n">
        <f aca="false">IF(I182&gt;0,1,0)</f>
        <v>0</v>
      </c>
      <c r="L182" s="5" t="n">
        <f aca="false">IF(J182&lt;PuntoReorden,1,0)</f>
        <v>0</v>
      </c>
      <c r="M182" s="18" t="n">
        <f aca="false">PrecioVenta*H182</f>
        <v>3400000</v>
      </c>
      <c r="N182" s="18" t="n">
        <f aca="false">CostoUnitario*E182</f>
        <v>9000000</v>
      </c>
      <c r="O182" s="18" t="n">
        <f aca="false">IF(E182&gt;0,CostoPedido,0)</f>
        <v>40000</v>
      </c>
      <c r="P182" s="18" t="n">
        <f aca="false">CostoAlm*(F182+J182)/2</f>
        <v>1160</v>
      </c>
      <c r="Q182" s="18" t="n">
        <f aca="false">CostoFijo*D182</f>
        <v>0</v>
      </c>
      <c r="R182" s="18" t="n">
        <f aca="false">M182-N182-O182-P182-Q182</f>
        <v>-5641160</v>
      </c>
    </row>
    <row r="183" customFormat="false" ht="15" hidden="false" customHeight="true" outlineLevel="0" collapsed="false">
      <c r="A183" s="5" t="n">
        <f aca="false">A182+1</f>
        <v>178</v>
      </c>
      <c r="B183" s="16" t="n">
        <f aca="false">B182+IF(WEEKDAY(B182,2)=6,2,1)</f>
        <v>46230</v>
      </c>
      <c r="C183" s="5" t="n">
        <f aca="false">MONTH(B183)</f>
        <v>7</v>
      </c>
      <c r="D183" s="5" t="n">
        <f aca="false">IF(C183&lt;&gt;C182,1,0)</f>
        <v>0</v>
      </c>
      <c r="E183" s="5" t="n">
        <f aca="false">IF(L182=1,CantPedido,0)</f>
        <v>0</v>
      </c>
      <c r="F183" s="5" t="n">
        <f aca="false">J182+E183</f>
        <v>12</v>
      </c>
      <c r="G183" s="5" t="n">
        <f aca="true">VLOOKUP(RAND(),TablaEmpirica,2,TRUE())</f>
        <v>5</v>
      </c>
      <c r="H183" s="5" t="n">
        <f aca="false">MIN(F183,G183)</f>
        <v>5</v>
      </c>
      <c r="I183" s="5" t="n">
        <f aca="false">G183-H183</f>
        <v>0</v>
      </c>
      <c r="J183" s="5" t="n">
        <f aca="false">F183-H183</f>
        <v>7</v>
      </c>
      <c r="K183" s="5" t="n">
        <f aca="false">IF(I183&gt;0,1,0)</f>
        <v>0</v>
      </c>
      <c r="L183" s="5" t="n">
        <f aca="false">IF(J183&lt;PuntoReorden,1,0)</f>
        <v>0</v>
      </c>
      <c r="M183" s="18" t="n">
        <f aca="false">PrecioVenta*H183</f>
        <v>3400000</v>
      </c>
      <c r="N183" s="18" t="n">
        <f aca="false">CostoUnitario*E183</f>
        <v>0</v>
      </c>
      <c r="O183" s="18" t="n">
        <f aca="false">IF(E183&gt;0,CostoPedido,0)</f>
        <v>0</v>
      </c>
      <c r="P183" s="18" t="n">
        <f aca="false">CostoAlm*(F183+J183)/2</f>
        <v>760</v>
      </c>
      <c r="Q183" s="18" t="n">
        <f aca="false">CostoFijo*D183</f>
        <v>0</v>
      </c>
      <c r="R183" s="18" t="n">
        <f aca="false">M183-N183-O183-P183-Q183</f>
        <v>3399240</v>
      </c>
    </row>
    <row r="184" customFormat="false" ht="15" hidden="false" customHeight="true" outlineLevel="0" collapsed="false">
      <c r="A184" s="5" t="n">
        <f aca="false">A183+1</f>
        <v>179</v>
      </c>
      <c r="B184" s="16" t="n">
        <f aca="false">B183+IF(WEEKDAY(B183,2)=6,2,1)</f>
        <v>46231</v>
      </c>
      <c r="C184" s="5" t="n">
        <f aca="false">MONTH(B184)</f>
        <v>7</v>
      </c>
      <c r="D184" s="5" t="n">
        <f aca="false">IF(C184&lt;&gt;C183,1,0)</f>
        <v>0</v>
      </c>
      <c r="E184" s="5" t="n">
        <f aca="false">IF(L183=1,CantPedido,0)</f>
        <v>0</v>
      </c>
      <c r="F184" s="5" t="n">
        <f aca="false">J183+E184</f>
        <v>7</v>
      </c>
      <c r="G184" s="5" t="n">
        <f aca="true">VLOOKUP(RAND(),TablaEmpirica,2,TRUE())</f>
        <v>5</v>
      </c>
      <c r="H184" s="5" t="n">
        <f aca="false">MIN(F184,G184)</f>
        <v>5</v>
      </c>
      <c r="I184" s="5" t="n">
        <f aca="false">G184-H184</f>
        <v>0</v>
      </c>
      <c r="J184" s="5" t="n">
        <f aca="false">F184-H184</f>
        <v>2</v>
      </c>
      <c r="K184" s="5" t="n">
        <f aca="false">IF(I184&gt;0,1,0)</f>
        <v>0</v>
      </c>
      <c r="L184" s="5" t="n">
        <f aca="false">IF(J184&lt;PuntoReorden,1,0)</f>
        <v>1</v>
      </c>
      <c r="M184" s="18" t="n">
        <f aca="false">PrecioVenta*H184</f>
        <v>3400000</v>
      </c>
      <c r="N184" s="18" t="n">
        <f aca="false">CostoUnitario*E184</f>
        <v>0</v>
      </c>
      <c r="O184" s="18" t="n">
        <f aca="false">IF(E184&gt;0,CostoPedido,0)</f>
        <v>0</v>
      </c>
      <c r="P184" s="18" t="n">
        <f aca="false">CostoAlm*(F184+J184)/2</f>
        <v>360</v>
      </c>
      <c r="Q184" s="18" t="n">
        <f aca="false">CostoFijo*D184</f>
        <v>0</v>
      </c>
      <c r="R184" s="18" t="n">
        <f aca="false">M184-N184-O184-P184-Q184</f>
        <v>3399640</v>
      </c>
    </row>
    <row r="185" customFormat="false" ht="15" hidden="false" customHeight="true" outlineLevel="0" collapsed="false">
      <c r="A185" s="5" t="n">
        <f aca="false">A184+1</f>
        <v>180</v>
      </c>
      <c r="B185" s="16" t="n">
        <f aca="false">B184+IF(WEEKDAY(B184,2)=6,2,1)</f>
        <v>46232</v>
      </c>
      <c r="C185" s="5" t="n">
        <f aca="false">MONTH(B185)</f>
        <v>7</v>
      </c>
      <c r="D185" s="5" t="n">
        <f aca="false">IF(C185&lt;&gt;C184,1,0)</f>
        <v>0</v>
      </c>
      <c r="E185" s="17" t="n">
        <f aca="false">IF(L184=1,CantPedido,0)</f>
        <v>15</v>
      </c>
      <c r="F185" s="5" t="n">
        <f aca="false">J184+E185</f>
        <v>17</v>
      </c>
      <c r="G185" s="5" t="n">
        <f aca="true">VLOOKUP(RAND(),TablaEmpirica,2,TRUE())</f>
        <v>3</v>
      </c>
      <c r="H185" s="5" t="n">
        <f aca="false">MIN(F185,G185)</f>
        <v>3</v>
      </c>
      <c r="I185" s="5" t="n">
        <f aca="false">G185-H185</f>
        <v>0</v>
      </c>
      <c r="J185" s="5" t="n">
        <f aca="false">F185-H185</f>
        <v>14</v>
      </c>
      <c r="K185" s="5" t="n">
        <f aca="false">IF(I185&gt;0,1,0)</f>
        <v>0</v>
      </c>
      <c r="L185" s="5" t="n">
        <f aca="false">IF(J185&lt;PuntoReorden,1,0)</f>
        <v>0</v>
      </c>
      <c r="M185" s="18" t="n">
        <f aca="false">PrecioVenta*H185</f>
        <v>2040000</v>
      </c>
      <c r="N185" s="18" t="n">
        <f aca="false">CostoUnitario*E185</f>
        <v>9000000</v>
      </c>
      <c r="O185" s="18" t="n">
        <f aca="false">IF(E185&gt;0,CostoPedido,0)</f>
        <v>40000</v>
      </c>
      <c r="P185" s="18" t="n">
        <f aca="false">CostoAlm*(F185+J185)/2</f>
        <v>1240</v>
      </c>
      <c r="Q185" s="18" t="n">
        <f aca="false">CostoFijo*D185</f>
        <v>0</v>
      </c>
      <c r="R185" s="18" t="n">
        <f aca="false">M185-N185-O185-P185-Q185</f>
        <v>-7001240</v>
      </c>
    </row>
    <row r="186" customFormat="false" ht="15" hidden="false" customHeight="true" outlineLevel="0" collapsed="false">
      <c r="A186" s="5" t="n">
        <f aca="false">A185+1</f>
        <v>181</v>
      </c>
      <c r="B186" s="16" t="n">
        <f aca="false">B185+IF(WEEKDAY(B185,2)=6,2,1)</f>
        <v>46233</v>
      </c>
      <c r="C186" s="5" t="n">
        <f aca="false">MONTH(B186)</f>
        <v>7</v>
      </c>
      <c r="D186" s="5" t="n">
        <f aca="false">IF(C186&lt;&gt;C185,1,0)</f>
        <v>0</v>
      </c>
      <c r="E186" s="5" t="n">
        <f aca="false">IF(L185=1,CantPedido,0)</f>
        <v>0</v>
      </c>
      <c r="F186" s="5" t="n">
        <f aca="false">J185+E186</f>
        <v>14</v>
      </c>
      <c r="G186" s="5" t="n">
        <f aca="true">VLOOKUP(RAND(),TablaEmpirica,2,TRUE())</f>
        <v>3</v>
      </c>
      <c r="H186" s="5" t="n">
        <f aca="false">MIN(F186,G186)</f>
        <v>3</v>
      </c>
      <c r="I186" s="5" t="n">
        <f aca="false">G186-H186</f>
        <v>0</v>
      </c>
      <c r="J186" s="5" t="n">
        <f aca="false">F186-H186</f>
        <v>11</v>
      </c>
      <c r="K186" s="5" t="n">
        <f aca="false">IF(I186&gt;0,1,0)</f>
        <v>0</v>
      </c>
      <c r="L186" s="5" t="n">
        <f aca="false">IF(J186&lt;PuntoReorden,1,0)</f>
        <v>0</v>
      </c>
      <c r="M186" s="18" t="n">
        <f aca="false">PrecioVenta*H186</f>
        <v>2040000</v>
      </c>
      <c r="N186" s="18" t="n">
        <f aca="false">CostoUnitario*E186</f>
        <v>0</v>
      </c>
      <c r="O186" s="18" t="n">
        <f aca="false">IF(E186&gt;0,CostoPedido,0)</f>
        <v>0</v>
      </c>
      <c r="P186" s="18" t="n">
        <f aca="false">CostoAlm*(F186+J186)/2</f>
        <v>1000</v>
      </c>
      <c r="Q186" s="18" t="n">
        <f aca="false">CostoFijo*D186</f>
        <v>0</v>
      </c>
      <c r="R186" s="18" t="n">
        <f aca="false">M186-N186-O186-P186-Q186</f>
        <v>2039000</v>
      </c>
    </row>
    <row r="187" customFormat="false" ht="15" hidden="false" customHeight="true" outlineLevel="0" collapsed="false">
      <c r="A187" s="5" t="n">
        <f aca="false">A186+1</f>
        <v>182</v>
      </c>
      <c r="B187" s="16" t="n">
        <f aca="false">B186+IF(WEEKDAY(B186,2)=6,2,1)</f>
        <v>46234</v>
      </c>
      <c r="C187" s="5" t="n">
        <f aca="false">MONTH(B187)</f>
        <v>7</v>
      </c>
      <c r="D187" s="5" t="n">
        <f aca="false">IF(C187&lt;&gt;C186,1,0)</f>
        <v>0</v>
      </c>
      <c r="E187" s="5" t="n">
        <f aca="false">IF(L186=1,CantPedido,0)</f>
        <v>0</v>
      </c>
      <c r="F187" s="5" t="n">
        <f aca="false">J186+E187</f>
        <v>11</v>
      </c>
      <c r="G187" s="5" t="n">
        <f aca="true">VLOOKUP(RAND(),TablaEmpirica,2,TRUE())</f>
        <v>6</v>
      </c>
      <c r="H187" s="5" t="n">
        <f aca="false">MIN(F187,G187)</f>
        <v>6</v>
      </c>
      <c r="I187" s="5" t="n">
        <f aca="false">G187-H187</f>
        <v>0</v>
      </c>
      <c r="J187" s="5" t="n">
        <f aca="false">F187-H187</f>
        <v>5</v>
      </c>
      <c r="K187" s="5" t="n">
        <f aca="false">IF(I187&gt;0,1,0)</f>
        <v>0</v>
      </c>
      <c r="L187" s="5" t="n">
        <f aca="false">IF(J187&lt;PuntoReorden,1,0)</f>
        <v>1</v>
      </c>
      <c r="M187" s="18" t="n">
        <f aca="false">PrecioVenta*H187</f>
        <v>4080000</v>
      </c>
      <c r="N187" s="18" t="n">
        <f aca="false">CostoUnitario*E187</f>
        <v>0</v>
      </c>
      <c r="O187" s="18" t="n">
        <f aca="false">IF(E187&gt;0,CostoPedido,0)</f>
        <v>0</v>
      </c>
      <c r="P187" s="18" t="n">
        <f aca="false">CostoAlm*(F187+J187)/2</f>
        <v>640</v>
      </c>
      <c r="Q187" s="18" t="n">
        <f aca="false">CostoFijo*D187</f>
        <v>0</v>
      </c>
      <c r="R187" s="18" t="n">
        <f aca="false">M187-N187-O187-P187-Q187</f>
        <v>4079360</v>
      </c>
    </row>
    <row r="188" customFormat="false" ht="15" hidden="false" customHeight="true" outlineLevel="0" collapsed="false">
      <c r="A188" s="5" t="n">
        <f aca="false">A187+1</f>
        <v>183</v>
      </c>
      <c r="B188" s="16" t="n">
        <f aca="false">B187+IF(WEEKDAY(B187,2)=6,2,1)</f>
        <v>46235</v>
      </c>
      <c r="C188" s="5" t="n">
        <f aca="false">MONTH(B188)</f>
        <v>8</v>
      </c>
      <c r="D188" s="5" t="n">
        <f aca="false">IF(C188&lt;&gt;C187,1,0)</f>
        <v>1</v>
      </c>
      <c r="E188" s="17" t="n">
        <f aca="false">IF(L187=1,CantPedido,0)</f>
        <v>15</v>
      </c>
      <c r="F188" s="5" t="n">
        <f aca="false">J187+E188</f>
        <v>20</v>
      </c>
      <c r="G188" s="5" t="n">
        <f aca="true">VLOOKUP(RAND(),TablaEmpirica,2,TRUE())</f>
        <v>3</v>
      </c>
      <c r="H188" s="5" t="n">
        <f aca="false">MIN(F188,G188)</f>
        <v>3</v>
      </c>
      <c r="I188" s="5" t="n">
        <f aca="false">G188-H188</f>
        <v>0</v>
      </c>
      <c r="J188" s="5" t="n">
        <f aca="false">F188-H188</f>
        <v>17</v>
      </c>
      <c r="K188" s="5" t="n">
        <f aca="false">IF(I188&gt;0,1,0)</f>
        <v>0</v>
      </c>
      <c r="L188" s="5" t="n">
        <f aca="false">IF(J188&lt;PuntoReorden,1,0)</f>
        <v>0</v>
      </c>
      <c r="M188" s="18" t="n">
        <f aca="false">PrecioVenta*H188</f>
        <v>2040000</v>
      </c>
      <c r="N188" s="18" t="n">
        <f aca="false">CostoUnitario*E188</f>
        <v>9000000</v>
      </c>
      <c r="O188" s="18" t="n">
        <f aca="false">IF(E188&gt;0,CostoPedido,0)</f>
        <v>40000</v>
      </c>
      <c r="P188" s="18" t="n">
        <f aca="false">CostoAlm*(F188+J188)/2</f>
        <v>1480</v>
      </c>
      <c r="Q188" s="18" t="n">
        <f aca="false">CostoFijo*D188</f>
        <v>1000000</v>
      </c>
      <c r="R188" s="18" t="n">
        <f aca="false">M188-N188-O188-P188-Q188</f>
        <v>-8001480</v>
      </c>
    </row>
    <row r="189" customFormat="false" ht="15" hidden="false" customHeight="true" outlineLevel="0" collapsed="false">
      <c r="A189" s="5" t="n">
        <f aca="false">A188+1</f>
        <v>184</v>
      </c>
      <c r="B189" s="16" t="n">
        <f aca="false">B188+IF(WEEKDAY(B188,2)=6,2,1)</f>
        <v>46237</v>
      </c>
      <c r="C189" s="5" t="n">
        <f aca="false">MONTH(B189)</f>
        <v>8</v>
      </c>
      <c r="D189" s="5" t="n">
        <f aca="false">IF(C189&lt;&gt;C188,1,0)</f>
        <v>0</v>
      </c>
      <c r="E189" s="5" t="n">
        <f aca="false">IF(L188=1,CantPedido,0)</f>
        <v>0</v>
      </c>
      <c r="F189" s="5" t="n">
        <f aca="false">J188+E189</f>
        <v>17</v>
      </c>
      <c r="G189" s="5" t="n">
        <f aca="true">VLOOKUP(RAND(),TablaEmpirica,2,TRUE())</f>
        <v>5</v>
      </c>
      <c r="H189" s="5" t="n">
        <f aca="false">MIN(F189,G189)</f>
        <v>5</v>
      </c>
      <c r="I189" s="5" t="n">
        <f aca="false">G189-H189</f>
        <v>0</v>
      </c>
      <c r="J189" s="5" t="n">
        <f aca="false">F189-H189</f>
        <v>12</v>
      </c>
      <c r="K189" s="5" t="n">
        <f aca="false">IF(I189&gt;0,1,0)</f>
        <v>0</v>
      </c>
      <c r="L189" s="5" t="n">
        <f aca="false">IF(J189&lt;PuntoReorden,1,0)</f>
        <v>0</v>
      </c>
      <c r="M189" s="18" t="n">
        <f aca="false">PrecioVenta*H189</f>
        <v>3400000</v>
      </c>
      <c r="N189" s="18" t="n">
        <f aca="false">CostoUnitario*E189</f>
        <v>0</v>
      </c>
      <c r="O189" s="18" t="n">
        <f aca="false">IF(E189&gt;0,CostoPedido,0)</f>
        <v>0</v>
      </c>
      <c r="P189" s="18" t="n">
        <f aca="false">CostoAlm*(F189+J189)/2</f>
        <v>1160</v>
      </c>
      <c r="Q189" s="18" t="n">
        <f aca="false">CostoFijo*D189</f>
        <v>0</v>
      </c>
      <c r="R189" s="18" t="n">
        <f aca="false">M189-N189-O189-P189-Q189</f>
        <v>3398840</v>
      </c>
    </row>
    <row r="190" customFormat="false" ht="15" hidden="false" customHeight="true" outlineLevel="0" collapsed="false">
      <c r="A190" s="5" t="n">
        <f aca="false">A189+1</f>
        <v>185</v>
      </c>
      <c r="B190" s="16" t="n">
        <f aca="false">B189+IF(WEEKDAY(B189,2)=6,2,1)</f>
        <v>46238</v>
      </c>
      <c r="C190" s="5" t="n">
        <f aca="false">MONTH(B190)</f>
        <v>8</v>
      </c>
      <c r="D190" s="5" t="n">
        <f aca="false">IF(C190&lt;&gt;C189,1,0)</f>
        <v>0</v>
      </c>
      <c r="E190" s="5" t="n">
        <f aca="false">IF(L189=1,CantPedido,0)</f>
        <v>0</v>
      </c>
      <c r="F190" s="5" t="n">
        <f aca="false">J189+E190</f>
        <v>12</v>
      </c>
      <c r="G190" s="5" t="n">
        <f aca="true">VLOOKUP(RAND(),TablaEmpirica,2,TRUE())</f>
        <v>7</v>
      </c>
      <c r="H190" s="5" t="n">
        <f aca="false">MIN(F190,G190)</f>
        <v>7</v>
      </c>
      <c r="I190" s="5" t="n">
        <f aca="false">G190-H190</f>
        <v>0</v>
      </c>
      <c r="J190" s="5" t="n">
        <f aca="false">F190-H190</f>
        <v>5</v>
      </c>
      <c r="K190" s="5" t="n">
        <f aca="false">IF(I190&gt;0,1,0)</f>
        <v>0</v>
      </c>
      <c r="L190" s="5" t="n">
        <f aca="false">IF(J190&lt;PuntoReorden,1,0)</f>
        <v>1</v>
      </c>
      <c r="M190" s="18" t="n">
        <f aca="false">PrecioVenta*H190</f>
        <v>4760000</v>
      </c>
      <c r="N190" s="18" t="n">
        <f aca="false">CostoUnitario*E190</f>
        <v>0</v>
      </c>
      <c r="O190" s="18" t="n">
        <f aca="false">IF(E190&gt;0,CostoPedido,0)</f>
        <v>0</v>
      </c>
      <c r="P190" s="18" t="n">
        <f aca="false">CostoAlm*(F190+J190)/2</f>
        <v>680</v>
      </c>
      <c r="Q190" s="18" t="n">
        <f aca="false">CostoFijo*D190</f>
        <v>0</v>
      </c>
      <c r="R190" s="18" t="n">
        <f aca="false">M190-N190-O190-P190-Q190</f>
        <v>4759320</v>
      </c>
    </row>
    <row r="191" customFormat="false" ht="15" hidden="false" customHeight="true" outlineLevel="0" collapsed="false">
      <c r="A191" s="5" t="n">
        <f aca="false">A190+1</f>
        <v>186</v>
      </c>
      <c r="B191" s="16" t="n">
        <f aca="false">B190+IF(WEEKDAY(B190,2)=6,2,1)</f>
        <v>46239</v>
      </c>
      <c r="C191" s="5" t="n">
        <f aca="false">MONTH(B191)</f>
        <v>8</v>
      </c>
      <c r="D191" s="5" t="n">
        <f aca="false">IF(C191&lt;&gt;C190,1,0)</f>
        <v>0</v>
      </c>
      <c r="E191" s="17" t="n">
        <f aca="false">IF(L190=1,CantPedido,0)</f>
        <v>15</v>
      </c>
      <c r="F191" s="5" t="n">
        <f aca="false">J190+E191</f>
        <v>20</v>
      </c>
      <c r="G191" s="5" t="n">
        <f aca="true">VLOOKUP(RAND(),TablaEmpirica,2,TRUE())</f>
        <v>3</v>
      </c>
      <c r="H191" s="5" t="n">
        <f aca="false">MIN(F191,G191)</f>
        <v>3</v>
      </c>
      <c r="I191" s="5" t="n">
        <f aca="false">G191-H191</f>
        <v>0</v>
      </c>
      <c r="J191" s="5" t="n">
        <f aca="false">F191-H191</f>
        <v>17</v>
      </c>
      <c r="K191" s="5" t="n">
        <f aca="false">IF(I191&gt;0,1,0)</f>
        <v>0</v>
      </c>
      <c r="L191" s="5" t="n">
        <f aca="false">IF(J191&lt;PuntoReorden,1,0)</f>
        <v>0</v>
      </c>
      <c r="M191" s="18" t="n">
        <f aca="false">PrecioVenta*H191</f>
        <v>2040000</v>
      </c>
      <c r="N191" s="18" t="n">
        <f aca="false">CostoUnitario*E191</f>
        <v>9000000</v>
      </c>
      <c r="O191" s="18" t="n">
        <f aca="false">IF(E191&gt;0,CostoPedido,0)</f>
        <v>40000</v>
      </c>
      <c r="P191" s="18" t="n">
        <f aca="false">CostoAlm*(F191+J191)/2</f>
        <v>1480</v>
      </c>
      <c r="Q191" s="18" t="n">
        <f aca="false">CostoFijo*D191</f>
        <v>0</v>
      </c>
      <c r="R191" s="18" t="n">
        <f aca="false">M191-N191-O191-P191-Q191</f>
        <v>-7001480</v>
      </c>
    </row>
    <row r="192" customFormat="false" ht="15" hidden="false" customHeight="true" outlineLevel="0" collapsed="false">
      <c r="A192" s="5" t="n">
        <f aca="false">A191+1</f>
        <v>187</v>
      </c>
      <c r="B192" s="16" t="n">
        <f aca="false">B191+IF(WEEKDAY(B191,2)=6,2,1)</f>
        <v>46240</v>
      </c>
      <c r="C192" s="5" t="n">
        <f aca="false">MONTH(B192)</f>
        <v>8</v>
      </c>
      <c r="D192" s="5" t="n">
        <f aca="false">IF(C192&lt;&gt;C191,1,0)</f>
        <v>0</v>
      </c>
      <c r="E192" s="5" t="n">
        <f aca="false">IF(L191=1,CantPedido,0)</f>
        <v>0</v>
      </c>
      <c r="F192" s="5" t="n">
        <f aca="false">J191+E192</f>
        <v>17</v>
      </c>
      <c r="G192" s="5" t="n">
        <f aca="true">VLOOKUP(RAND(),TablaEmpirica,2,TRUE())</f>
        <v>6</v>
      </c>
      <c r="H192" s="5" t="n">
        <f aca="false">MIN(F192,G192)</f>
        <v>6</v>
      </c>
      <c r="I192" s="5" t="n">
        <f aca="false">G192-H192</f>
        <v>0</v>
      </c>
      <c r="J192" s="5" t="n">
        <f aca="false">F192-H192</f>
        <v>11</v>
      </c>
      <c r="K192" s="5" t="n">
        <f aca="false">IF(I192&gt;0,1,0)</f>
        <v>0</v>
      </c>
      <c r="L192" s="5" t="n">
        <f aca="false">IF(J192&lt;PuntoReorden,1,0)</f>
        <v>0</v>
      </c>
      <c r="M192" s="18" t="n">
        <f aca="false">PrecioVenta*H192</f>
        <v>4080000</v>
      </c>
      <c r="N192" s="18" t="n">
        <f aca="false">CostoUnitario*E192</f>
        <v>0</v>
      </c>
      <c r="O192" s="18" t="n">
        <f aca="false">IF(E192&gt;0,CostoPedido,0)</f>
        <v>0</v>
      </c>
      <c r="P192" s="18" t="n">
        <f aca="false">CostoAlm*(F192+J192)/2</f>
        <v>1120</v>
      </c>
      <c r="Q192" s="18" t="n">
        <f aca="false">CostoFijo*D192</f>
        <v>0</v>
      </c>
      <c r="R192" s="18" t="n">
        <f aca="false">M192-N192-O192-P192-Q192</f>
        <v>4078880</v>
      </c>
    </row>
    <row r="193" customFormat="false" ht="15" hidden="false" customHeight="true" outlineLevel="0" collapsed="false">
      <c r="A193" s="5" t="n">
        <f aca="false">A192+1</f>
        <v>188</v>
      </c>
      <c r="B193" s="16" t="n">
        <f aca="false">B192+IF(WEEKDAY(B192,2)=6,2,1)</f>
        <v>46241</v>
      </c>
      <c r="C193" s="5" t="n">
        <f aca="false">MONTH(B193)</f>
        <v>8</v>
      </c>
      <c r="D193" s="5" t="n">
        <f aca="false">IF(C193&lt;&gt;C192,1,0)</f>
        <v>0</v>
      </c>
      <c r="E193" s="5" t="n">
        <f aca="false">IF(L192=1,CantPedido,0)</f>
        <v>0</v>
      </c>
      <c r="F193" s="5" t="n">
        <f aca="false">J192+E193</f>
        <v>11</v>
      </c>
      <c r="G193" s="5" t="n">
        <f aca="true">VLOOKUP(RAND(),TablaEmpirica,2,TRUE())</f>
        <v>3</v>
      </c>
      <c r="H193" s="5" t="n">
        <f aca="false">MIN(F193,G193)</f>
        <v>3</v>
      </c>
      <c r="I193" s="5" t="n">
        <f aca="false">G193-H193</f>
        <v>0</v>
      </c>
      <c r="J193" s="5" t="n">
        <f aca="false">F193-H193</f>
        <v>8</v>
      </c>
      <c r="K193" s="5" t="n">
        <f aca="false">IF(I193&gt;0,1,0)</f>
        <v>0</v>
      </c>
      <c r="L193" s="5" t="n">
        <f aca="false">IF(J193&lt;PuntoReorden,1,0)</f>
        <v>0</v>
      </c>
      <c r="M193" s="18" t="n">
        <f aca="false">PrecioVenta*H193</f>
        <v>2040000</v>
      </c>
      <c r="N193" s="18" t="n">
        <f aca="false">CostoUnitario*E193</f>
        <v>0</v>
      </c>
      <c r="O193" s="18" t="n">
        <f aca="false">IF(E193&gt;0,CostoPedido,0)</f>
        <v>0</v>
      </c>
      <c r="P193" s="18" t="n">
        <f aca="false">CostoAlm*(F193+J193)/2</f>
        <v>760</v>
      </c>
      <c r="Q193" s="18" t="n">
        <f aca="false">CostoFijo*D193</f>
        <v>0</v>
      </c>
      <c r="R193" s="18" t="n">
        <f aca="false">M193-N193-O193-P193-Q193</f>
        <v>2039240</v>
      </c>
    </row>
    <row r="194" customFormat="false" ht="15" hidden="false" customHeight="true" outlineLevel="0" collapsed="false">
      <c r="A194" s="5" t="n">
        <f aca="false">A193+1</f>
        <v>189</v>
      </c>
      <c r="B194" s="16" t="n">
        <f aca="false">B193+IF(WEEKDAY(B193,2)=6,2,1)</f>
        <v>46242</v>
      </c>
      <c r="C194" s="5" t="n">
        <f aca="false">MONTH(B194)</f>
        <v>8</v>
      </c>
      <c r="D194" s="5" t="n">
        <f aca="false">IF(C194&lt;&gt;C193,1,0)</f>
        <v>0</v>
      </c>
      <c r="E194" s="17" t="n">
        <f aca="false">IF(L193=1,CantPedido,0)</f>
        <v>0</v>
      </c>
      <c r="F194" s="5" t="n">
        <f aca="false">J193+E194</f>
        <v>8</v>
      </c>
      <c r="G194" s="5" t="n">
        <f aca="true">VLOOKUP(RAND(),TablaEmpirica,2,TRUE())</f>
        <v>6</v>
      </c>
      <c r="H194" s="5" t="n">
        <f aca="false">MIN(F194,G194)</f>
        <v>6</v>
      </c>
      <c r="I194" s="5" t="n">
        <f aca="false">G194-H194</f>
        <v>0</v>
      </c>
      <c r="J194" s="5" t="n">
        <f aca="false">F194-H194</f>
        <v>2</v>
      </c>
      <c r="K194" s="5" t="n">
        <f aca="false">IF(I194&gt;0,1,0)</f>
        <v>0</v>
      </c>
      <c r="L194" s="5" t="n">
        <f aca="false">IF(J194&lt;PuntoReorden,1,0)</f>
        <v>1</v>
      </c>
      <c r="M194" s="18" t="n">
        <f aca="false">PrecioVenta*H194</f>
        <v>4080000</v>
      </c>
      <c r="N194" s="18" t="n">
        <f aca="false">CostoUnitario*E194</f>
        <v>0</v>
      </c>
      <c r="O194" s="18" t="n">
        <f aca="false">IF(E194&gt;0,CostoPedido,0)</f>
        <v>0</v>
      </c>
      <c r="P194" s="18" t="n">
        <f aca="false">CostoAlm*(F194+J194)/2</f>
        <v>400</v>
      </c>
      <c r="Q194" s="18" t="n">
        <f aca="false">CostoFijo*D194</f>
        <v>0</v>
      </c>
      <c r="R194" s="18" t="n">
        <f aca="false">M194-N194-O194-P194-Q194</f>
        <v>4079600</v>
      </c>
    </row>
    <row r="195" customFormat="false" ht="15" hidden="false" customHeight="true" outlineLevel="0" collapsed="false">
      <c r="A195" s="5" t="n">
        <f aca="false">A194+1</f>
        <v>190</v>
      </c>
      <c r="B195" s="16" t="n">
        <f aca="false">B194+IF(WEEKDAY(B194,2)=6,2,1)</f>
        <v>46244</v>
      </c>
      <c r="C195" s="5" t="n">
        <f aca="false">MONTH(B195)</f>
        <v>8</v>
      </c>
      <c r="D195" s="5" t="n">
        <f aca="false">IF(C195&lt;&gt;C194,1,0)</f>
        <v>0</v>
      </c>
      <c r="E195" s="17" t="n">
        <f aca="false">IF(L194=1,CantPedido,0)</f>
        <v>15</v>
      </c>
      <c r="F195" s="5" t="n">
        <f aca="false">J194+E195</f>
        <v>17</v>
      </c>
      <c r="G195" s="5" t="n">
        <f aca="true">VLOOKUP(RAND(),TablaEmpirica,2,TRUE())</f>
        <v>5</v>
      </c>
      <c r="H195" s="5" t="n">
        <f aca="false">MIN(F195,G195)</f>
        <v>5</v>
      </c>
      <c r="I195" s="5" t="n">
        <f aca="false">G195-H195</f>
        <v>0</v>
      </c>
      <c r="J195" s="5" t="n">
        <f aca="false">F195-H195</f>
        <v>12</v>
      </c>
      <c r="K195" s="5" t="n">
        <f aca="false">IF(I195&gt;0,1,0)</f>
        <v>0</v>
      </c>
      <c r="L195" s="5" t="n">
        <f aca="false">IF(J195&lt;PuntoReorden,1,0)</f>
        <v>0</v>
      </c>
      <c r="M195" s="18" t="n">
        <f aca="false">PrecioVenta*H195</f>
        <v>3400000</v>
      </c>
      <c r="N195" s="18" t="n">
        <f aca="false">CostoUnitario*E195</f>
        <v>9000000</v>
      </c>
      <c r="O195" s="18" t="n">
        <f aca="false">IF(E195&gt;0,CostoPedido,0)</f>
        <v>40000</v>
      </c>
      <c r="P195" s="18" t="n">
        <f aca="false">CostoAlm*(F195+J195)/2</f>
        <v>1160</v>
      </c>
      <c r="Q195" s="18" t="n">
        <f aca="false">CostoFijo*D195</f>
        <v>0</v>
      </c>
      <c r="R195" s="18" t="n">
        <f aca="false">M195-N195-O195-P195-Q195</f>
        <v>-5641160</v>
      </c>
    </row>
    <row r="196" customFormat="false" ht="15" hidden="false" customHeight="true" outlineLevel="0" collapsed="false">
      <c r="A196" s="5" t="n">
        <f aca="false">A195+1</f>
        <v>191</v>
      </c>
      <c r="B196" s="16" t="n">
        <f aca="false">B195+IF(WEEKDAY(B195,2)=6,2,1)</f>
        <v>46245</v>
      </c>
      <c r="C196" s="5" t="n">
        <f aca="false">MONTH(B196)</f>
        <v>8</v>
      </c>
      <c r="D196" s="5" t="n">
        <f aca="false">IF(C196&lt;&gt;C195,1,0)</f>
        <v>0</v>
      </c>
      <c r="E196" s="5" t="n">
        <f aca="false">IF(L195=1,CantPedido,0)</f>
        <v>0</v>
      </c>
      <c r="F196" s="5" t="n">
        <f aca="false">J195+E196</f>
        <v>12</v>
      </c>
      <c r="G196" s="5" t="n">
        <f aca="true">VLOOKUP(RAND(),TablaEmpirica,2,TRUE())</f>
        <v>5</v>
      </c>
      <c r="H196" s="5" t="n">
        <f aca="false">MIN(F196,G196)</f>
        <v>5</v>
      </c>
      <c r="I196" s="5" t="n">
        <f aca="false">G196-H196</f>
        <v>0</v>
      </c>
      <c r="J196" s="5" t="n">
        <f aca="false">F196-H196</f>
        <v>7</v>
      </c>
      <c r="K196" s="5" t="n">
        <f aca="false">IF(I196&gt;0,1,0)</f>
        <v>0</v>
      </c>
      <c r="L196" s="5" t="n">
        <f aca="false">IF(J196&lt;PuntoReorden,1,0)</f>
        <v>0</v>
      </c>
      <c r="M196" s="18" t="n">
        <f aca="false">PrecioVenta*H196</f>
        <v>3400000</v>
      </c>
      <c r="N196" s="18" t="n">
        <f aca="false">CostoUnitario*E196</f>
        <v>0</v>
      </c>
      <c r="O196" s="18" t="n">
        <f aca="false">IF(E196&gt;0,CostoPedido,0)</f>
        <v>0</v>
      </c>
      <c r="P196" s="18" t="n">
        <f aca="false">CostoAlm*(F196+J196)/2</f>
        <v>760</v>
      </c>
      <c r="Q196" s="18" t="n">
        <f aca="false">CostoFijo*D196</f>
        <v>0</v>
      </c>
      <c r="R196" s="18" t="n">
        <f aca="false">M196-N196-O196-P196-Q196</f>
        <v>3399240</v>
      </c>
    </row>
    <row r="197" customFormat="false" ht="15" hidden="false" customHeight="true" outlineLevel="0" collapsed="false">
      <c r="A197" s="5" t="n">
        <f aca="false">A196+1</f>
        <v>192</v>
      </c>
      <c r="B197" s="16" t="n">
        <f aca="false">B196+IF(WEEKDAY(B196,2)=6,2,1)</f>
        <v>46246</v>
      </c>
      <c r="C197" s="5" t="n">
        <f aca="false">MONTH(B197)</f>
        <v>8</v>
      </c>
      <c r="D197" s="5" t="n">
        <f aca="false">IF(C197&lt;&gt;C196,1,0)</f>
        <v>0</v>
      </c>
      <c r="E197" s="17" t="n">
        <f aca="false">IF(L196=1,CantPedido,0)</f>
        <v>0</v>
      </c>
      <c r="F197" s="5" t="n">
        <f aca="false">J196+E197</f>
        <v>7</v>
      </c>
      <c r="G197" s="5" t="n">
        <f aca="true">VLOOKUP(RAND(),TablaEmpirica,2,TRUE())</f>
        <v>5</v>
      </c>
      <c r="H197" s="5" t="n">
        <f aca="false">MIN(F197,G197)</f>
        <v>5</v>
      </c>
      <c r="I197" s="5" t="n">
        <f aca="false">G197-H197</f>
        <v>0</v>
      </c>
      <c r="J197" s="5" t="n">
        <f aca="false">F197-H197</f>
        <v>2</v>
      </c>
      <c r="K197" s="5" t="n">
        <f aca="false">IF(I197&gt;0,1,0)</f>
        <v>0</v>
      </c>
      <c r="L197" s="5" t="n">
        <f aca="false">IF(J197&lt;PuntoReorden,1,0)</f>
        <v>1</v>
      </c>
      <c r="M197" s="18" t="n">
        <f aca="false">PrecioVenta*H197</f>
        <v>3400000</v>
      </c>
      <c r="N197" s="18" t="n">
        <f aca="false">CostoUnitario*E197</f>
        <v>0</v>
      </c>
      <c r="O197" s="18" t="n">
        <f aca="false">IF(E197&gt;0,CostoPedido,0)</f>
        <v>0</v>
      </c>
      <c r="P197" s="18" t="n">
        <f aca="false">CostoAlm*(F197+J197)/2</f>
        <v>360</v>
      </c>
      <c r="Q197" s="18" t="n">
        <f aca="false">CostoFijo*D197</f>
        <v>0</v>
      </c>
      <c r="R197" s="18" t="n">
        <f aca="false">M197-N197-O197-P197-Q197</f>
        <v>3399640</v>
      </c>
    </row>
    <row r="198" customFormat="false" ht="15" hidden="false" customHeight="true" outlineLevel="0" collapsed="false">
      <c r="A198" s="5" t="n">
        <f aca="false">A197+1</f>
        <v>193</v>
      </c>
      <c r="B198" s="16" t="n">
        <f aca="false">B197+IF(WEEKDAY(B197,2)=6,2,1)</f>
        <v>46247</v>
      </c>
      <c r="C198" s="5" t="n">
        <f aca="false">MONTH(B198)</f>
        <v>8</v>
      </c>
      <c r="D198" s="5" t="n">
        <f aca="false">IF(C198&lt;&gt;C197,1,0)</f>
        <v>0</v>
      </c>
      <c r="E198" s="17" t="n">
        <f aca="false">IF(L197=1,CantPedido,0)</f>
        <v>15</v>
      </c>
      <c r="F198" s="5" t="n">
        <f aca="false">J197+E198</f>
        <v>17</v>
      </c>
      <c r="G198" s="5" t="n">
        <f aca="true">VLOOKUP(RAND(),TablaEmpirica,2,TRUE())</f>
        <v>3</v>
      </c>
      <c r="H198" s="5" t="n">
        <f aca="false">MIN(F198,G198)</f>
        <v>3</v>
      </c>
      <c r="I198" s="5" t="n">
        <f aca="false">G198-H198</f>
        <v>0</v>
      </c>
      <c r="J198" s="5" t="n">
        <f aca="false">F198-H198</f>
        <v>14</v>
      </c>
      <c r="K198" s="5" t="n">
        <f aca="false">IF(I198&gt;0,1,0)</f>
        <v>0</v>
      </c>
      <c r="L198" s="5" t="n">
        <f aca="false">IF(J198&lt;PuntoReorden,1,0)</f>
        <v>0</v>
      </c>
      <c r="M198" s="18" t="n">
        <f aca="false">PrecioVenta*H198</f>
        <v>2040000</v>
      </c>
      <c r="N198" s="18" t="n">
        <f aca="false">CostoUnitario*E198</f>
        <v>9000000</v>
      </c>
      <c r="O198" s="18" t="n">
        <f aca="false">IF(E198&gt;0,CostoPedido,0)</f>
        <v>40000</v>
      </c>
      <c r="P198" s="18" t="n">
        <f aca="false">CostoAlm*(F198+J198)/2</f>
        <v>1240</v>
      </c>
      <c r="Q198" s="18" t="n">
        <f aca="false">CostoFijo*D198</f>
        <v>0</v>
      </c>
      <c r="R198" s="18" t="n">
        <f aca="false">M198-N198-O198-P198-Q198</f>
        <v>-7001240</v>
      </c>
    </row>
    <row r="199" customFormat="false" ht="15" hidden="false" customHeight="true" outlineLevel="0" collapsed="false">
      <c r="A199" s="5" t="n">
        <f aca="false">A198+1</f>
        <v>194</v>
      </c>
      <c r="B199" s="16" t="n">
        <f aca="false">B198+IF(WEEKDAY(B198,2)=6,2,1)</f>
        <v>46248</v>
      </c>
      <c r="C199" s="5" t="n">
        <f aca="false">MONTH(B199)</f>
        <v>8</v>
      </c>
      <c r="D199" s="5" t="n">
        <f aca="false">IF(C199&lt;&gt;C198,1,0)</f>
        <v>0</v>
      </c>
      <c r="E199" s="5" t="n">
        <f aca="false">IF(L198=1,CantPedido,0)</f>
        <v>0</v>
      </c>
      <c r="F199" s="5" t="n">
        <f aca="false">J198+E199</f>
        <v>14</v>
      </c>
      <c r="G199" s="5" t="n">
        <f aca="true">VLOOKUP(RAND(),TablaEmpirica,2,TRUE())</f>
        <v>6</v>
      </c>
      <c r="H199" s="5" t="n">
        <f aca="false">MIN(F199,G199)</f>
        <v>6</v>
      </c>
      <c r="I199" s="5" t="n">
        <f aca="false">G199-H199</f>
        <v>0</v>
      </c>
      <c r="J199" s="5" t="n">
        <f aca="false">F199-H199</f>
        <v>8</v>
      </c>
      <c r="K199" s="5" t="n">
        <f aca="false">IF(I199&gt;0,1,0)</f>
        <v>0</v>
      </c>
      <c r="L199" s="5" t="n">
        <f aca="false">IF(J199&lt;PuntoReorden,1,0)</f>
        <v>0</v>
      </c>
      <c r="M199" s="18" t="n">
        <f aca="false">PrecioVenta*H199</f>
        <v>4080000</v>
      </c>
      <c r="N199" s="18" t="n">
        <f aca="false">CostoUnitario*E199</f>
        <v>0</v>
      </c>
      <c r="O199" s="18" t="n">
        <f aca="false">IF(E199&gt;0,CostoPedido,0)</f>
        <v>0</v>
      </c>
      <c r="P199" s="18" t="n">
        <f aca="false">CostoAlm*(F199+J199)/2</f>
        <v>880</v>
      </c>
      <c r="Q199" s="18" t="n">
        <f aca="false">CostoFijo*D199</f>
        <v>0</v>
      </c>
      <c r="R199" s="18" t="n">
        <f aca="false">M199-N199-O199-P199-Q199</f>
        <v>4079120</v>
      </c>
    </row>
    <row r="200" customFormat="false" ht="15" hidden="false" customHeight="true" outlineLevel="0" collapsed="false">
      <c r="A200" s="5" t="n">
        <f aca="false">A199+1</f>
        <v>195</v>
      </c>
      <c r="B200" s="16" t="n">
        <f aca="false">B199+IF(WEEKDAY(B199,2)=6,2,1)</f>
        <v>46249</v>
      </c>
      <c r="C200" s="5" t="n">
        <f aca="false">MONTH(B200)</f>
        <v>8</v>
      </c>
      <c r="D200" s="5" t="n">
        <f aca="false">IF(C200&lt;&gt;C199,1,0)</f>
        <v>0</v>
      </c>
      <c r="E200" s="17" t="n">
        <f aca="false">IF(L199=1,CantPedido,0)</f>
        <v>0</v>
      </c>
      <c r="F200" s="5" t="n">
        <f aca="false">J199+E200</f>
        <v>8</v>
      </c>
      <c r="G200" s="5" t="n">
        <f aca="true">VLOOKUP(RAND(),TablaEmpirica,2,TRUE())</f>
        <v>5</v>
      </c>
      <c r="H200" s="5" t="n">
        <f aca="false">MIN(F200,G200)</f>
        <v>5</v>
      </c>
      <c r="I200" s="5" t="n">
        <f aca="false">G200-H200</f>
        <v>0</v>
      </c>
      <c r="J200" s="5" t="n">
        <f aca="false">F200-H200</f>
        <v>3</v>
      </c>
      <c r="K200" s="5" t="n">
        <f aca="false">IF(I200&gt;0,1,0)</f>
        <v>0</v>
      </c>
      <c r="L200" s="5" t="n">
        <f aca="false">IF(J200&lt;PuntoReorden,1,0)</f>
        <v>1</v>
      </c>
      <c r="M200" s="18" t="n">
        <f aca="false">PrecioVenta*H200</f>
        <v>3400000</v>
      </c>
      <c r="N200" s="18" t="n">
        <f aca="false">CostoUnitario*E200</f>
        <v>0</v>
      </c>
      <c r="O200" s="18" t="n">
        <f aca="false">IF(E200&gt;0,CostoPedido,0)</f>
        <v>0</v>
      </c>
      <c r="P200" s="18" t="n">
        <f aca="false">CostoAlm*(F200+J200)/2</f>
        <v>440</v>
      </c>
      <c r="Q200" s="18" t="n">
        <f aca="false">CostoFijo*D200</f>
        <v>0</v>
      </c>
      <c r="R200" s="18" t="n">
        <f aca="false">M200-N200-O200-P200-Q200</f>
        <v>3399560</v>
      </c>
    </row>
    <row r="201" customFormat="false" ht="15" hidden="false" customHeight="true" outlineLevel="0" collapsed="false">
      <c r="A201" s="5" t="n">
        <f aca="false">A200+1</f>
        <v>196</v>
      </c>
      <c r="B201" s="16" t="n">
        <f aca="false">B200+IF(WEEKDAY(B200,2)=6,2,1)</f>
        <v>46251</v>
      </c>
      <c r="C201" s="5" t="n">
        <f aca="false">MONTH(B201)</f>
        <v>8</v>
      </c>
      <c r="D201" s="5" t="n">
        <f aca="false">IF(C201&lt;&gt;C200,1,0)</f>
        <v>0</v>
      </c>
      <c r="E201" s="17" t="n">
        <f aca="false">IF(L200=1,CantPedido,0)</f>
        <v>15</v>
      </c>
      <c r="F201" s="5" t="n">
        <f aca="false">J200+E201</f>
        <v>18</v>
      </c>
      <c r="G201" s="5" t="n">
        <f aca="true">VLOOKUP(RAND(),TablaEmpirica,2,TRUE())</f>
        <v>6</v>
      </c>
      <c r="H201" s="5" t="n">
        <f aca="false">MIN(F201,G201)</f>
        <v>6</v>
      </c>
      <c r="I201" s="5" t="n">
        <f aca="false">G201-H201</f>
        <v>0</v>
      </c>
      <c r="J201" s="5" t="n">
        <f aca="false">F201-H201</f>
        <v>12</v>
      </c>
      <c r="K201" s="5" t="n">
        <f aca="false">IF(I201&gt;0,1,0)</f>
        <v>0</v>
      </c>
      <c r="L201" s="5" t="n">
        <f aca="false">IF(J201&lt;PuntoReorden,1,0)</f>
        <v>0</v>
      </c>
      <c r="M201" s="18" t="n">
        <f aca="false">PrecioVenta*H201</f>
        <v>4080000</v>
      </c>
      <c r="N201" s="18" t="n">
        <f aca="false">CostoUnitario*E201</f>
        <v>9000000</v>
      </c>
      <c r="O201" s="18" t="n">
        <f aca="false">IF(E201&gt;0,CostoPedido,0)</f>
        <v>40000</v>
      </c>
      <c r="P201" s="18" t="n">
        <f aca="false">CostoAlm*(F201+J201)/2</f>
        <v>1200</v>
      </c>
      <c r="Q201" s="18" t="n">
        <f aca="false">CostoFijo*D201</f>
        <v>0</v>
      </c>
      <c r="R201" s="18" t="n">
        <f aca="false">M201-N201-O201-P201-Q201</f>
        <v>-4961200</v>
      </c>
    </row>
    <row r="202" customFormat="false" ht="15" hidden="false" customHeight="true" outlineLevel="0" collapsed="false">
      <c r="A202" s="5" t="n">
        <f aca="false">A201+1</f>
        <v>197</v>
      </c>
      <c r="B202" s="16" t="n">
        <f aca="false">B201+IF(WEEKDAY(B201,2)=6,2,1)</f>
        <v>46252</v>
      </c>
      <c r="C202" s="5" t="n">
        <f aca="false">MONTH(B202)</f>
        <v>8</v>
      </c>
      <c r="D202" s="5" t="n">
        <f aca="false">IF(C202&lt;&gt;C201,1,0)</f>
        <v>0</v>
      </c>
      <c r="E202" s="17" t="n">
        <f aca="false">IF(L201=1,CantPedido,0)</f>
        <v>0</v>
      </c>
      <c r="F202" s="5" t="n">
        <f aca="false">J201+E202</f>
        <v>12</v>
      </c>
      <c r="G202" s="5" t="n">
        <f aca="true">VLOOKUP(RAND(),TablaEmpirica,2,TRUE())</f>
        <v>5</v>
      </c>
      <c r="H202" s="5" t="n">
        <f aca="false">MIN(F202,G202)</f>
        <v>5</v>
      </c>
      <c r="I202" s="5" t="n">
        <f aca="false">G202-H202</f>
        <v>0</v>
      </c>
      <c r="J202" s="5" t="n">
        <f aca="false">F202-H202</f>
        <v>7</v>
      </c>
      <c r="K202" s="5" t="n">
        <f aca="false">IF(I202&gt;0,1,0)</f>
        <v>0</v>
      </c>
      <c r="L202" s="5" t="n">
        <f aca="false">IF(J202&lt;PuntoReorden,1,0)</f>
        <v>0</v>
      </c>
      <c r="M202" s="18" t="n">
        <f aca="false">PrecioVenta*H202</f>
        <v>3400000</v>
      </c>
      <c r="N202" s="18" t="n">
        <f aca="false">CostoUnitario*E202</f>
        <v>0</v>
      </c>
      <c r="O202" s="18" t="n">
        <f aca="false">IF(E202&gt;0,CostoPedido,0)</f>
        <v>0</v>
      </c>
      <c r="P202" s="18" t="n">
        <f aca="false">CostoAlm*(F202+J202)/2</f>
        <v>760</v>
      </c>
      <c r="Q202" s="18" t="n">
        <f aca="false">CostoFijo*D202</f>
        <v>0</v>
      </c>
      <c r="R202" s="18" t="n">
        <f aca="false">M202-N202-O202-P202-Q202</f>
        <v>3399240</v>
      </c>
    </row>
    <row r="203" customFormat="false" ht="15" hidden="false" customHeight="true" outlineLevel="0" collapsed="false">
      <c r="A203" s="5" t="n">
        <f aca="false">A202+1</f>
        <v>198</v>
      </c>
      <c r="B203" s="16" t="n">
        <f aca="false">B202+IF(WEEKDAY(B202,2)=6,2,1)</f>
        <v>46253</v>
      </c>
      <c r="C203" s="5" t="n">
        <f aca="false">MONTH(B203)</f>
        <v>8</v>
      </c>
      <c r="D203" s="5" t="n">
        <f aca="false">IF(C203&lt;&gt;C202,1,0)</f>
        <v>0</v>
      </c>
      <c r="E203" s="5" t="n">
        <f aca="false">IF(L202=1,CantPedido,0)</f>
        <v>0</v>
      </c>
      <c r="F203" s="5" t="n">
        <f aca="false">J202+E203</f>
        <v>7</v>
      </c>
      <c r="G203" s="5" t="n">
        <f aca="true">VLOOKUP(RAND(),TablaEmpirica,2,TRUE())</f>
        <v>4</v>
      </c>
      <c r="H203" s="5" t="n">
        <f aca="false">MIN(F203,G203)</f>
        <v>4</v>
      </c>
      <c r="I203" s="5" t="n">
        <f aca="false">G203-H203</f>
        <v>0</v>
      </c>
      <c r="J203" s="5" t="n">
        <f aca="false">F203-H203</f>
        <v>3</v>
      </c>
      <c r="K203" s="5" t="n">
        <f aca="false">IF(I203&gt;0,1,0)</f>
        <v>0</v>
      </c>
      <c r="L203" s="5" t="n">
        <f aca="false">IF(J203&lt;PuntoReorden,1,0)</f>
        <v>1</v>
      </c>
      <c r="M203" s="18" t="n">
        <f aca="false">PrecioVenta*H203</f>
        <v>2720000</v>
      </c>
      <c r="N203" s="18" t="n">
        <f aca="false">CostoUnitario*E203</f>
        <v>0</v>
      </c>
      <c r="O203" s="18" t="n">
        <f aca="false">IF(E203&gt;0,CostoPedido,0)</f>
        <v>0</v>
      </c>
      <c r="P203" s="18" t="n">
        <f aca="false">CostoAlm*(F203+J203)/2</f>
        <v>400</v>
      </c>
      <c r="Q203" s="18" t="n">
        <f aca="false">CostoFijo*D203</f>
        <v>0</v>
      </c>
      <c r="R203" s="18" t="n">
        <f aca="false">M203-N203-O203-P203-Q203</f>
        <v>2719600</v>
      </c>
    </row>
    <row r="204" customFormat="false" ht="15" hidden="false" customHeight="true" outlineLevel="0" collapsed="false">
      <c r="A204" s="5" t="n">
        <f aca="false">A203+1</f>
        <v>199</v>
      </c>
      <c r="B204" s="16" t="n">
        <f aca="false">B203+IF(WEEKDAY(B203,2)=6,2,1)</f>
        <v>46254</v>
      </c>
      <c r="C204" s="5" t="n">
        <f aca="false">MONTH(B204)</f>
        <v>8</v>
      </c>
      <c r="D204" s="5" t="n">
        <f aca="false">IF(C204&lt;&gt;C203,1,0)</f>
        <v>0</v>
      </c>
      <c r="E204" s="17" t="n">
        <f aca="false">IF(L203=1,CantPedido,0)</f>
        <v>15</v>
      </c>
      <c r="F204" s="5" t="n">
        <f aca="false">J203+E204</f>
        <v>18</v>
      </c>
      <c r="G204" s="5" t="n">
        <f aca="true">VLOOKUP(RAND(),TablaEmpirica,2,TRUE())</f>
        <v>3</v>
      </c>
      <c r="H204" s="5" t="n">
        <f aca="false">MIN(F204,G204)</f>
        <v>3</v>
      </c>
      <c r="I204" s="5" t="n">
        <f aca="false">G204-H204</f>
        <v>0</v>
      </c>
      <c r="J204" s="5" t="n">
        <f aca="false">F204-H204</f>
        <v>15</v>
      </c>
      <c r="K204" s="5" t="n">
        <f aca="false">IF(I204&gt;0,1,0)</f>
        <v>0</v>
      </c>
      <c r="L204" s="5" t="n">
        <f aca="false">IF(J204&lt;PuntoReorden,1,0)</f>
        <v>0</v>
      </c>
      <c r="M204" s="18" t="n">
        <f aca="false">PrecioVenta*H204</f>
        <v>2040000</v>
      </c>
      <c r="N204" s="18" t="n">
        <f aca="false">CostoUnitario*E204</f>
        <v>9000000</v>
      </c>
      <c r="O204" s="18" t="n">
        <f aca="false">IF(E204&gt;0,CostoPedido,0)</f>
        <v>40000</v>
      </c>
      <c r="P204" s="18" t="n">
        <f aca="false">CostoAlm*(F204+J204)/2</f>
        <v>1320</v>
      </c>
      <c r="Q204" s="18" t="n">
        <f aca="false">CostoFijo*D204</f>
        <v>0</v>
      </c>
      <c r="R204" s="18" t="n">
        <f aca="false">M204-N204-O204-P204-Q204</f>
        <v>-7001320</v>
      </c>
    </row>
    <row r="205" customFormat="false" ht="15" hidden="false" customHeight="true" outlineLevel="0" collapsed="false">
      <c r="A205" s="5" t="n">
        <f aca="false">A204+1</f>
        <v>200</v>
      </c>
      <c r="B205" s="16" t="n">
        <f aca="false">B204+IF(WEEKDAY(B204,2)=6,2,1)</f>
        <v>46255</v>
      </c>
      <c r="C205" s="5" t="n">
        <f aca="false">MONTH(B205)</f>
        <v>8</v>
      </c>
      <c r="D205" s="5" t="n">
        <f aca="false">IF(C205&lt;&gt;C204,1,0)</f>
        <v>0</v>
      </c>
      <c r="E205" s="17" t="n">
        <f aca="false">IF(L204=1,CantPedido,0)</f>
        <v>0</v>
      </c>
      <c r="F205" s="5" t="n">
        <f aca="false">J204+E205</f>
        <v>15</v>
      </c>
      <c r="G205" s="5" t="n">
        <f aca="true">VLOOKUP(RAND(),TablaEmpirica,2,TRUE())</f>
        <v>5</v>
      </c>
      <c r="H205" s="5" t="n">
        <f aca="false">MIN(F205,G205)</f>
        <v>5</v>
      </c>
      <c r="I205" s="5" t="n">
        <f aca="false">G205-H205</f>
        <v>0</v>
      </c>
      <c r="J205" s="5" t="n">
        <f aca="false">F205-H205</f>
        <v>10</v>
      </c>
      <c r="K205" s="5" t="n">
        <f aca="false">IF(I205&gt;0,1,0)</f>
        <v>0</v>
      </c>
      <c r="L205" s="5" t="n">
        <f aca="false">IF(J205&lt;PuntoReorden,1,0)</f>
        <v>0</v>
      </c>
      <c r="M205" s="18" t="n">
        <f aca="false">PrecioVenta*H205</f>
        <v>3400000</v>
      </c>
      <c r="N205" s="18" t="n">
        <f aca="false">CostoUnitario*E205</f>
        <v>0</v>
      </c>
      <c r="O205" s="18" t="n">
        <f aca="false">IF(E205&gt;0,CostoPedido,0)</f>
        <v>0</v>
      </c>
      <c r="P205" s="18" t="n">
        <f aca="false">CostoAlm*(F205+J205)/2</f>
        <v>1000</v>
      </c>
      <c r="Q205" s="18" t="n">
        <f aca="false">CostoFijo*D205</f>
        <v>0</v>
      </c>
      <c r="R205" s="18" t="n">
        <f aca="false">M205-N205-O205-P205-Q205</f>
        <v>3399000</v>
      </c>
    </row>
    <row r="206" customFormat="false" ht="15" hidden="false" customHeight="true" outlineLevel="0" collapsed="false">
      <c r="A206" s="5" t="n">
        <f aca="false">A205+1</f>
        <v>201</v>
      </c>
      <c r="B206" s="16" t="n">
        <f aca="false">B205+IF(WEEKDAY(B205,2)=6,2,1)</f>
        <v>46256</v>
      </c>
      <c r="C206" s="5" t="n">
        <f aca="false">MONTH(B206)</f>
        <v>8</v>
      </c>
      <c r="D206" s="5" t="n">
        <f aca="false">IF(C206&lt;&gt;C205,1,0)</f>
        <v>0</v>
      </c>
      <c r="E206" s="5" t="n">
        <f aca="false">IF(L205=1,CantPedido,0)</f>
        <v>0</v>
      </c>
      <c r="F206" s="5" t="n">
        <f aca="false">J205+E206</f>
        <v>10</v>
      </c>
      <c r="G206" s="5" t="n">
        <f aca="true">VLOOKUP(RAND(),TablaEmpirica,2,TRUE())</f>
        <v>6</v>
      </c>
      <c r="H206" s="5" t="n">
        <f aca="false">MIN(F206,G206)</f>
        <v>6</v>
      </c>
      <c r="I206" s="5" t="n">
        <f aca="false">G206-H206</f>
        <v>0</v>
      </c>
      <c r="J206" s="5" t="n">
        <f aca="false">F206-H206</f>
        <v>4</v>
      </c>
      <c r="K206" s="5" t="n">
        <f aca="false">IF(I206&gt;0,1,0)</f>
        <v>0</v>
      </c>
      <c r="L206" s="5" t="n">
        <f aca="false">IF(J206&lt;PuntoReorden,1,0)</f>
        <v>1</v>
      </c>
      <c r="M206" s="18" t="n">
        <f aca="false">PrecioVenta*H206</f>
        <v>4080000</v>
      </c>
      <c r="N206" s="18" t="n">
        <f aca="false">CostoUnitario*E206</f>
        <v>0</v>
      </c>
      <c r="O206" s="18" t="n">
        <f aca="false">IF(E206&gt;0,CostoPedido,0)</f>
        <v>0</v>
      </c>
      <c r="P206" s="18" t="n">
        <f aca="false">CostoAlm*(F206+J206)/2</f>
        <v>560</v>
      </c>
      <c r="Q206" s="18" t="n">
        <f aca="false">CostoFijo*D206</f>
        <v>0</v>
      </c>
      <c r="R206" s="18" t="n">
        <f aca="false">M206-N206-O206-P206-Q206</f>
        <v>4079440</v>
      </c>
    </row>
    <row r="207" customFormat="false" ht="15" hidden="false" customHeight="true" outlineLevel="0" collapsed="false">
      <c r="A207" s="5" t="n">
        <f aca="false">A206+1</f>
        <v>202</v>
      </c>
      <c r="B207" s="16" t="n">
        <f aca="false">B206+IF(WEEKDAY(B206,2)=6,2,1)</f>
        <v>46258</v>
      </c>
      <c r="C207" s="5" t="n">
        <f aca="false">MONTH(B207)</f>
        <v>8</v>
      </c>
      <c r="D207" s="5" t="n">
        <f aca="false">IF(C207&lt;&gt;C206,1,0)</f>
        <v>0</v>
      </c>
      <c r="E207" s="17" t="n">
        <f aca="false">IF(L206=1,CantPedido,0)</f>
        <v>15</v>
      </c>
      <c r="F207" s="5" t="n">
        <f aca="false">J206+E207</f>
        <v>19</v>
      </c>
      <c r="G207" s="5" t="n">
        <f aca="true">VLOOKUP(RAND(),TablaEmpirica,2,TRUE())</f>
        <v>7</v>
      </c>
      <c r="H207" s="5" t="n">
        <f aca="false">MIN(F207,G207)</f>
        <v>7</v>
      </c>
      <c r="I207" s="5" t="n">
        <f aca="false">G207-H207</f>
        <v>0</v>
      </c>
      <c r="J207" s="5" t="n">
        <f aca="false">F207-H207</f>
        <v>12</v>
      </c>
      <c r="K207" s="5" t="n">
        <f aca="false">IF(I207&gt;0,1,0)</f>
        <v>0</v>
      </c>
      <c r="L207" s="5" t="n">
        <f aca="false">IF(J207&lt;PuntoReorden,1,0)</f>
        <v>0</v>
      </c>
      <c r="M207" s="18" t="n">
        <f aca="false">PrecioVenta*H207</f>
        <v>4760000</v>
      </c>
      <c r="N207" s="18" t="n">
        <f aca="false">CostoUnitario*E207</f>
        <v>9000000</v>
      </c>
      <c r="O207" s="18" t="n">
        <f aca="false">IF(E207&gt;0,CostoPedido,0)</f>
        <v>40000</v>
      </c>
      <c r="P207" s="18" t="n">
        <f aca="false">CostoAlm*(F207+J207)/2</f>
        <v>1240</v>
      </c>
      <c r="Q207" s="18" t="n">
        <f aca="false">CostoFijo*D207</f>
        <v>0</v>
      </c>
      <c r="R207" s="18" t="n">
        <f aca="false">M207-N207-O207-P207-Q207</f>
        <v>-4281240</v>
      </c>
    </row>
    <row r="208" customFormat="false" ht="15" hidden="false" customHeight="true" outlineLevel="0" collapsed="false">
      <c r="A208" s="5" t="n">
        <f aca="false">A207+1</f>
        <v>203</v>
      </c>
      <c r="B208" s="16" t="n">
        <f aca="false">B207+IF(WEEKDAY(B207,2)=6,2,1)</f>
        <v>46259</v>
      </c>
      <c r="C208" s="5" t="n">
        <f aca="false">MONTH(B208)</f>
        <v>8</v>
      </c>
      <c r="D208" s="5" t="n">
        <f aca="false">IF(C208&lt;&gt;C207,1,0)</f>
        <v>0</v>
      </c>
      <c r="E208" s="5" t="n">
        <f aca="false">IF(L207=1,CantPedido,0)</f>
        <v>0</v>
      </c>
      <c r="F208" s="5" t="n">
        <f aca="false">J207+E208</f>
        <v>12</v>
      </c>
      <c r="G208" s="5" t="n">
        <f aca="true">VLOOKUP(RAND(),TablaEmpirica,2,TRUE())</f>
        <v>3</v>
      </c>
      <c r="H208" s="5" t="n">
        <f aca="false">MIN(F208,G208)</f>
        <v>3</v>
      </c>
      <c r="I208" s="5" t="n">
        <f aca="false">G208-H208</f>
        <v>0</v>
      </c>
      <c r="J208" s="5" t="n">
        <f aca="false">F208-H208</f>
        <v>9</v>
      </c>
      <c r="K208" s="5" t="n">
        <f aca="false">IF(I208&gt;0,1,0)</f>
        <v>0</v>
      </c>
      <c r="L208" s="5" t="n">
        <f aca="false">IF(J208&lt;PuntoReorden,1,0)</f>
        <v>0</v>
      </c>
      <c r="M208" s="18" t="n">
        <f aca="false">PrecioVenta*H208</f>
        <v>2040000</v>
      </c>
      <c r="N208" s="18" t="n">
        <f aca="false">CostoUnitario*E208</f>
        <v>0</v>
      </c>
      <c r="O208" s="18" t="n">
        <f aca="false">IF(E208&gt;0,CostoPedido,0)</f>
        <v>0</v>
      </c>
      <c r="P208" s="18" t="n">
        <f aca="false">CostoAlm*(F208+J208)/2</f>
        <v>840</v>
      </c>
      <c r="Q208" s="18" t="n">
        <f aca="false">CostoFijo*D208</f>
        <v>0</v>
      </c>
      <c r="R208" s="18" t="n">
        <f aca="false">M208-N208-O208-P208-Q208</f>
        <v>2039160</v>
      </c>
    </row>
    <row r="209" customFormat="false" ht="15" hidden="false" customHeight="true" outlineLevel="0" collapsed="false">
      <c r="A209" s="5" t="n">
        <f aca="false">A208+1</f>
        <v>204</v>
      </c>
      <c r="B209" s="16" t="n">
        <f aca="false">B208+IF(WEEKDAY(B208,2)=6,2,1)</f>
        <v>46260</v>
      </c>
      <c r="C209" s="5" t="n">
        <f aca="false">MONTH(B209)</f>
        <v>8</v>
      </c>
      <c r="D209" s="5" t="n">
        <f aca="false">IF(C209&lt;&gt;C208,1,0)</f>
        <v>0</v>
      </c>
      <c r="E209" s="5" t="n">
        <f aca="false">IF(L208=1,CantPedido,0)</f>
        <v>0</v>
      </c>
      <c r="F209" s="5" t="n">
        <f aca="false">J208+E209</f>
        <v>9</v>
      </c>
      <c r="G209" s="5" t="n">
        <f aca="true">VLOOKUP(RAND(),TablaEmpirica,2,TRUE())</f>
        <v>6</v>
      </c>
      <c r="H209" s="5" t="n">
        <f aca="false">MIN(F209,G209)</f>
        <v>6</v>
      </c>
      <c r="I209" s="5" t="n">
        <f aca="false">G209-H209</f>
        <v>0</v>
      </c>
      <c r="J209" s="5" t="n">
        <f aca="false">F209-H209</f>
        <v>3</v>
      </c>
      <c r="K209" s="5" t="n">
        <f aca="false">IF(I209&gt;0,1,0)</f>
        <v>0</v>
      </c>
      <c r="L209" s="5" t="n">
        <f aca="false">IF(J209&lt;PuntoReorden,1,0)</f>
        <v>1</v>
      </c>
      <c r="M209" s="18" t="n">
        <f aca="false">PrecioVenta*H209</f>
        <v>4080000</v>
      </c>
      <c r="N209" s="18" t="n">
        <f aca="false">CostoUnitario*E209</f>
        <v>0</v>
      </c>
      <c r="O209" s="18" t="n">
        <f aca="false">IF(E209&gt;0,CostoPedido,0)</f>
        <v>0</v>
      </c>
      <c r="P209" s="18" t="n">
        <f aca="false">CostoAlm*(F209+J209)/2</f>
        <v>480</v>
      </c>
      <c r="Q209" s="18" t="n">
        <f aca="false">CostoFijo*D209</f>
        <v>0</v>
      </c>
      <c r="R209" s="18" t="n">
        <f aca="false">M209-N209-O209-P209-Q209</f>
        <v>4079520</v>
      </c>
    </row>
    <row r="210" customFormat="false" ht="15" hidden="false" customHeight="true" outlineLevel="0" collapsed="false">
      <c r="A210" s="5" t="n">
        <f aca="false">A209+1</f>
        <v>205</v>
      </c>
      <c r="B210" s="16" t="n">
        <f aca="false">B209+IF(WEEKDAY(B209,2)=6,2,1)</f>
        <v>46261</v>
      </c>
      <c r="C210" s="5" t="n">
        <f aca="false">MONTH(B210)</f>
        <v>8</v>
      </c>
      <c r="D210" s="5" t="n">
        <f aca="false">IF(C210&lt;&gt;C209,1,0)</f>
        <v>0</v>
      </c>
      <c r="E210" s="17" t="n">
        <f aca="false">IF(L209=1,CantPedido,0)</f>
        <v>15</v>
      </c>
      <c r="F210" s="5" t="n">
        <f aca="false">J209+E210</f>
        <v>18</v>
      </c>
      <c r="G210" s="5" t="n">
        <f aca="true">VLOOKUP(RAND(),TablaEmpirica,2,TRUE())</f>
        <v>4</v>
      </c>
      <c r="H210" s="5" t="n">
        <f aca="false">MIN(F210,G210)</f>
        <v>4</v>
      </c>
      <c r="I210" s="5" t="n">
        <f aca="false">G210-H210</f>
        <v>0</v>
      </c>
      <c r="J210" s="5" t="n">
        <f aca="false">F210-H210</f>
        <v>14</v>
      </c>
      <c r="K210" s="5" t="n">
        <f aca="false">IF(I210&gt;0,1,0)</f>
        <v>0</v>
      </c>
      <c r="L210" s="5" t="n">
        <f aca="false">IF(J210&lt;PuntoReorden,1,0)</f>
        <v>0</v>
      </c>
      <c r="M210" s="18" t="n">
        <f aca="false">PrecioVenta*H210</f>
        <v>2720000</v>
      </c>
      <c r="N210" s="18" t="n">
        <f aca="false">CostoUnitario*E210</f>
        <v>9000000</v>
      </c>
      <c r="O210" s="18" t="n">
        <f aca="false">IF(E210&gt;0,CostoPedido,0)</f>
        <v>40000</v>
      </c>
      <c r="P210" s="18" t="n">
        <f aca="false">CostoAlm*(F210+J210)/2</f>
        <v>1280</v>
      </c>
      <c r="Q210" s="18" t="n">
        <f aca="false">CostoFijo*D210</f>
        <v>0</v>
      </c>
      <c r="R210" s="18" t="n">
        <f aca="false">M210-N210-O210-P210-Q210</f>
        <v>-6321280</v>
      </c>
    </row>
    <row r="211" customFormat="false" ht="15" hidden="false" customHeight="true" outlineLevel="0" collapsed="false">
      <c r="A211" s="5" t="n">
        <f aca="false">A210+1</f>
        <v>206</v>
      </c>
      <c r="B211" s="16" t="n">
        <f aca="false">B210+IF(WEEKDAY(B210,2)=6,2,1)</f>
        <v>46262</v>
      </c>
      <c r="C211" s="5" t="n">
        <f aca="false">MONTH(B211)</f>
        <v>8</v>
      </c>
      <c r="D211" s="5" t="n">
        <f aca="false">IF(C211&lt;&gt;C210,1,0)</f>
        <v>0</v>
      </c>
      <c r="E211" s="17" t="n">
        <f aca="false">IF(L210=1,CantPedido,0)</f>
        <v>0</v>
      </c>
      <c r="F211" s="5" t="n">
        <f aca="false">J210+E211</f>
        <v>14</v>
      </c>
      <c r="G211" s="5" t="n">
        <f aca="true">VLOOKUP(RAND(),TablaEmpirica,2,TRUE())</f>
        <v>5</v>
      </c>
      <c r="H211" s="5" t="n">
        <f aca="false">MIN(F211,G211)</f>
        <v>5</v>
      </c>
      <c r="I211" s="5" t="n">
        <f aca="false">G211-H211</f>
        <v>0</v>
      </c>
      <c r="J211" s="5" t="n">
        <f aca="false">F211-H211</f>
        <v>9</v>
      </c>
      <c r="K211" s="5" t="n">
        <f aca="false">IF(I211&gt;0,1,0)</f>
        <v>0</v>
      </c>
      <c r="L211" s="5" t="n">
        <f aca="false">IF(J211&lt;PuntoReorden,1,0)</f>
        <v>0</v>
      </c>
      <c r="M211" s="18" t="n">
        <f aca="false">PrecioVenta*H211</f>
        <v>3400000</v>
      </c>
      <c r="N211" s="18" t="n">
        <f aca="false">CostoUnitario*E211</f>
        <v>0</v>
      </c>
      <c r="O211" s="18" t="n">
        <f aca="false">IF(E211&gt;0,CostoPedido,0)</f>
        <v>0</v>
      </c>
      <c r="P211" s="18" t="n">
        <f aca="false">CostoAlm*(F211+J211)/2</f>
        <v>920</v>
      </c>
      <c r="Q211" s="18" t="n">
        <f aca="false">CostoFijo*D211</f>
        <v>0</v>
      </c>
      <c r="R211" s="18" t="n">
        <f aca="false">M211-N211-O211-P211-Q211</f>
        <v>3399080</v>
      </c>
    </row>
    <row r="212" customFormat="false" ht="15" hidden="false" customHeight="true" outlineLevel="0" collapsed="false">
      <c r="A212" s="5" t="n">
        <f aca="false">A211+1</f>
        <v>207</v>
      </c>
      <c r="B212" s="16" t="n">
        <f aca="false">B211+IF(WEEKDAY(B211,2)=6,2,1)</f>
        <v>46263</v>
      </c>
      <c r="C212" s="5" t="n">
        <f aca="false">MONTH(B212)</f>
        <v>8</v>
      </c>
      <c r="D212" s="5" t="n">
        <f aca="false">IF(C212&lt;&gt;C211,1,0)</f>
        <v>0</v>
      </c>
      <c r="E212" s="5" t="n">
        <f aca="false">IF(L211=1,CantPedido,0)</f>
        <v>0</v>
      </c>
      <c r="F212" s="5" t="n">
        <f aca="false">J211+E212</f>
        <v>9</v>
      </c>
      <c r="G212" s="5" t="n">
        <f aca="true">VLOOKUP(RAND(),TablaEmpirica,2,TRUE())</f>
        <v>5</v>
      </c>
      <c r="H212" s="5" t="n">
        <f aca="false">MIN(F212,G212)</f>
        <v>5</v>
      </c>
      <c r="I212" s="5" t="n">
        <f aca="false">G212-H212</f>
        <v>0</v>
      </c>
      <c r="J212" s="5" t="n">
        <f aca="false">F212-H212</f>
        <v>4</v>
      </c>
      <c r="K212" s="5" t="n">
        <f aca="false">IF(I212&gt;0,1,0)</f>
        <v>0</v>
      </c>
      <c r="L212" s="5" t="n">
        <f aca="false">IF(J212&lt;PuntoReorden,1,0)</f>
        <v>1</v>
      </c>
      <c r="M212" s="18" t="n">
        <f aca="false">PrecioVenta*H212</f>
        <v>3400000</v>
      </c>
      <c r="N212" s="18" t="n">
        <f aca="false">CostoUnitario*E212</f>
        <v>0</v>
      </c>
      <c r="O212" s="18" t="n">
        <f aca="false">IF(E212&gt;0,CostoPedido,0)</f>
        <v>0</v>
      </c>
      <c r="P212" s="18" t="n">
        <f aca="false">CostoAlm*(F212+J212)/2</f>
        <v>520</v>
      </c>
      <c r="Q212" s="18" t="n">
        <f aca="false">CostoFijo*D212</f>
        <v>0</v>
      </c>
      <c r="R212" s="18" t="n">
        <f aca="false">M212-N212-O212-P212-Q212</f>
        <v>3399480</v>
      </c>
    </row>
    <row r="213" customFormat="false" ht="15" hidden="false" customHeight="true" outlineLevel="0" collapsed="false">
      <c r="A213" s="5" t="n">
        <f aca="false">A212+1</f>
        <v>208</v>
      </c>
      <c r="B213" s="16" t="n">
        <f aca="false">B212+IF(WEEKDAY(B212,2)=6,2,1)</f>
        <v>46265</v>
      </c>
      <c r="C213" s="5" t="n">
        <f aca="false">MONTH(B213)</f>
        <v>8</v>
      </c>
      <c r="D213" s="5" t="n">
        <f aca="false">IF(C213&lt;&gt;C212,1,0)</f>
        <v>0</v>
      </c>
      <c r="E213" s="17" t="n">
        <f aca="false">IF(L212=1,CantPedido,0)</f>
        <v>15</v>
      </c>
      <c r="F213" s="5" t="n">
        <f aca="false">J212+E213</f>
        <v>19</v>
      </c>
      <c r="G213" s="5" t="n">
        <f aca="true">VLOOKUP(RAND(),TablaEmpirica,2,TRUE())</f>
        <v>6</v>
      </c>
      <c r="H213" s="5" t="n">
        <f aca="false">MIN(F213,G213)</f>
        <v>6</v>
      </c>
      <c r="I213" s="5" t="n">
        <f aca="false">G213-H213</f>
        <v>0</v>
      </c>
      <c r="J213" s="5" t="n">
        <f aca="false">F213-H213</f>
        <v>13</v>
      </c>
      <c r="K213" s="5" t="n">
        <f aca="false">IF(I213&gt;0,1,0)</f>
        <v>0</v>
      </c>
      <c r="L213" s="5" t="n">
        <f aca="false">IF(J213&lt;PuntoReorden,1,0)</f>
        <v>0</v>
      </c>
      <c r="M213" s="18" t="n">
        <f aca="false">PrecioVenta*H213</f>
        <v>4080000</v>
      </c>
      <c r="N213" s="18" t="n">
        <f aca="false">CostoUnitario*E213</f>
        <v>9000000</v>
      </c>
      <c r="O213" s="18" t="n">
        <f aca="false">IF(E213&gt;0,CostoPedido,0)</f>
        <v>40000</v>
      </c>
      <c r="P213" s="18" t="n">
        <f aca="false">CostoAlm*(F213+J213)/2</f>
        <v>1280</v>
      </c>
      <c r="Q213" s="18" t="n">
        <f aca="false">CostoFijo*D213</f>
        <v>0</v>
      </c>
      <c r="R213" s="18" t="n">
        <f aca="false">M213-N213-O213-P213-Q213</f>
        <v>-4961280</v>
      </c>
    </row>
    <row r="214" customFormat="false" ht="15" hidden="false" customHeight="true" outlineLevel="0" collapsed="false">
      <c r="A214" s="5" t="n">
        <f aca="false">A213+1</f>
        <v>209</v>
      </c>
      <c r="B214" s="16" t="n">
        <f aca="false">B213+IF(WEEKDAY(B213,2)=6,2,1)</f>
        <v>46266</v>
      </c>
      <c r="C214" s="5" t="n">
        <f aca="false">MONTH(B214)</f>
        <v>9</v>
      </c>
      <c r="D214" s="5" t="n">
        <f aca="false">IF(C214&lt;&gt;C213,1,0)</f>
        <v>1</v>
      </c>
      <c r="E214" s="5" t="n">
        <f aca="false">IF(L213=1,CantPedido,0)</f>
        <v>0</v>
      </c>
      <c r="F214" s="5" t="n">
        <f aca="false">J213+E214</f>
        <v>13</v>
      </c>
      <c r="G214" s="5" t="n">
        <f aca="true">VLOOKUP(RAND(),TablaEmpirica,2,TRUE())</f>
        <v>6</v>
      </c>
      <c r="H214" s="5" t="n">
        <f aca="false">MIN(F214,G214)</f>
        <v>6</v>
      </c>
      <c r="I214" s="5" t="n">
        <f aca="false">G214-H214</f>
        <v>0</v>
      </c>
      <c r="J214" s="5" t="n">
        <f aca="false">F214-H214</f>
        <v>7</v>
      </c>
      <c r="K214" s="5" t="n">
        <f aca="false">IF(I214&gt;0,1,0)</f>
        <v>0</v>
      </c>
      <c r="L214" s="5" t="n">
        <f aca="false">IF(J214&lt;PuntoReorden,1,0)</f>
        <v>0</v>
      </c>
      <c r="M214" s="18" t="n">
        <f aca="false">PrecioVenta*H214</f>
        <v>4080000</v>
      </c>
      <c r="N214" s="18" t="n">
        <f aca="false">CostoUnitario*E214</f>
        <v>0</v>
      </c>
      <c r="O214" s="18" t="n">
        <f aca="false">IF(E214&gt;0,CostoPedido,0)</f>
        <v>0</v>
      </c>
      <c r="P214" s="18" t="n">
        <f aca="false">CostoAlm*(F214+J214)/2</f>
        <v>800</v>
      </c>
      <c r="Q214" s="18" t="n">
        <f aca="false">CostoFijo*D214</f>
        <v>1000000</v>
      </c>
      <c r="R214" s="18" t="n">
        <f aca="false">M214-N214-O214-P214-Q214</f>
        <v>3079200</v>
      </c>
    </row>
    <row r="215" customFormat="false" ht="15" hidden="false" customHeight="true" outlineLevel="0" collapsed="false">
      <c r="A215" s="5" t="n">
        <f aca="false">A214+1</f>
        <v>210</v>
      </c>
      <c r="B215" s="16" t="n">
        <f aca="false">B214+IF(WEEKDAY(B214,2)=6,2,1)</f>
        <v>46267</v>
      </c>
      <c r="C215" s="5" t="n">
        <f aca="false">MONTH(B215)</f>
        <v>9</v>
      </c>
      <c r="D215" s="5" t="n">
        <f aca="false">IF(C215&lt;&gt;C214,1,0)</f>
        <v>0</v>
      </c>
      <c r="E215" s="17" t="n">
        <f aca="false">IF(L214=1,CantPedido,0)</f>
        <v>0</v>
      </c>
      <c r="F215" s="5" t="n">
        <f aca="false">J214+E215</f>
        <v>7</v>
      </c>
      <c r="G215" s="5" t="n">
        <f aca="true">VLOOKUP(RAND(),TablaEmpirica,2,TRUE())</f>
        <v>3</v>
      </c>
      <c r="H215" s="5" t="n">
        <f aca="false">MIN(F215,G215)</f>
        <v>3</v>
      </c>
      <c r="I215" s="5" t="n">
        <f aca="false">G215-H215</f>
        <v>0</v>
      </c>
      <c r="J215" s="5" t="n">
        <f aca="false">F215-H215</f>
        <v>4</v>
      </c>
      <c r="K215" s="5" t="n">
        <f aca="false">IF(I215&gt;0,1,0)</f>
        <v>0</v>
      </c>
      <c r="L215" s="5" t="n">
        <f aca="false">IF(J215&lt;PuntoReorden,1,0)</f>
        <v>1</v>
      </c>
      <c r="M215" s="18" t="n">
        <f aca="false">PrecioVenta*H215</f>
        <v>2040000</v>
      </c>
      <c r="N215" s="18" t="n">
        <f aca="false">CostoUnitario*E215</f>
        <v>0</v>
      </c>
      <c r="O215" s="18" t="n">
        <f aca="false">IF(E215&gt;0,CostoPedido,0)</f>
        <v>0</v>
      </c>
      <c r="P215" s="18" t="n">
        <f aca="false">CostoAlm*(F215+J215)/2</f>
        <v>440</v>
      </c>
      <c r="Q215" s="18" t="n">
        <f aca="false">CostoFijo*D215</f>
        <v>0</v>
      </c>
      <c r="R215" s="18" t="n">
        <f aca="false">M215-N215-O215-P215-Q215</f>
        <v>2039560</v>
      </c>
    </row>
    <row r="216" customFormat="false" ht="15" hidden="false" customHeight="true" outlineLevel="0" collapsed="false">
      <c r="A216" s="5" t="n">
        <f aca="false">A215+1</f>
        <v>211</v>
      </c>
      <c r="B216" s="16" t="n">
        <f aca="false">B215+IF(WEEKDAY(B215,2)=6,2,1)</f>
        <v>46268</v>
      </c>
      <c r="C216" s="5" t="n">
        <f aca="false">MONTH(B216)</f>
        <v>9</v>
      </c>
      <c r="D216" s="5" t="n">
        <f aca="false">IF(C216&lt;&gt;C215,1,0)</f>
        <v>0</v>
      </c>
      <c r="E216" s="17" t="n">
        <f aca="false">IF(L215=1,CantPedido,0)</f>
        <v>15</v>
      </c>
      <c r="F216" s="5" t="n">
        <f aca="false">J215+E216</f>
        <v>19</v>
      </c>
      <c r="G216" s="5" t="n">
        <f aca="true">VLOOKUP(RAND(),TablaEmpirica,2,TRUE())</f>
        <v>6</v>
      </c>
      <c r="H216" s="5" t="n">
        <f aca="false">MIN(F216,G216)</f>
        <v>6</v>
      </c>
      <c r="I216" s="5" t="n">
        <f aca="false">G216-H216</f>
        <v>0</v>
      </c>
      <c r="J216" s="5" t="n">
        <f aca="false">F216-H216</f>
        <v>13</v>
      </c>
      <c r="K216" s="5" t="n">
        <f aca="false">IF(I216&gt;0,1,0)</f>
        <v>0</v>
      </c>
      <c r="L216" s="5" t="n">
        <f aca="false">IF(J216&lt;PuntoReorden,1,0)</f>
        <v>0</v>
      </c>
      <c r="M216" s="18" t="n">
        <f aca="false">PrecioVenta*H216</f>
        <v>4080000</v>
      </c>
      <c r="N216" s="18" t="n">
        <f aca="false">CostoUnitario*E216</f>
        <v>9000000</v>
      </c>
      <c r="O216" s="18" t="n">
        <f aca="false">IF(E216&gt;0,CostoPedido,0)</f>
        <v>40000</v>
      </c>
      <c r="P216" s="18" t="n">
        <f aca="false">CostoAlm*(F216+J216)/2</f>
        <v>1280</v>
      </c>
      <c r="Q216" s="18" t="n">
        <f aca="false">CostoFijo*D216</f>
        <v>0</v>
      </c>
      <c r="R216" s="18" t="n">
        <f aca="false">M216-N216-O216-P216-Q216</f>
        <v>-4961280</v>
      </c>
    </row>
    <row r="217" customFormat="false" ht="15" hidden="false" customHeight="true" outlineLevel="0" collapsed="false">
      <c r="A217" s="5" t="n">
        <f aca="false">A216+1</f>
        <v>212</v>
      </c>
      <c r="B217" s="16" t="n">
        <f aca="false">B216+IF(WEEKDAY(B216,2)=6,2,1)</f>
        <v>46269</v>
      </c>
      <c r="C217" s="5" t="n">
        <f aca="false">MONTH(B217)</f>
        <v>9</v>
      </c>
      <c r="D217" s="5" t="n">
        <f aca="false">IF(C217&lt;&gt;C216,1,0)</f>
        <v>0</v>
      </c>
      <c r="E217" s="5" t="n">
        <f aca="false">IF(L216=1,CantPedido,0)</f>
        <v>0</v>
      </c>
      <c r="F217" s="5" t="n">
        <f aca="false">J216+E217</f>
        <v>13</v>
      </c>
      <c r="G217" s="5" t="n">
        <f aca="true">VLOOKUP(RAND(),TablaEmpirica,2,TRUE())</f>
        <v>5</v>
      </c>
      <c r="H217" s="5" t="n">
        <f aca="false">MIN(F217,G217)</f>
        <v>5</v>
      </c>
      <c r="I217" s="5" t="n">
        <f aca="false">G217-H217</f>
        <v>0</v>
      </c>
      <c r="J217" s="5" t="n">
        <f aca="false">F217-H217</f>
        <v>8</v>
      </c>
      <c r="K217" s="5" t="n">
        <f aca="false">IF(I217&gt;0,1,0)</f>
        <v>0</v>
      </c>
      <c r="L217" s="5" t="n">
        <f aca="false">IF(J217&lt;PuntoReorden,1,0)</f>
        <v>0</v>
      </c>
      <c r="M217" s="18" t="n">
        <f aca="false">PrecioVenta*H217</f>
        <v>3400000</v>
      </c>
      <c r="N217" s="18" t="n">
        <f aca="false">CostoUnitario*E217</f>
        <v>0</v>
      </c>
      <c r="O217" s="18" t="n">
        <f aca="false">IF(E217&gt;0,CostoPedido,0)</f>
        <v>0</v>
      </c>
      <c r="P217" s="18" t="n">
        <f aca="false">CostoAlm*(F217+J217)/2</f>
        <v>840</v>
      </c>
      <c r="Q217" s="18" t="n">
        <f aca="false">CostoFijo*D217</f>
        <v>0</v>
      </c>
      <c r="R217" s="18" t="n">
        <f aca="false">M217-N217-O217-P217-Q217</f>
        <v>3399160</v>
      </c>
    </row>
    <row r="218" customFormat="false" ht="15" hidden="false" customHeight="true" outlineLevel="0" collapsed="false">
      <c r="A218" s="5" t="n">
        <f aca="false">A217+1</f>
        <v>213</v>
      </c>
      <c r="B218" s="16" t="n">
        <f aca="false">B217+IF(WEEKDAY(B217,2)=6,2,1)</f>
        <v>46270</v>
      </c>
      <c r="C218" s="5" t="n">
        <f aca="false">MONTH(B218)</f>
        <v>9</v>
      </c>
      <c r="D218" s="5" t="n">
        <f aca="false">IF(C218&lt;&gt;C217,1,0)</f>
        <v>0</v>
      </c>
      <c r="E218" s="17" t="n">
        <f aca="false">IF(L217=1,CantPedido,0)</f>
        <v>0</v>
      </c>
      <c r="F218" s="5" t="n">
        <f aca="false">J217+E218</f>
        <v>8</v>
      </c>
      <c r="G218" s="5" t="n">
        <f aca="true">VLOOKUP(RAND(),TablaEmpirica,2,TRUE())</f>
        <v>6</v>
      </c>
      <c r="H218" s="5" t="n">
        <f aca="false">MIN(F218,G218)</f>
        <v>6</v>
      </c>
      <c r="I218" s="5" t="n">
        <f aca="false">G218-H218</f>
        <v>0</v>
      </c>
      <c r="J218" s="5" t="n">
        <f aca="false">F218-H218</f>
        <v>2</v>
      </c>
      <c r="K218" s="5" t="n">
        <f aca="false">IF(I218&gt;0,1,0)</f>
        <v>0</v>
      </c>
      <c r="L218" s="5" t="n">
        <f aca="false">IF(J218&lt;PuntoReorden,1,0)</f>
        <v>1</v>
      </c>
      <c r="M218" s="18" t="n">
        <f aca="false">PrecioVenta*H218</f>
        <v>4080000</v>
      </c>
      <c r="N218" s="18" t="n">
        <f aca="false">CostoUnitario*E218</f>
        <v>0</v>
      </c>
      <c r="O218" s="18" t="n">
        <f aca="false">IF(E218&gt;0,CostoPedido,0)</f>
        <v>0</v>
      </c>
      <c r="P218" s="18" t="n">
        <f aca="false">CostoAlm*(F218+J218)/2</f>
        <v>400</v>
      </c>
      <c r="Q218" s="18" t="n">
        <f aca="false">CostoFijo*D218</f>
        <v>0</v>
      </c>
      <c r="R218" s="18" t="n">
        <f aca="false">M218-N218-O218-P218-Q218</f>
        <v>4079600</v>
      </c>
    </row>
    <row r="219" customFormat="false" ht="15" hidden="false" customHeight="true" outlineLevel="0" collapsed="false">
      <c r="A219" s="5" t="n">
        <f aca="false">A218+1</f>
        <v>214</v>
      </c>
      <c r="B219" s="16" t="n">
        <f aca="false">B218+IF(WEEKDAY(B218,2)=6,2,1)</f>
        <v>46272</v>
      </c>
      <c r="C219" s="5" t="n">
        <f aca="false">MONTH(B219)</f>
        <v>9</v>
      </c>
      <c r="D219" s="5" t="n">
        <f aca="false">IF(C219&lt;&gt;C218,1,0)</f>
        <v>0</v>
      </c>
      <c r="E219" s="17" t="n">
        <f aca="false">IF(L218=1,CantPedido,0)</f>
        <v>15</v>
      </c>
      <c r="F219" s="5" t="n">
        <f aca="false">J218+E219</f>
        <v>17</v>
      </c>
      <c r="G219" s="5" t="n">
        <f aca="true">VLOOKUP(RAND(),TablaEmpirica,2,TRUE())</f>
        <v>5</v>
      </c>
      <c r="H219" s="5" t="n">
        <f aca="false">MIN(F219,G219)</f>
        <v>5</v>
      </c>
      <c r="I219" s="5" t="n">
        <f aca="false">G219-H219</f>
        <v>0</v>
      </c>
      <c r="J219" s="5" t="n">
        <f aca="false">F219-H219</f>
        <v>12</v>
      </c>
      <c r="K219" s="5" t="n">
        <f aca="false">IF(I219&gt;0,1,0)</f>
        <v>0</v>
      </c>
      <c r="L219" s="5" t="n">
        <f aca="false">IF(J219&lt;PuntoReorden,1,0)</f>
        <v>0</v>
      </c>
      <c r="M219" s="18" t="n">
        <f aca="false">PrecioVenta*H219</f>
        <v>3400000</v>
      </c>
      <c r="N219" s="18" t="n">
        <f aca="false">CostoUnitario*E219</f>
        <v>9000000</v>
      </c>
      <c r="O219" s="18" t="n">
        <f aca="false">IF(E219&gt;0,CostoPedido,0)</f>
        <v>40000</v>
      </c>
      <c r="P219" s="18" t="n">
        <f aca="false">CostoAlm*(F219+J219)/2</f>
        <v>1160</v>
      </c>
      <c r="Q219" s="18" t="n">
        <f aca="false">CostoFijo*D219</f>
        <v>0</v>
      </c>
      <c r="R219" s="18" t="n">
        <f aca="false">M219-N219-O219-P219-Q219</f>
        <v>-5641160</v>
      </c>
    </row>
    <row r="220" customFormat="false" ht="15" hidden="false" customHeight="true" outlineLevel="0" collapsed="false">
      <c r="A220" s="5" t="n">
        <f aca="false">A219+1</f>
        <v>215</v>
      </c>
      <c r="B220" s="16" t="n">
        <f aca="false">B219+IF(WEEKDAY(B219,2)=6,2,1)</f>
        <v>46273</v>
      </c>
      <c r="C220" s="5" t="n">
        <f aca="false">MONTH(B220)</f>
        <v>9</v>
      </c>
      <c r="D220" s="5" t="n">
        <f aca="false">IF(C220&lt;&gt;C219,1,0)</f>
        <v>0</v>
      </c>
      <c r="E220" s="5" t="n">
        <f aca="false">IF(L219=1,CantPedido,0)</f>
        <v>0</v>
      </c>
      <c r="F220" s="5" t="n">
        <f aca="false">J219+E220</f>
        <v>12</v>
      </c>
      <c r="G220" s="5" t="n">
        <f aca="true">VLOOKUP(RAND(),TablaEmpirica,2,TRUE())</f>
        <v>5</v>
      </c>
      <c r="H220" s="5" t="n">
        <f aca="false">MIN(F220,G220)</f>
        <v>5</v>
      </c>
      <c r="I220" s="5" t="n">
        <f aca="false">G220-H220</f>
        <v>0</v>
      </c>
      <c r="J220" s="5" t="n">
        <f aca="false">F220-H220</f>
        <v>7</v>
      </c>
      <c r="K220" s="5" t="n">
        <f aca="false">IF(I220&gt;0,1,0)</f>
        <v>0</v>
      </c>
      <c r="L220" s="5" t="n">
        <f aca="false">IF(J220&lt;PuntoReorden,1,0)</f>
        <v>0</v>
      </c>
      <c r="M220" s="18" t="n">
        <f aca="false">PrecioVenta*H220</f>
        <v>3400000</v>
      </c>
      <c r="N220" s="18" t="n">
        <f aca="false">CostoUnitario*E220</f>
        <v>0</v>
      </c>
      <c r="O220" s="18" t="n">
        <f aca="false">IF(E220&gt;0,CostoPedido,0)</f>
        <v>0</v>
      </c>
      <c r="P220" s="18" t="n">
        <f aca="false">CostoAlm*(F220+J220)/2</f>
        <v>760</v>
      </c>
      <c r="Q220" s="18" t="n">
        <f aca="false">CostoFijo*D220</f>
        <v>0</v>
      </c>
      <c r="R220" s="18" t="n">
        <f aca="false">M220-N220-O220-P220-Q220</f>
        <v>3399240</v>
      </c>
    </row>
    <row r="221" customFormat="false" ht="15" hidden="false" customHeight="true" outlineLevel="0" collapsed="false">
      <c r="A221" s="5" t="n">
        <f aca="false">A220+1</f>
        <v>216</v>
      </c>
      <c r="B221" s="16" t="n">
        <f aca="false">B220+IF(WEEKDAY(B220,2)=6,2,1)</f>
        <v>46274</v>
      </c>
      <c r="C221" s="5" t="n">
        <f aca="false">MONTH(B221)</f>
        <v>9</v>
      </c>
      <c r="D221" s="5" t="n">
        <f aca="false">IF(C221&lt;&gt;C220,1,0)</f>
        <v>0</v>
      </c>
      <c r="E221" s="5" t="n">
        <f aca="false">IF(L220=1,CantPedido,0)</f>
        <v>0</v>
      </c>
      <c r="F221" s="5" t="n">
        <f aca="false">J220+E221</f>
        <v>7</v>
      </c>
      <c r="G221" s="5" t="n">
        <f aca="true">VLOOKUP(RAND(),TablaEmpirica,2,TRUE())</f>
        <v>5</v>
      </c>
      <c r="H221" s="5" t="n">
        <f aca="false">MIN(F221,G221)</f>
        <v>5</v>
      </c>
      <c r="I221" s="5" t="n">
        <f aca="false">G221-H221</f>
        <v>0</v>
      </c>
      <c r="J221" s="5" t="n">
        <f aca="false">F221-H221</f>
        <v>2</v>
      </c>
      <c r="K221" s="5" t="n">
        <f aca="false">IF(I221&gt;0,1,0)</f>
        <v>0</v>
      </c>
      <c r="L221" s="5" t="n">
        <f aca="false">IF(J221&lt;PuntoReorden,1,0)</f>
        <v>1</v>
      </c>
      <c r="M221" s="18" t="n">
        <f aca="false">PrecioVenta*H221</f>
        <v>3400000</v>
      </c>
      <c r="N221" s="18" t="n">
        <f aca="false">CostoUnitario*E221</f>
        <v>0</v>
      </c>
      <c r="O221" s="18" t="n">
        <f aca="false">IF(E221&gt;0,CostoPedido,0)</f>
        <v>0</v>
      </c>
      <c r="P221" s="18" t="n">
        <f aca="false">CostoAlm*(F221+J221)/2</f>
        <v>360</v>
      </c>
      <c r="Q221" s="18" t="n">
        <f aca="false">CostoFijo*D221</f>
        <v>0</v>
      </c>
      <c r="R221" s="18" t="n">
        <f aca="false">M221-N221-O221-P221-Q221</f>
        <v>3399640</v>
      </c>
    </row>
    <row r="222" customFormat="false" ht="15" hidden="false" customHeight="true" outlineLevel="0" collapsed="false">
      <c r="A222" s="5" t="n">
        <f aca="false">A221+1</f>
        <v>217</v>
      </c>
      <c r="B222" s="16" t="n">
        <f aca="false">B221+IF(WEEKDAY(B221,2)=6,2,1)</f>
        <v>46275</v>
      </c>
      <c r="C222" s="5" t="n">
        <f aca="false">MONTH(B222)</f>
        <v>9</v>
      </c>
      <c r="D222" s="5" t="n">
        <f aca="false">IF(C222&lt;&gt;C221,1,0)</f>
        <v>0</v>
      </c>
      <c r="E222" s="17" t="n">
        <f aca="false">IF(L221=1,CantPedido,0)</f>
        <v>15</v>
      </c>
      <c r="F222" s="5" t="n">
        <f aca="false">J221+E222</f>
        <v>17</v>
      </c>
      <c r="G222" s="5" t="n">
        <f aca="true">VLOOKUP(RAND(),TablaEmpirica,2,TRUE())</f>
        <v>4</v>
      </c>
      <c r="H222" s="5" t="n">
        <f aca="false">MIN(F222,G222)</f>
        <v>4</v>
      </c>
      <c r="I222" s="5" t="n">
        <f aca="false">G222-H222</f>
        <v>0</v>
      </c>
      <c r="J222" s="5" t="n">
        <f aca="false">F222-H222</f>
        <v>13</v>
      </c>
      <c r="K222" s="5" t="n">
        <f aca="false">IF(I222&gt;0,1,0)</f>
        <v>0</v>
      </c>
      <c r="L222" s="5" t="n">
        <f aca="false">IF(J222&lt;PuntoReorden,1,0)</f>
        <v>0</v>
      </c>
      <c r="M222" s="18" t="n">
        <f aca="false">PrecioVenta*H222</f>
        <v>2720000</v>
      </c>
      <c r="N222" s="18" t="n">
        <f aca="false">CostoUnitario*E222</f>
        <v>9000000</v>
      </c>
      <c r="O222" s="18" t="n">
        <f aca="false">IF(E222&gt;0,CostoPedido,0)</f>
        <v>40000</v>
      </c>
      <c r="P222" s="18" t="n">
        <f aca="false">CostoAlm*(F222+J222)/2</f>
        <v>1200</v>
      </c>
      <c r="Q222" s="18" t="n">
        <f aca="false">CostoFijo*D222</f>
        <v>0</v>
      </c>
      <c r="R222" s="18" t="n">
        <f aca="false">M222-N222-O222-P222-Q222</f>
        <v>-6321200</v>
      </c>
    </row>
    <row r="223" customFormat="false" ht="15" hidden="false" customHeight="true" outlineLevel="0" collapsed="false">
      <c r="A223" s="5" t="n">
        <f aca="false">A222+1</f>
        <v>218</v>
      </c>
      <c r="B223" s="16" t="n">
        <f aca="false">B222+IF(WEEKDAY(B222,2)=6,2,1)</f>
        <v>46276</v>
      </c>
      <c r="C223" s="5" t="n">
        <f aca="false">MONTH(B223)</f>
        <v>9</v>
      </c>
      <c r="D223" s="5" t="n">
        <f aca="false">IF(C223&lt;&gt;C222,1,0)</f>
        <v>0</v>
      </c>
      <c r="E223" s="5" t="n">
        <f aca="false">IF(L222=1,CantPedido,0)</f>
        <v>0</v>
      </c>
      <c r="F223" s="5" t="n">
        <f aca="false">J222+E223</f>
        <v>13</v>
      </c>
      <c r="G223" s="5" t="n">
        <f aca="true">VLOOKUP(RAND(),TablaEmpirica,2,TRUE())</f>
        <v>4</v>
      </c>
      <c r="H223" s="5" t="n">
        <f aca="false">MIN(F223,G223)</f>
        <v>4</v>
      </c>
      <c r="I223" s="5" t="n">
        <f aca="false">G223-H223</f>
        <v>0</v>
      </c>
      <c r="J223" s="5" t="n">
        <f aca="false">F223-H223</f>
        <v>9</v>
      </c>
      <c r="K223" s="5" t="n">
        <f aca="false">IF(I223&gt;0,1,0)</f>
        <v>0</v>
      </c>
      <c r="L223" s="5" t="n">
        <f aca="false">IF(J223&lt;PuntoReorden,1,0)</f>
        <v>0</v>
      </c>
      <c r="M223" s="18" t="n">
        <f aca="false">PrecioVenta*H223</f>
        <v>2720000</v>
      </c>
      <c r="N223" s="18" t="n">
        <f aca="false">CostoUnitario*E223</f>
        <v>0</v>
      </c>
      <c r="O223" s="18" t="n">
        <f aca="false">IF(E223&gt;0,CostoPedido,0)</f>
        <v>0</v>
      </c>
      <c r="P223" s="18" t="n">
        <f aca="false">CostoAlm*(F223+J223)/2</f>
        <v>880</v>
      </c>
      <c r="Q223" s="18" t="n">
        <f aca="false">CostoFijo*D223</f>
        <v>0</v>
      </c>
      <c r="R223" s="18" t="n">
        <f aca="false">M223-N223-O223-P223-Q223</f>
        <v>2719120</v>
      </c>
    </row>
    <row r="224" customFormat="false" ht="15" hidden="false" customHeight="true" outlineLevel="0" collapsed="false">
      <c r="A224" s="5" t="n">
        <f aca="false">A223+1</f>
        <v>219</v>
      </c>
      <c r="B224" s="16" t="n">
        <f aca="false">B223+IF(WEEKDAY(B223,2)=6,2,1)</f>
        <v>46277</v>
      </c>
      <c r="C224" s="5" t="n">
        <f aca="false">MONTH(B224)</f>
        <v>9</v>
      </c>
      <c r="D224" s="5" t="n">
        <f aca="false">IF(C224&lt;&gt;C223,1,0)</f>
        <v>0</v>
      </c>
      <c r="E224" s="17" t="n">
        <f aca="false">IF(L223=1,CantPedido,0)</f>
        <v>0</v>
      </c>
      <c r="F224" s="5" t="n">
        <f aca="false">J223+E224</f>
        <v>9</v>
      </c>
      <c r="G224" s="5" t="n">
        <f aca="true">VLOOKUP(RAND(),TablaEmpirica,2,TRUE())</f>
        <v>5</v>
      </c>
      <c r="H224" s="5" t="n">
        <f aca="false">MIN(F224,G224)</f>
        <v>5</v>
      </c>
      <c r="I224" s="5" t="n">
        <f aca="false">G224-H224</f>
        <v>0</v>
      </c>
      <c r="J224" s="5" t="n">
        <f aca="false">F224-H224</f>
        <v>4</v>
      </c>
      <c r="K224" s="5" t="n">
        <f aca="false">IF(I224&gt;0,1,0)</f>
        <v>0</v>
      </c>
      <c r="L224" s="5" t="n">
        <f aca="false">IF(J224&lt;PuntoReorden,1,0)</f>
        <v>1</v>
      </c>
      <c r="M224" s="18" t="n">
        <f aca="false">PrecioVenta*H224</f>
        <v>3400000</v>
      </c>
      <c r="N224" s="18" t="n">
        <f aca="false">CostoUnitario*E224</f>
        <v>0</v>
      </c>
      <c r="O224" s="18" t="n">
        <f aca="false">IF(E224&gt;0,CostoPedido,0)</f>
        <v>0</v>
      </c>
      <c r="P224" s="18" t="n">
        <f aca="false">CostoAlm*(F224+J224)/2</f>
        <v>520</v>
      </c>
      <c r="Q224" s="18" t="n">
        <f aca="false">CostoFijo*D224</f>
        <v>0</v>
      </c>
      <c r="R224" s="18" t="n">
        <f aca="false">M224-N224-O224-P224-Q224</f>
        <v>3399480</v>
      </c>
    </row>
    <row r="225" customFormat="false" ht="15" hidden="false" customHeight="true" outlineLevel="0" collapsed="false">
      <c r="A225" s="5" t="n">
        <f aca="false">A224+1</f>
        <v>220</v>
      </c>
      <c r="B225" s="16" t="n">
        <f aca="false">B224+IF(WEEKDAY(B224,2)=6,2,1)</f>
        <v>46279</v>
      </c>
      <c r="C225" s="5" t="n">
        <f aca="false">MONTH(B225)</f>
        <v>9</v>
      </c>
      <c r="D225" s="5" t="n">
        <f aca="false">IF(C225&lt;&gt;C224,1,0)</f>
        <v>0</v>
      </c>
      <c r="E225" s="17" t="n">
        <f aca="false">IF(L224=1,CantPedido,0)</f>
        <v>15</v>
      </c>
      <c r="F225" s="5" t="n">
        <f aca="false">J224+E225</f>
        <v>19</v>
      </c>
      <c r="G225" s="5" t="n">
        <f aca="true">VLOOKUP(RAND(),TablaEmpirica,2,TRUE())</f>
        <v>5</v>
      </c>
      <c r="H225" s="5" t="n">
        <f aca="false">MIN(F225,G225)</f>
        <v>5</v>
      </c>
      <c r="I225" s="5" t="n">
        <f aca="false">G225-H225</f>
        <v>0</v>
      </c>
      <c r="J225" s="5" t="n">
        <f aca="false">F225-H225</f>
        <v>14</v>
      </c>
      <c r="K225" s="5" t="n">
        <f aca="false">IF(I225&gt;0,1,0)</f>
        <v>0</v>
      </c>
      <c r="L225" s="5" t="n">
        <f aca="false">IF(J225&lt;PuntoReorden,1,0)</f>
        <v>0</v>
      </c>
      <c r="M225" s="18" t="n">
        <f aca="false">PrecioVenta*H225</f>
        <v>3400000</v>
      </c>
      <c r="N225" s="18" t="n">
        <f aca="false">CostoUnitario*E225</f>
        <v>9000000</v>
      </c>
      <c r="O225" s="18" t="n">
        <f aca="false">IF(E225&gt;0,CostoPedido,0)</f>
        <v>40000</v>
      </c>
      <c r="P225" s="18" t="n">
        <f aca="false">CostoAlm*(F225+J225)/2</f>
        <v>1320</v>
      </c>
      <c r="Q225" s="18" t="n">
        <f aca="false">CostoFijo*D225</f>
        <v>0</v>
      </c>
      <c r="R225" s="18" t="n">
        <f aca="false">M225-N225-O225-P225-Q225</f>
        <v>-5641320</v>
      </c>
    </row>
    <row r="226" customFormat="false" ht="15" hidden="false" customHeight="true" outlineLevel="0" collapsed="false">
      <c r="A226" s="5" t="n">
        <f aca="false">A225+1</f>
        <v>221</v>
      </c>
      <c r="B226" s="16" t="n">
        <f aca="false">B225+IF(WEEKDAY(B225,2)=6,2,1)</f>
        <v>46280</v>
      </c>
      <c r="C226" s="5" t="n">
        <f aca="false">MONTH(B226)</f>
        <v>9</v>
      </c>
      <c r="D226" s="5" t="n">
        <f aca="false">IF(C226&lt;&gt;C225,1,0)</f>
        <v>0</v>
      </c>
      <c r="E226" s="5" t="n">
        <f aca="false">IF(L225=1,CantPedido,0)</f>
        <v>0</v>
      </c>
      <c r="F226" s="5" t="n">
        <f aca="false">J225+E226</f>
        <v>14</v>
      </c>
      <c r="G226" s="5" t="n">
        <f aca="true">VLOOKUP(RAND(),TablaEmpirica,2,TRUE())</f>
        <v>5</v>
      </c>
      <c r="H226" s="5" t="n">
        <f aca="false">MIN(F226,G226)</f>
        <v>5</v>
      </c>
      <c r="I226" s="5" t="n">
        <f aca="false">G226-H226</f>
        <v>0</v>
      </c>
      <c r="J226" s="5" t="n">
        <f aca="false">F226-H226</f>
        <v>9</v>
      </c>
      <c r="K226" s="5" t="n">
        <f aca="false">IF(I226&gt;0,1,0)</f>
        <v>0</v>
      </c>
      <c r="L226" s="5" t="n">
        <f aca="false">IF(J226&lt;PuntoReorden,1,0)</f>
        <v>0</v>
      </c>
      <c r="M226" s="18" t="n">
        <f aca="false">PrecioVenta*H226</f>
        <v>3400000</v>
      </c>
      <c r="N226" s="18" t="n">
        <f aca="false">CostoUnitario*E226</f>
        <v>0</v>
      </c>
      <c r="O226" s="18" t="n">
        <f aca="false">IF(E226&gt;0,CostoPedido,0)</f>
        <v>0</v>
      </c>
      <c r="P226" s="18" t="n">
        <f aca="false">CostoAlm*(F226+J226)/2</f>
        <v>920</v>
      </c>
      <c r="Q226" s="18" t="n">
        <f aca="false">CostoFijo*D226</f>
        <v>0</v>
      </c>
      <c r="R226" s="18" t="n">
        <f aca="false">M226-N226-O226-P226-Q226</f>
        <v>3399080</v>
      </c>
    </row>
    <row r="227" customFormat="false" ht="15" hidden="false" customHeight="true" outlineLevel="0" collapsed="false">
      <c r="A227" s="5" t="n">
        <f aca="false">A226+1</f>
        <v>222</v>
      </c>
      <c r="B227" s="16" t="n">
        <f aca="false">B226+IF(WEEKDAY(B226,2)=6,2,1)</f>
        <v>46281</v>
      </c>
      <c r="C227" s="5" t="n">
        <f aca="false">MONTH(B227)</f>
        <v>9</v>
      </c>
      <c r="D227" s="5" t="n">
        <f aca="false">IF(C227&lt;&gt;C226,1,0)</f>
        <v>0</v>
      </c>
      <c r="E227" s="17" t="n">
        <f aca="false">IF(L226=1,CantPedido,0)</f>
        <v>0</v>
      </c>
      <c r="F227" s="5" t="n">
        <f aca="false">J226+E227</f>
        <v>9</v>
      </c>
      <c r="G227" s="5" t="n">
        <f aca="true">VLOOKUP(RAND(),TablaEmpirica,2,TRUE())</f>
        <v>5</v>
      </c>
      <c r="H227" s="5" t="n">
        <f aca="false">MIN(F227,G227)</f>
        <v>5</v>
      </c>
      <c r="I227" s="5" t="n">
        <f aca="false">G227-H227</f>
        <v>0</v>
      </c>
      <c r="J227" s="5" t="n">
        <f aca="false">F227-H227</f>
        <v>4</v>
      </c>
      <c r="K227" s="5" t="n">
        <f aca="false">IF(I227&gt;0,1,0)</f>
        <v>0</v>
      </c>
      <c r="L227" s="5" t="n">
        <f aca="false">IF(J227&lt;PuntoReorden,1,0)</f>
        <v>1</v>
      </c>
      <c r="M227" s="18" t="n">
        <f aca="false">PrecioVenta*H227</f>
        <v>3400000</v>
      </c>
      <c r="N227" s="18" t="n">
        <f aca="false">CostoUnitario*E227</f>
        <v>0</v>
      </c>
      <c r="O227" s="18" t="n">
        <f aca="false">IF(E227&gt;0,CostoPedido,0)</f>
        <v>0</v>
      </c>
      <c r="P227" s="18" t="n">
        <f aca="false">CostoAlm*(F227+J227)/2</f>
        <v>520</v>
      </c>
      <c r="Q227" s="18" t="n">
        <f aca="false">CostoFijo*D227</f>
        <v>0</v>
      </c>
      <c r="R227" s="18" t="n">
        <f aca="false">M227-N227-O227-P227-Q227</f>
        <v>3399480</v>
      </c>
    </row>
    <row r="228" customFormat="false" ht="15" hidden="false" customHeight="true" outlineLevel="0" collapsed="false">
      <c r="A228" s="5" t="n">
        <f aca="false">A227+1</f>
        <v>223</v>
      </c>
      <c r="B228" s="16" t="n">
        <f aca="false">B227+IF(WEEKDAY(B227,2)=6,2,1)</f>
        <v>46282</v>
      </c>
      <c r="C228" s="5" t="n">
        <f aca="false">MONTH(B228)</f>
        <v>9</v>
      </c>
      <c r="D228" s="5" t="n">
        <f aca="false">IF(C228&lt;&gt;C227,1,0)</f>
        <v>0</v>
      </c>
      <c r="E228" s="17" t="n">
        <f aca="false">IF(L227=1,CantPedido,0)</f>
        <v>15</v>
      </c>
      <c r="F228" s="5" t="n">
        <f aca="false">J227+E228</f>
        <v>19</v>
      </c>
      <c r="G228" s="5" t="n">
        <f aca="true">VLOOKUP(RAND(),TablaEmpirica,2,TRUE())</f>
        <v>7</v>
      </c>
      <c r="H228" s="5" t="n">
        <f aca="false">MIN(F228,G228)</f>
        <v>7</v>
      </c>
      <c r="I228" s="5" t="n">
        <f aca="false">G228-H228</f>
        <v>0</v>
      </c>
      <c r="J228" s="5" t="n">
        <f aca="false">F228-H228</f>
        <v>12</v>
      </c>
      <c r="K228" s="5" t="n">
        <f aca="false">IF(I228&gt;0,1,0)</f>
        <v>0</v>
      </c>
      <c r="L228" s="5" t="n">
        <f aca="false">IF(J228&lt;PuntoReorden,1,0)</f>
        <v>0</v>
      </c>
      <c r="M228" s="18" t="n">
        <f aca="false">PrecioVenta*H228</f>
        <v>4760000</v>
      </c>
      <c r="N228" s="18" t="n">
        <f aca="false">CostoUnitario*E228</f>
        <v>9000000</v>
      </c>
      <c r="O228" s="18" t="n">
        <f aca="false">IF(E228&gt;0,CostoPedido,0)</f>
        <v>40000</v>
      </c>
      <c r="P228" s="18" t="n">
        <f aca="false">CostoAlm*(F228+J228)/2</f>
        <v>1240</v>
      </c>
      <c r="Q228" s="18" t="n">
        <f aca="false">CostoFijo*D228</f>
        <v>0</v>
      </c>
      <c r="R228" s="18" t="n">
        <f aca="false">M228-N228-O228-P228-Q228</f>
        <v>-4281240</v>
      </c>
    </row>
    <row r="229" customFormat="false" ht="15" hidden="false" customHeight="true" outlineLevel="0" collapsed="false">
      <c r="A229" s="5" t="n">
        <f aca="false">A228+1</f>
        <v>224</v>
      </c>
      <c r="B229" s="16" t="n">
        <f aca="false">B228+IF(WEEKDAY(B228,2)=6,2,1)</f>
        <v>46283</v>
      </c>
      <c r="C229" s="5" t="n">
        <f aca="false">MONTH(B229)</f>
        <v>9</v>
      </c>
      <c r="D229" s="5" t="n">
        <f aca="false">IF(C229&lt;&gt;C228,1,0)</f>
        <v>0</v>
      </c>
      <c r="E229" s="5" t="n">
        <f aca="false">IF(L228=1,CantPedido,0)</f>
        <v>0</v>
      </c>
      <c r="F229" s="5" t="n">
        <f aca="false">J228+E229</f>
        <v>12</v>
      </c>
      <c r="G229" s="5" t="n">
        <f aca="true">VLOOKUP(RAND(),TablaEmpirica,2,TRUE())</f>
        <v>6</v>
      </c>
      <c r="H229" s="5" t="n">
        <f aca="false">MIN(F229,G229)</f>
        <v>6</v>
      </c>
      <c r="I229" s="5" t="n">
        <f aca="false">G229-H229</f>
        <v>0</v>
      </c>
      <c r="J229" s="5" t="n">
        <f aca="false">F229-H229</f>
        <v>6</v>
      </c>
      <c r="K229" s="5" t="n">
        <f aca="false">IF(I229&gt;0,1,0)</f>
        <v>0</v>
      </c>
      <c r="L229" s="5" t="n">
        <f aca="false">IF(J229&lt;PuntoReorden,1,0)</f>
        <v>1</v>
      </c>
      <c r="M229" s="18" t="n">
        <f aca="false">PrecioVenta*H229</f>
        <v>4080000</v>
      </c>
      <c r="N229" s="18" t="n">
        <f aca="false">CostoUnitario*E229</f>
        <v>0</v>
      </c>
      <c r="O229" s="18" t="n">
        <f aca="false">IF(E229&gt;0,CostoPedido,0)</f>
        <v>0</v>
      </c>
      <c r="P229" s="18" t="n">
        <f aca="false">CostoAlm*(F229+J229)/2</f>
        <v>720</v>
      </c>
      <c r="Q229" s="18" t="n">
        <f aca="false">CostoFijo*D229</f>
        <v>0</v>
      </c>
      <c r="R229" s="18" t="n">
        <f aca="false">M229-N229-O229-P229-Q229</f>
        <v>4079280</v>
      </c>
    </row>
    <row r="230" customFormat="false" ht="15" hidden="false" customHeight="true" outlineLevel="0" collapsed="false">
      <c r="A230" s="5" t="n">
        <f aca="false">A229+1</f>
        <v>225</v>
      </c>
      <c r="B230" s="16" t="n">
        <f aca="false">B229+IF(WEEKDAY(B229,2)=6,2,1)</f>
        <v>46284</v>
      </c>
      <c r="C230" s="5" t="n">
        <f aca="false">MONTH(B230)</f>
        <v>9</v>
      </c>
      <c r="D230" s="5" t="n">
        <f aca="false">IF(C230&lt;&gt;C229,1,0)</f>
        <v>0</v>
      </c>
      <c r="E230" s="17" t="n">
        <f aca="false">IF(L229=1,CantPedido,0)</f>
        <v>15</v>
      </c>
      <c r="F230" s="5" t="n">
        <f aca="false">J229+E230</f>
        <v>21</v>
      </c>
      <c r="G230" s="5" t="n">
        <f aca="true">VLOOKUP(RAND(),TablaEmpirica,2,TRUE())</f>
        <v>6</v>
      </c>
      <c r="H230" s="5" t="n">
        <f aca="false">MIN(F230,G230)</f>
        <v>6</v>
      </c>
      <c r="I230" s="5" t="n">
        <f aca="false">G230-H230</f>
        <v>0</v>
      </c>
      <c r="J230" s="5" t="n">
        <f aca="false">F230-H230</f>
        <v>15</v>
      </c>
      <c r="K230" s="5" t="n">
        <f aca="false">IF(I230&gt;0,1,0)</f>
        <v>0</v>
      </c>
      <c r="L230" s="5" t="n">
        <f aca="false">IF(J230&lt;PuntoReorden,1,0)</f>
        <v>0</v>
      </c>
      <c r="M230" s="18" t="n">
        <f aca="false">PrecioVenta*H230</f>
        <v>4080000</v>
      </c>
      <c r="N230" s="18" t="n">
        <f aca="false">CostoUnitario*E230</f>
        <v>9000000</v>
      </c>
      <c r="O230" s="18" t="n">
        <f aca="false">IF(E230&gt;0,CostoPedido,0)</f>
        <v>40000</v>
      </c>
      <c r="P230" s="18" t="n">
        <f aca="false">CostoAlm*(F230+J230)/2</f>
        <v>1440</v>
      </c>
      <c r="Q230" s="18" t="n">
        <f aca="false">CostoFijo*D230</f>
        <v>0</v>
      </c>
      <c r="R230" s="18" t="n">
        <f aca="false">M230-N230-O230-P230-Q230</f>
        <v>-4961440</v>
      </c>
    </row>
    <row r="231" customFormat="false" ht="15" hidden="false" customHeight="true" outlineLevel="0" collapsed="false">
      <c r="A231" s="5" t="n">
        <f aca="false">A230+1</f>
        <v>226</v>
      </c>
      <c r="B231" s="16" t="n">
        <f aca="false">B230+IF(WEEKDAY(B230,2)=6,2,1)</f>
        <v>46286</v>
      </c>
      <c r="C231" s="5" t="n">
        <f aca="false">MONTH(B231)</f>
        <v>9</v>
      </c>
      <c r="D231" s="5" t="n">
        <f aca="false">IF(C231&lt;&gt;C230,1,0)</f>
        <v>0</v>
      </c>
      <c r="E231" s="5" t="n">
        <f aca="false">IF(L230=1,CantPedido,0)</f>
        <v>0</v>
      </c>
      <c r="F231" s="5" t="n">
        <f aca="false">J230+E231</f>
        <v>15</v>
      </c>
      <c r="G231" s="5" t="n">
        <f aca="true">VLOOKUP(RAND(),TablaEmpirica,2,TRUE())</f>
        <v>6</v>
      </c>
      <c r="H231" s="5" t="n">
        <f aca="false">MIN(F231,G231)</f>
        <v>6</v>
      </c>
      <c r="I231" s="5" t="n">
        <f aca="false">G231-H231</f>
        <v>0</v>
      </c>
      <c r="J231" s="5" t="n">
        <f aca="false">F231-H231</f>
        <v>9</v>
      </c>
      <c r="K231" s="5" t="n">
        <f aca="false">IF(I231&gt;0,1,0)</f>
        <v>0</v>
      </c>
      <c r="L231" s="5" t="n">
        <f aca="false">IF(J231&lt;PuntoReorden,1,0)</f>
        <v>0</v>
      </c>
      <c r="M231" s="18" t="n">
        <f aca="false">PrecioVenta*H231</f>
        <v>4080000</v>
      </c>
      <c r="N231" s="18" t="n">
        <f aca="false">CostoUnitario*E231</f>
        <v>0</v>
      </c>
      <c r="O231" s="18" t="n">
        <f aca="false">IF(E231&gt;0,CostoPedido,0)</f>
        <v>0</v>
      </c>
      <c r="P231" s="18" t="n">
        <f aca="false">CostoAlm*(F231+J231)/2</f>
        <v>960</v>
      </c>
      <c r="Q231" s="18" t="n">
        <f aca="false">CostoFijo*D231</f>
        <v>0</v>
      </c>
      <c r="R231" s="18" t="n">
        <f aca="false">M231-N231-O231-P231-Q231</f>
        <v>4079040</v>
      </c>
    </row>
    <row r="232" customFormat="false" ht="15" hidden="false" customHeight="true" outlineLevel="0" collapsed="false">
      <c r="A232" s="5" t="n">
        <f aca="false">A231+1</f>
        <v>227</v>
      </c>
      <c r="B232" s="16" t="n">
        <f aca="false">B231+IF(WEEKDAY(B231,2)=6,2,1)</f>
        <v>46287</v>
      </c>
      <c r="C232" s="5" t="n">
        <f aca="false">MONTH(B232)</f>
        <v>9</v>
      </c>
      <c r="D232" s="5" t="n">
        <f aca="false">IF(C232&lt;&gt;C231,1,0)</f>
        <v>0</v>
      </c>
      <c r="E232" s="5" t="n">
        <f aca="false">IF(L231=1,CantPedido,0)</f>
        <v>0</v>
      </c>
      <c r="F232" s="5" t="n">
        <f aca="false">J231+E232</f>
        <v>9</v>
      </c>
      <c r="G232" s="5" t="n">
        <f aca="true">VLOOKUP(RAND(),TablaEmpirica,2,TRUE())</f>
        <v>5</v>
      </c>
      <c r="H232" s="5" t="n">
        <f aca="false">MIN(F232,G232)</f>
        <v>5</v>
      </c>
      <c r="I232" s="5" t="n">
        <f aca="false">G232-H232</f>
        <v>0</v>
      </c>
      <c r="J232" s="5" t="n">
        <f aca="false">F232-H232</f>
        <v>4</v>
      </c>
      <c r="K232" s="5" t="n">
        <f aca="false">IF(I232&gt;0,1,0)</f>
        <v>0</v>
      </c>
      <c r="L232" s="5" t="n">
        <f aca="false">IF(J232&lt;PuntoReorden,1,0)</f>
        <v>1</v>
      </c>
      <c r="M232" s="18" t="n">
        <f aca="false">PrecioVenta*H232</f>
        <v>3400000</v>
      </c>
      <c r="N232" s="18" t="n">
        <f aca="false">CostoUnitario*E232</f>
        <v>0</v>
      </c>
      <c r="O232" s="18" t="n">
        <f aca="false">IF(E232&gt;0,CostoPedido,0)</f>
        <v>0</v>
      </c>
      <c r="P232" s="18" t="n">
        <f aca="false">CostoAlm*(F232+J232)/2</f>
        <v>520</v>
      </c>
      <c r="Q232" s="18" t="n">
        <f aca="false">CostoFijo*D232</f>
        <v>0</v>
      </c>
      <c r="R232" s="18" t="n">
        <f aca="false">M232-N232-O232-P232-Q232</f>
        <v>3399480</v>
      </c>
    </row>
    <row r="233" customFormat="false" ht="15" hidden="false" customHeight="true" outlineLevel="0" collapsed="false">
      <c r="A233" s="5" t="n">
        <f aca="false">A232+1</f>
        <v>228</v>
      </c>
      <c r="B233" s="16" t="n">
        <f aca="false">B232+IF(WEEKDAY(B232,2)=6,2,1)</f>
        <v>46288</v>
      </c>
      <c r="C233" s="5" t="n">
        <f aca="false">MONTH(B233)</f>
        <v>9</v>
      </c>
      <c r="D233" s="5" t="n">
        <f aca="false">IF(C233&lt;&gt;C232,1,0)</f>
        <v>0</v>
      </c>
      <c r="E233" s="17" t="n">
        <f aca="false">IF(L232=1,CantPedido,0)</f>
        <v>15</v>
      </c>
      <c r="F233" s="5" t="n">
        <f aca="false">J232+E233</f>
        <v>19</v>
      </c>
      <c r="G233" s="5" t="n">
        <f aca="true">VLOOKUP(RAND(),TablaEmpirica,2,TRUE())</f>
        <v>5</v>
      </c>
      <c r="H233" s="5" t="n">
        <f aca="false">MIN(F233,G233)</f>
        <v>5</v>
      </c>
      <c r="I233" s="5" t="n">
        <f aca="false">G233-H233</f>
        <v>0</v>
      </c>
      <c r="J233" s="5" t="n">
        <f aca="false">F233-H233</f>
        <v>14</v>
      </c>
      <c r="K233" s="5" t="n">
        <f aca="false">IF(I233&gt;0,1,0)</f>
        <v>0</v>
      </c>
      <c r="L233" s="5" t="n">
        <f aca="false">IF(J233&lt;PuntoReorden,1,0)</f>
        <v>0</v>
      </c>
      <c r="M233" s="18" t="n">
        <f aca="false">PrecioVenta*H233</f>
        <v>3400000</v>
      </c>
      <c r="N233" s="18" t="n">
        <f aca="false">CostoUnitario*E233</f>
        <v>9000000</v>
      </c>
      <c r="O233" s="18" t="n">
        <f aca="false">IF(E233&gt;0,CostoPedido,0)</f>
        <v>40000</v>
      </c>
      <c r="P233" s="18" t="n">
        <f aca="false">CostoAlm*(F233+J233)/2</f>
        <v>1320</v>
      </c>
      <c r="Q233" s="18" t="n">
        <f aca="false">CostoFijo*D233</f>
        <v>0</v>
      </c>
      <c r="R233" s="18" t="n">
        <f aca="false">M233-N233-O233-P233-Q233</f>
        <v>-5641320</v>
      </c>
    </row>
    <row r="234" customFormat="false" ht="15" hidden="false" customHeight="true" outlineLevel="0" collapsed="false">
      <c r="A234" s="5" t="n">
        <f aca="false">A233+1</f>
        <v>229</v>
      </c>
      <c r="B234" s="16" t="n">
        <f aca="false">B233+IF(WEEKDAY(B233,2)=6,2,1)</f>
        <v>46289</v>
      </c>
      <c r="C234" s="5" t="n">
        <f aca="false">MONTH(B234)</f>
        <v>9</v>
      </c>
      <c r="D234" s="5" t="n">
        <f aca="false">IF(C234&lt;&gt;C233,1,0)</f>
        <v>0</v>
      </c>
      <c r="E234" s="5" t="n">
        <f aca="false">IF(L233=1,CantPedido,0)</f>
        <v>0</v>
      </c>
      <c r="F234" s="5" t="n">
        <f aca="false">J233+E234</f>
        <v>14</v>
      </c>
      <c r="G234" s="5" t="n">
        <f aca="true">VLOOKUP(RAND(),TablaEmpirica,2,TRUE())</f>
        <v>5</v>
      </c>
      <c r="H234" s="5" t="n">
        <f aca="false">MIN(F234,G234)</f>
        <v>5</v>
      </c>
      <c r="I234" s="5" t="n">
        <f aca="false">G234-H234</f>
        <v>0</v>
      </c>
      <c r="J234" s="5" t="n">
        <f aca="false">F234-H234</f>
        <v>9</v>
      </c>
      <c r="K234" s="5" t="n">
        <f aca="false">IF(I234&gt;0,1,0)</f>
        <v>0</v>
      </c>
      <c r="L234" s="5" t="n">
        <f aca="false">IF(J234&lt;PuntoReorden,1,0)</f>
        <v>0</v>
      </c>
      <c r="M234" s="18" t="n">
        <f aca="false">PrecioVenta*H234</f>
        <v>3400000</v>
      </c>
      <c r="N234" s="18" t="n">
        <f aca="false">CostoUnitario*E234</f>
        <v>0</v>
      </c>
      <c r="O234" s="18" t="n">
        <f aca="false">IF(E234&gt;0,CostoPedido,0)</f>
        <v>0</v>
      </c>
      <c r="P234" s="18" t="n">
        <f aca="false">CostoAlm*(F234+J234)/2</f>
        <v>920</v>
      </c>
      <c r="Q234" s="18" t="n">
        <f aca="false">CostoFijo*D234</f>
        <v>0</v>
      </c>
      <c r="R234" s="18" t="n">
        <f aca="false">M234-N234-O234-P234-Q234</f>
        <v>3399080</v>
      </c>
    </row>
    <row r="235" customFormat="false" ht="15" hidden="false" customHeight="true" outlineLevel="0" collapsed="false">
      <c r="A235" s="5" t="n">
        <f aca="false">A234+1</f>
        <v>230</v>
      </c>
      <c r="B235" s="16" t="n">
        <f aca="false">B234+IF(WEEKDAY(B234,2)=6,2,1)</f>
        <v>46290</v>
      </c>
      <c r="C235" s="5" t="n">
        <f aca="false">MONTH(B235)</f>
        <v>9</v>
      </c>
      <c r="D235" s="5" t="n">
        <f aca="false">IF(C235&lt;&gt;C234,1,0)</f>
        <v>0</v>
      </c>
      <c r="E235" s="5" t="n">
        <f aca="false">IF(L234=1,CantPedido,0)</f>
        <v>0</v>
      </c>
      <c r="F235" s="5" t="n">
        <f aca="false">J234+E235</f>
        <v>9</v>
      </c>
      <c r="G235" s="5" t="n">
        <f aca="true">VLOOKUP(RAND(),TablaEmpirica,2,TRUE())</f>
        <v>5</v>
      </c>
      <c r="H235" s="5" t="n">
        <f aca="false">MIN(F235,G235)</f>
        <v>5</v>
      </c>
      <c r="I235" s="5" t="n">
        <f aca="false">G235-H235</f>
        <v>0</v>
      </c>
      <c r="J235" s="5" t="n">
        <f aca="false">F235-H235</f>
        <v>4</v>
      </c>
      <c r="K235" s="5" t="n">
        <f aca="false">IF(I235&gt;0,1,0)</f>
        <v>0</v>
      </c>
      <c r="L235" s="5" t="n">
        <f aca="false">IF(J235&lt;PuntoReorden,1,0)</f>
        <v>1</v>
      </c>
      <c r="M235" s="18" t="n">
        <f aca="false">PrecioVenta*H235</f>
        <v>3400000</v>
      </c>
      <c r="N235" s="18" t="n">
        <f aca="false">CostoUnitario*E235</f>
        <v>0</v>
      </c>
      <c r="O235" s="18" t="n">
        <f aca="false">IF(E235&gt;0,CostoPedido,0)</f>
        <v>0</v>
      </c>
      <c r="P235" s="18" t="n">
        <f aca="false">CostoAlm*(F235+J235)/2</f>
        <v>520</v>
      </c>
      <c r="Q235" s="18" t="n">
        <f aca="false">CostoFijo*D235</f>
        <v>0</v>
      </c>
      <c r="R235" s="18" t="n">
        <f aca="false">M235-N235-O235-P235-Q235</f>
        <v>3399480</v>
      </c>
    </row>
    <row r="236" customFormat="false" ht="15" hidden="false" customHeight="true" outlineLevel="0" collapsed="false">
      <c r="A236" s="5" t="n">
        <f aca="false">A235+1</f>
        <v>231</v>
      </c>
      <c r="B236" s="16" t="n">
        <f aca="false">B235+IF(WEEKDAY(B235,2)=6,2,1)</f>
        <v>46291</v>
      </c>
      <c r="C236" s="5" t="n">
        <f aca="false">MONTH(B236)</f>
        <v>9</v>
      </c>
      <c r="D236" s="5" t="n">
        <f aca="false">IF(C236&lt;&gt;C235,1,0)</f>
        <v>0</v>
      </c>
      <c r="E236" s="17" t="n">
        <f aca="false">IF(L235=1,CantPedido,0)</f>
        <v>15</v>
      </c>
      <c r="F236" s="5" t="n">
        <f aca="false">J235+E236</f>
        <v>19</v>
      </c>
      <c r="G236" s="5" t="n">
        <f aca="true">VLOOKUP(RAND(),TablaEmpirica,2,TRUE())</f>
        <v>5</v>
      </c>
      <c r="H236" s="5" t="n">
        <f aca="false">MIN(F236,G236)</f>
        <v>5</v>
      </c>
      <c r="I236" s="5" t="n">
        <f aca="false">G236-H236</f>
        <v>0</v>
      </c>
      <c r="J236" s="5" t="n">
        <f aca="false">F236-H236</f>
        <v>14</v>
      </c>
      <c r="K236" s="5" t="n">
        <f aca="false">IF(I236&gt;0,1,0)</f>
        <v>0</v>
      </c>
      <c r="L236" s="5" t="n">
        <f aca="false">IF(J236&lt;PuntoReorden,1,0)</f>
        <v>0</v>
      </c>
      <c r="M236" s="18" t="n">
        <f aca="false">PrecioVenta*H236</f>
        <v>3400000</v>
      </c>
      <c r="N236" s="18" t="n">
        <f aca="false">CostoUnitario*E236</f>
        <v>9000000</v>
      </c>
      <c r="O236" s="18" t="n">
        <f aca="false">IF(E236&gt;0,CostoPedido,0)</f>
        <v>40000</v>
      </c>
      <c r="P236" s="18" t="n">
        <f aca="false">CostoAlm*(F236+J236)/2</f>
        <v>1320</v>
      </c>
      <c r="Q236" s="18" t="n">
        <f aca="false">CostoFijo*D236</f>
        <v>0</v>
      </c>
      <c r="R236" s="18" t="n">
        <f aca="false">M236-N236-O236-P236-Q236</f>
        <v>-5641320</v>
      </c>
    </row>
    <row r="237" customFormat="false" ht="15" hidden="false" customHeight="true" outlineLevel="0" collapsed="false">
      <c r="A237" s="5" t="n">
        <f aca="false">A236+1</f>
        <v>232</v>
      </c>
      <c r="B237" s="16" t="n">
        <f aca="false">B236+IF(WEEKDAY(B236,2)=6,2,1)</f>
        <v>46293</v>
      </c>
      <c r="C237" s="5" t="n">
        <f aca="false">MONTH(B237)</f>
        <v>9</v>
      </c>
      <c r="D237" s="5" t="n">
        <f aca="false">IF(C237&lt;&gt;C236,1,0)</f>
        <v>0</v>
      </c>
      <c r="E237" s="5" t="n">
        <f aca="false">IF(L236=1,CantPedido,0)</f>
        <v>0</v>
      </c>
      <c r="F237" s="5" t="n">
        <f aca="false">J236+E237</f>
        <v>14</v>
      </c>
      <c r="G237" s="5" t="n">
        <f aca="true">VLOOKUP(RAND(),TablaEmpirica,2,TRUE())</f>
        <v>4</v>
      </c>
      <c r="H237" s="5" t="n">
        <f aca="false">MIN(F237,G237)</f>
        <v>4</v>
      </c>
      <c r="I237" s="5" t="n">
        <f aca="false">G237-H237</f>
        <v>0</v>
      </c>
      <c r="J237" s="5" t="n">
        <f aca="false">F237-H237</f>
        <v>10</v>
      </c>
      <c r="K237" s="5" t="n">
        <f aca="false">IF(I237&gt;0,1,0)</f>
        <v>0</v>
      </c>
      <c r="L237" s="5" t="n">
        <f aca="false">IF(J237&lt;PuntoReorden,1,0)</f>
        <v>0</v>
      </c>
      <c r="M237" s="18" t="n">
        <f aca="false">PrecioVenta*H237</f>
        <v>2720000</v>
      </c>
      <c r="N237" s="18" t="n">
        <f aca="false">CostoUnitario*E237</f>
        <v>0</v>
      </c>
      <c r="O237" s="18" t="n">
        <f aca="false">IF(E237&gt;0,CostoPedido,0)</f>
        <v>0</v>
      </c>
      <c r="P237" s="18" t="n">
        <f aca="false">CostoAlm*(F237+J237)/2</f>
        <v>960</v>
      </c>
      <c r="Q237" s="18" t="n">
        <f aca="false">CostoFijo*D237</f>
        <v>0</v>
      </c>
      <c r="R237" s="18" t="n">
        <f aca="false">M237-N237-O237-P237-Q237</f>
        <v>2719040</v>
      </c>
    </row>
    <row r="238" customFormat="false" ht="15" hidden="false" customHeight="true" outlineLevel="0" collapsed="false">
      <c r="A238" s="5" t="n">
        <f aca="false">A237+1</f>
        <v>233</v>
      </c>
      <c r="B238" s="16" t="n">
        <f aca="false">B237+IF(WEEKDAY(B237,2)=6,2,1)</f>
        <v>46294</v>
      </c>
      <c r="C238" s="5" t="n">
        <f aca="false">MONTH(B238)</f>
        <v>9</v>
      </c>
      <c r="D238" s="5" t="n">
        <f aca="false">IF(C238&lt;&gt;C237,1,0)</f>
        <v>0</v>
      </c>
      <c r="E238" s="17" t="n">
        <f aca="false">IF(L237=1,CantPedido,0)</f>
        <v>0</v>
      </c>
      <c r="F238" s="5" t="n">
        <f aca="false">J237+E238</f>
        <v>10</v>
      </c>
      <c r="G238" s="5" t="n">
        <f aca="true">VLOOKUP(RAND(),TablaEmpirica,2,TRUE())</f>
        <v>3</v>
      </c>
      <c r="H238" s="5" t="n">
        <f aca="false">MIN(F238,G238)</f>
        <v>3</v>
      </c>
      <c r="I238" s="5" t="n">
        <f aca="false">G238-H238</f>
        <v>0</v>
      </c>
      <c r="J238" s="5" t="n">
        <f aca="false">F238-H238</f>
        <v>7</v>
      </c>
      <c r="K238" s="5" t="n">
        <f aca="false">IF(I238&gt;0,1,0)</f>
        <v>0</v>
      </c>
      <c r="L238" s="5" t="n">
        <f aca="false">IF(J238&lt;PuntoReorden,1,0)</f>
        <v>0</v>
      </c>
      <c r="M238" s="18" t="n">
        <f aca="false">PrecioVenta*H238</f>
        <v>2040000</v>
      </c>
      <c r="N238" s="18" t="n">
        <f aca="false">CostoUnitario*E238</f>
        <v>0</v>
      </c>
      <c r="O238" s="18" t="n">
        <f aca="false">IF(E238&gt;0,CostoPedido,0)</f>
        <v>0</v>
      </c>
      <c r="P238" s="18" t="n">
        <f aca="false">CostoAlm*(F238+J238)/2</f>
        <v>680</v>
      </c>
      <c r="Q238" s="18" t="n">
        <f aca="false">CostoFijo*D238</f>
        <v>0</v>
      </c>
      <c r="R238" s="18" t="n">
        <f aca="false">M238-N238-O238-P238-Q238</f>
        <v>2039320</v>
      </c>
    </row>
    <row r="239" customFormat="false" ht="15" hidden="false" customHeight="true" outlineLevel="0" collapsed="false">
      <c r="A239" s="5" t="n">
        <f aca="false">A238+1</f>
        <v>234</v>
      </c>
      <c r="B239" s="16" t="n">
        <f aca="false">B238+IF(WEEKDAY(B238,2)=6,2,1)</f>
        <v>46295</v>
      </c>
      <c r="C239" s="5" t="n">
        <f aca="false">MONTH(B239)</f>
        <v>9</v>
      </c>
      <c r="D239" s="5" t="n">
        <f aca="false">IF(C239&lt;&gt;C238,1,0)</f>
        <v>0</v>
      </c>
      <c r="E239" s="5" t="n">
        <f aca="false">IF(L238=1,CantPedido,0)</f>
        <v>0</v>
      </c>
      <c r="F239" s="5" t="n">
        <f aca="false">J238+E239</f>
        <v>7</v>
      </c>
      <c r="G239" s="5" t="n">
        <f aca="true">VLOOKUP(RAND(),TablaEmpirica,2,TRUE())</f>
        <v>3</v>
      </c>
      <c r="H239" s="5" t="n">
        <f aca="false">MIN(F239,G239)</f>
        <v>3</v>
      </c>
      <c r="I239" s="5" t="n">
        <f aca="false">G239-H239</f>
        <v>0</v>
      </c>
      <c r="J239" s="5" t="n">
        <f aca="false">F239-H239</f>
        <v>4</v>
      </c>
      <c r="K239" s="5" t="n">
        <f aca="false">IF(I239&gt;0,1,0)</f>
        <v>0</v>
      </c>
      <c r="L239" s="5" t="n">
        <f aca="false">IF(J239&lt;PuntoReorden,1,0)</f>
        <v>1</v>
      </c>
      <c r="M239" s="18" t="n">
        <f aca="false">PrecioVenta*H239</f>
        <v>2040000</v>
      </c>
      <c r="N239" s="18" t="n">
        <f aca="false">CostoUnitario*E239</f>
        <v>0</v>
      </c>
      <c r="O239" s="18" t="n">
        <f aca="false">IF(E239&gt;0,CostoPedido,0)</f>
        <v>0</v>
      </c>
      <c r="P239" s="18" t="n">
        <f aca="false">CostoAlm*(F239+J239)/2</f>
        <v>440</v>
      </c>
      <c r="Q239" s="18" t="n">
        <f aca="false">CostoFijo*D239</f>
        <v>0</v>
      </c>
      <c r="R239" s="18" t="n">
        <f aca="false">M239-N239-O239-P239-Q239</f>
        <v>2039560</v>
      </c>
    </row>
    <row r="240" customFormat="false" ht="15" hidden="false" customHeight="true" outlineLevel="0" collapsed="false">
      <c r="A240" s="5" t="n">
        <f aca="false">A239+1</f>
        <v>235</v>
      </c>
      <c r="B240" s="16" t="n">
        <f aca="false">B239+IF(WEEKDAY(B239,2)=6,2,1)</f>
        <v>46296</v>
      </c>
      <c r="C240" s="5" t="n">
        <f aca="false">MONTH(B240)</f>
        <v>10</v>
      </c>
      <c r="D240" s="5" t="n">
        <f aca="false">IF(C240&lt;&gt;C239,1,0)</f>
        <v>1</v>
      </c>
      <c r="E240" s="17" t="n">
        <f aca="false">IF(L239=1,CantPedido,0)</f>
        <v>15</v>
      </c>
      <c r="F240" s="5" t="n">
        <f aca="false">J239+E240</f>
        <v>19</v>
      </c>
      <c r="G240" s="5" t="n">
        <f aca="true">VLOOKUP(RAND(),TablaEmpirica,2,TRUE())</f>
        <v>3</v>
      </c>
      <c r="H240" s="5" t="n">
        <f aca="false">MIN(F240,G240)</f>
        <v>3</v>
      </c>
      <c r="I240" s="5" t="n">
        <f aca="false">G240-H240</f>
        <v>0</v>
      </c>
      <c r="J240" s="5" t="n">
        <f aca="false">F240-H240</f>
        <v>16</v>
      </c>
      <c r="K240" s="5" t="n">
        <f aca="false">IF(I240&gt;0,1,0)</f>
        <v>0</v>
      </c>
      <c r="L240" s="5" t="n">
        <f aca="false">IF(J240&lt;PuntoReorden,1,0)</f>
        <v>0</v>
      </c>
      <c r="M240" s="18" t="n">
        <f aca="false">PrecioVenta*H240</f>
        <v>2040000</v>
      </c>
      <c r="N240" s="18" t="n">
        <f aca="false">CostoUnitario*E240</f>
        <v>9000000</v>
      </c>
      <c r="O240" s="18" t="n">
        <f aca="false">IF(E240&gt;0,CostoPedido,0)</f>
        <v>40000</v>
      </c>
      <c r="P240" s="18" t="n">
        <f aca="false">CostoAlm*(F240+J240)/2</f>
        <v>1400</v>
      </c>
      <c r="Q240" s="18" t="n">
        <f aca="false">CostoFijo*D240</f>
        <v>1000000</v>
      </c>
      <c r="R240" s="18" t="n">
        <f aca="false">M240-N240-O240-P240-Q240</f>
        <v>-8001400</v>
      </c>
    </row>
    <row r="241" customFormat="false" ht="15" hidden="false" customHeight="true" outlineLevel="0" collapsed="false">
      <c r="A241" s="5" t="n">
        <f aca="false">A240+1</f>
        <v>236</v>
      </c>
      <c r="B241" s="16" t="n">
        <f aca="false">B240+IF(WEEKDAY(B240,2)=6,2,1)</f>
        <v>46297</v>
      </c>
      <c r="C241" s="5" t="n">
        <f aca="false">MONTH(B241)</f>
        <v>10</v>
      </c>
      <c r="D241" s="5" t="n">
        <f aca="false">IF(C241&lt;&gt;C240,1,0)</f>
        <v>0</v>
      </c>
      <c r="E241" s="17" t="n">
        <f aca="false">IF(L240=1,CantPedido,0)</f>
        <v>0</v>
      </c>
      <c r="F241" s="5" t="n">
        <f aca="false">J240+E241</f>
        <v>16</v>
      </c>
      <c r="G241" s="5" t="n">
        <f aca="true">VLOOKUP(RAND(),TablaEmpirica,2,TRUE())</f>
        <v>6</v>
      </c>
      <c r="H241" s="5" t="n">
        <f aca="false">MIN(F241,G241)</f>
        <v>6</v>
      </c>
      <c r="I241" s="5" t="n">
        <f aca="false">G241-H241</f>
        <v>0</v>
      </c>
      <c r="J241" s="5" t="n">
        <f aca="false">F241-H241</f>
        <v>10</v>
      </c>
      <c r="K241" s="5" t="n">
        <f aca="false">IF(I241&gt;0,1,0)</f>
        <v>0</v>
      </c>
      <c r="L241" s="5" t="n">
        <f aca="false">IF(J241&lt;PuntoReorden,1,0)</f>
        <v>0</v>
      </c>
      <c r="M241" s="18" t="n">
        <f aca="false">PrecioVenta*H241</f>
        <v>4080000</v>
      </c>
      <c r="N241" s="18" t="n">
        <f aca="false">CostoUnitario*E241</f>
        <v>0</v>
      </c>
      <c r="O241" s="18" t="n">
        <f aca="false">IF(E241&gt;0,CostoPedido,0)</f>
        <v>0</v>
      </c>
      <c r="P241" s="18" t="n">
        <f aca="false">CostoAlm*(F241+J241)/2</f>
        <v>1040</v>
      </c>
      <c r="Q241" s="18" t="n">
        <f aca="false">CostoFijo*D241</f>
        <v>0</v>
      </c>
      <c r="R241" s="18" t="n">
        <f aca="false">M241-N241-O241-P241-Q241</f>
        <v>4078960</v>
      </c>
    </row>
    <row r="242" customFormat="false" ht="15" hidden="false" customHeight="true" outlineLevel="0" collapsed="false">
      <c r="A242" s="5" t="n">
        <f aca="false">A241+1</f>
        <v>237</v>
      </c>
      <c r="B242" s="16" t="n">
        <f aca="false">B241+IF(WEEKDAY(B241,2)=6,2,1)</f>
        <v>46298</v>
      </c>
      <c r="C242" s="5" t="n">
        <f aca="false">MONTH(B242)</f>
        <v>10</v>
      </c>
      <c r="D242" s="5" t="n">
        <f aca="false">IF(C242&lt;&gt;C241,1,0)</f>
        <v>0</v>
      </c>
      <c r="E242" s="5" t="n">
        <f aca="false">IF(L241=1,CantPedido,0)</f>
        <v>0</v>
      </c>
      <c r="F242" s="5" t="n">
        <f aca="false">J241+E242</f>
        <v>10</v>
      </c>
      <c r="G242" s="5" t="n">
        <f aca="true">VLOOKUP(RAND(),TablaEmpirica,2,TRUE())</f>
        <v>6</v>
      </c>
      <c r="H242" s="5" t="n">
        <f aca="false">MIN(F242,G242)</f>
        <v>6</v>
      </c>
      <c r="I242" s="5" t="n">
        <f aca="false">G242-H242</f>
        <v>0</v>
      </c>
      <c r="J242" s="5" t="n">
        <f aca="false">F242-H242</f>
        <v>4</v>
      </c>
      <c r="K242" s="5" t="n">
        <f aca="false">IF(I242&gt;0,1,0)</f>
        <v>0</v>
      </c>
      <c r="L242" s="5" t="n">
        <f aca="false">IF(J242&lt;PuntoReorden,1,0)</f>
        <v>1</v>
      </c>
      <c r="M242" s="18" t="n">
        <f aca="false">PrecioVenta*H242</f>
        <v>4080000</v>
      </c>
      <c r="N242" s="18" t="n">
        <f aca="false">CostoUnitario*E242</f>
        <v>0</v>
      </c>
      <c r="O242" s="18" t="n">
        <f aca="false">IF(E242&gt;0,CostoPedido,0)</f>
        <v>0</v>
      </c>
      <c r="P242" s="18" t="n">
        <f aca="false">CostoAlm*(F242+J242)/2</f>
        <v>560</v>
      </c>
      <c r="Q242" s="18" t="n">
        <f aca="false">CostoFijo*D242</f>
        <v>0</v>
      </c>
      <c r="R242" s="18" t="n">
        <f aca="false">M242-N242-O242-P242-Q242</f>
        <v>4079440</v>
      </c>
    </row>
    <row r="243" customFormat="false" ht="15" hidden="false" customHeight="true" outlineLevel="0" collapsed="false">
      <c r="A243" s="5" t="n">
        <f aca="false">A242+1</f>
        <v>238</v>
      </c>
      <c r="B243" s="16" t="n">
        <f aca="false">B242+IF(WEEKDAY(B242,2)=6,2,1)</f>
        <v>46300</v>
      </c>
      <c r="C243" s="5" t="n">
        <f aca="false">MONTH(B243)</f>
        <v>10</v>
      </c>
      <c r="D243" s="5" t="n">
        <f aca="false">IF(C243&lt;&gt;C242,1,0)</f>
        <v>0</v>
      </c>
      <c r="E243" s="17" t="n">
        <f aca="false">IF(L242=1,CantPedido,0)</f>
        <v>15</v>
      </c>
      <c r="F243" s="5" t="n">
        <f aca="false">J242+E243</f>
        <v>19</v>
      </c>
      <c r="G243" s="5" t="n">
        <f aca="true">VLOOKUP(RAND(),TablaEmpirica,2,TRUE())</f>
        <v>5</v>
      </c>
      <c r="H243" s="5" t="n">
        <f aca="false">MIN(F243,G243)</f>
        <v>5</v>
      </c>
      <c r="I243" s="5" t="n">
        <f aca="false">G243-H243</f>
        <v>0</v>
      </c>
      <c r="J243" s="5" t="n">
        <f aca="false">F243-H243</f>
        <v>14</v>
      </c>
      <c r="K243" s="5" t="n">
        <f aca="false">IF(I243&gt;0,1,0)</f>
        <v>0</v>
      </c>
      <c r="L243" s="5" t="n">
        <f aca="false">IF(J243&lt;PuntoReorden,1,0)</f>
        <v>0</v>
      </c>
      <c r="M243" s="18" t="n">
        <f aca="false">PrecioVenta*H243</f>
        <v>3400000</v>
      </c>
      <c r="N243" s="18" t="n">
        <f aca="false">CostoUnitario*E243</f>
        <v>9000000</v>
      </c>
      <c r="O243" s="18" t="n">
        <f aca="false">IF(E243&gt;0,CostoPedido,0)</f>
        <v>40000</v>
      </c>
      <c r="P243" s="18" t="n">
        <f aca="false">CostoAlm*(F243+J243)/2</f>
        <v>1320</v>
      </c>
      <c r="Q243" s="18" t="n">
        <f aca="false">CostoFijo*D243</f>
        <v>0</v>
      </c>
      <c r="R243" s="18" t="n">
        <f aca="false">M243-N243-O243-P243-Q243</f>
        <v>-5641320</v>
      </c>
    </row>
    <row r="244" customFormat="false" ht="15" hidden="false" customHeight="true" outlineLevel="0" collapsed="false">
      <c r="A244" s="5" t="n">
        <f aca="false">A243+1</f>
        <v>239</v>
      </c>
      <c r="B244" s="16" t="n">
        <f aca="false">B243+IF(WEEKDAY(B243,2)=6,2,1)</f>
        <v>46301</v>
      </c>
      <c r="C244" s="5" t="n">
        <f aca="false">MONTH(B244)</f>
        <v>10</v>
      </c>
      <c r="D244" s="5" t="n">
        <f aca="false">IF(C244&lt;&gt;C243,1,0)</f>
        <v>0</v>
      </c>
      <c r="E244" s="17" t="n">
        <f aca="false">IF(L243=1,CantPedido,0)</f>
        <v>0</v>
      </c>
      <c r="F244" s="5" t="n">
        <f aca="false">J243+E244</f>
        <v>14</v>
      </c>
      <c r="G244" s="5" t="n">
        <f aca="true">VLOOKUP(RAND(),TablaEmpirica,2,TRUE())</f>
        <v>6</v>
      </c>
      <c r="H244" s="5" t="n">
        <f aca="false">MIN(F244,G244)</f>
        <v>6</v>
      </c>
      <c r="I244" s="5" t="n">
        <f aca="false">G244-H244</f>
        <v>0</v>
      </c>
      <c r="J244" s="5" t="n">
        <f aca="false">F244-H244</f>
        <v>8</v>
      </c>
      <c r="K244" s="5" t="n">
        <f aca="false">IF(I244&gt;0,1,0)</f>
        <v>0</v>
      </c>
      <c r="L244" s="5" t="n">
        <f aca="false">IF(J244&lt;PuntoReorden,1,0)</f>
        <v>0</v>
      </c>
      <c r="M244" s="18" t="n">
        <f aca="false">PrecioVenta*H244</f>
        <v>4080000</v>
      </c>
      <c r="N244" s="18" t="n">
        <f aca="false">CostoUnitario*E244</f>
        <v>0</v>
      </c>
      <c r="O244" s="18" t="n">
        <f aca="false">IF(E244&gt;0,CostoPedido,0)</f>
        <v>0</v>
      </c>
      <c r="P244" s="18" t="n">
        <f aca="false">CostoAlm*(F244+J244)/2</f>
        <v>880</v>
      </c>
      <c r="Q244" s="18" t="n">
        <f aca="false">CostoFijo*D244</f>
        <v>0</v>
      </c>
      <c r="R244" s="18" t="n">
        <f aca="false">M244-N244-O244-P244-Q244</f>
        <v>4079120</v>
      </c>
    </row>
    <row r="245" customFormat="false" ht="15" hidden="false" customHeight="true" outlineLevel="0" collapsed="false">
      <c r="A245" s="5" t="n">
        <f aca="false">A244+1</f>
        <v>240</v>
      </c>
      <c r="B245" s="16" t="n">
        <f aca="false">B244+IF(WEEKDAY(B244,2)=6,2,1)</f>
        <v>46302</v>
      </c>
      <c r="C245" s="5" t="n">
        <f aca="false">MONTH(B245)</f>
        <v>10</v>
      </c>
      <c r="D245" s="5" t="n">
        <f aca="false">IF(C245&lt;&gt;C244,1,0)</f>
        <v>0</v>
      </c>
      <c r="E245" s="5" t="n">
        <f aca="false">IF(L244=1,CantPedido,0)</f>
        <v>0</v>
      </c>
      <c r="F245" s="5" t="n">
        <f aca="false">J244+E245</f>
        <v>8</v>
      </c>
      <c r="G245" s="5" t="n">
        <f aca="true">VLOOKUP(RAND(),TablaEmpirica,2,TRUE())</f>
        <v>3</v>
      </c>
      <c r="H245" s="5" t="n">
        <f aca="false">MIN(F245,G245)</f>
        <v>3</v>
      </c>
      <c r="I245" s="5" t="n">
        <f aca="false">G245-H245</f>
        <v>0</v>
      </c>
      <c r="J245" s="5" t="n">
        <f aca="false">F245-H245</f>
        <v>5</v>
      </c>
      <c r="K245" s="5" t="n">
        <f aca="false">IF(I245&gt;0,1,0)</f>
        <v>0</v>
      </c>
      <c r="L245" s="5" t="n">
        <f aca="false">IF(J245&lt;PuntoReorden,1,0)</f>
        <v>1</v>
      </c>
      <c r="M245" s="18" t="n">
        <f aca="false">PrecioVenta*H245</f>
        <v>2040000</v>
      </c>
      <c r="N245" s="18" t="n">
        <f aca="false">CostoUnitario*E245</f>
        <v>0</v>
      </c>
      <c r="O245" s="18" t="n">
        <f aca="false">IF(E245&gt;0,CostoPedido,0)</f>
        <v>0</v>
      </c>
      <c r="P245" s="18" t="n">
        <f aca="false">CostoAlm*(F245+J245)/2</f>
        <v>520</v>
      </c>
      <c r="Q245" s="18" t="n">
        <f aca="false">CostoFijo*D245</f>
        <v>0</v>
      </c>
      <c r="R245" s="18" t="n">
        <f aca="false">M245-N245-O245-P245-Q245</f>
        <v>2039480</v>
      </c>
    </row>
    <row r="246" customFormat="false" ht="15" hidden="false" customHeight="true" outlineLevel="0" collapsed="false">
      <c r="A246" s="5" t="n">
        <f aca="false">A245+1</f>
        <v>241</v>
      </c>
      <c r="B246" s="16" t="n">
        <f aca="false">B245+IF(WEEKDAY(B245,2)=6,2,1)</f>
        <v>46303</v>
      </c>
      <c r="C246" s="5" t="n">
        <f aca="false">MONTH(B246)</f>
        <v>10</v>
      </c>
      <c r="D246" s="5" t="n">
        <f aca="false">IF(C246&lt;&gt;C245,1,0)</f>
        <v>0</v>
      </c>
      <c r="E246" s="17" t="n">
        <f aca="false">IF(L245=1,CantPedido,0)</f>
        <v>15</v>
      </c>
      <c r="F246" s="5" t="n">
        <f aca="false">J245+E246</f>
        <v>20</v>
      </c>
      <c r="G246" s="5" t="n">
        <f aca="true">VLOOKUP(RAND(),TablaEmpirica,2,TRUE())</f>
        <v>3</v>
      </c>
      <c r="H246" s="5" t="n">
        <f aca="false">MIN(F246,G246)</f>
        <v>3</v>
      </c>
      <c r="I246" s="5" t="n">
        <f aca="false">G246-H246</f>
        <v>0</v>
      </c>
      <c r="J246" s="5" t="n">
        <f aca="false">F246-H246</f>
        <v>17</v>
      </c>
      <c r="K246" s="5" t="n">
        <f aca="false">IF(I246&gt;0,1,0)</f>
        <v>0</v>
      </c>
      <c r="L246" s="5" t="n">
        <f aca="false">IF(J246&lt;PuntoReorden,1,0)</f>
        <v>0</v>
      </c>
      <c r="M246" s="18" t="n">
        <f aca="false">PrecioVenta*H246</f>
        <v>2040000</v>
      </c>
      <c r="N246" s="18" t="n">
        <f aca="false">CostoUnitario*E246</f>
        <v>9000000</v>
      </c>
      <c r="O246" s="18" t="n">
        <f aca="false">IF(E246&gt;0,CostoPedido,0)</f>
        <v>40000</v>
      </c>
      <c r="P246" s="18" t="n">
        <f aca="false">CostoAlm*(F246+J246)/2</f>
        <v>1480</v>
      </c>
      <c r="Q246" s="18" t="n">
        <f aca="false">CostoFijo*D246</f>
        <v>0</v>
      </c>
      <c r="R246" s="18" t="n">
        <f aca="false">M246-N246-O246-P246-Q246</f>
        <v>-7001480</v>
      </c>
    </row>
    <row r="247" customFormat="false" ht="15" hidden="false" customHeight="true" outlineLevel="0" collapsed="false">
      <c r="A247" s="5" t="n">
        <f aca="false">A246+1</f>
        <v>242</v>
      </c>
      <c r="B247" s="16" t="n">
        <f aca="false">B246+IF(WEEKDAY(B246,2)=6,2,1)</f>
        <v>46304</v>
      </c>
      <c r="C247" s="5" t="n">
        <f aca="false">MONTH(B247)</f>
        <v>10</v>
      </c>
      <c r="D247" s="5" t="n">
        <f aca="false">IF(C247&lt;&gt;C246,1,0)</f>
        <v>0</v>
      </c>
      <c r="E247" s="5" t="n">
        <f aca="false">IF(L246=1,CantPedido,0)</f>
        <v>0</v>
      </c>
      <c r="F247" s="5" t="n">
        <f aca="false">J246+E247</f>
        <v>17</v>
      </c>
      <c r="G247" s="5" t="n">
        <f aca="true">VLOOKUP(RAND(),TablaEmpirica,2,TRUE())</f>
        <v>6</v>
      </c>
      <c r="H247" s="5" t="n">
        <f aca="false">MIN(F247,G247)</f>
        <v>6</v>
      </c>
      <c r="I247" s="5" t="n">
        <f aca="false">G247-H247</f>
        <v>0</v>
      </c>
      <c r="J247" s="5" t="n">
        <f aca="false">F247-H247</f>
        <v>11</v>
      </c>
      <c r="K247" s="5" t="n">
        <f aca="false">IF(I247&gt;0,1,0)</f>
        <v>0</v>
      </c>
      <c r="L247" s="5" t="n">
        <f aca="false">IF(J247&lt;PuntoReorden,1,0)</f>
        <v>0</v>
      </c>
      <c r="M247" s="18" t="n">
        <f aca="false">PrecioVenta*H247</f>
        <v>4080000</v>
      </c>
      <c r="N247" s="18" t="n">
        <f aca="false">CostoUnitario*E247</f>
        <v>0</v>
      </c>
      <c r="O247" s="18" t="n">
        <f aca="false">IF(E247&gt;0,CostoPedido,0)</f>
        <v>0</v>
      </c>
      <c r="P247" s="18" t="n">
        <f aca="false">CostoAlm*(F247+J247)/2</f>
        <v>1120</v>
      </c>
      <c r="Q247" s="18" t="n">
        <f aca="false">CostoFijo*D247</f>
        <v>0</v>
      </c>
      <c r="R247" s="18" t="n">
        <f aca="false">M247-N247-O247-P247-Q247</f>
        <v>4078880</v>
      </c>
    </row>
    <row r="248" customFormat="false" ht="15" hidden="false" customHeight="true" outlineLevel="0" collapsed="false">
      <c r="A248" s="5" t="n">
        <f aca="false">A247+1</f>
        <v>243</v>
      </c>
      <c r="B248" s="16" t="n">
        <f aca="false">B247+IF(WEEKDAY(B247,2)=6,2,1)</f>
        <v>46305</v>
      </c>
      <c r="C248" s="5" t="n">
        <f aca="false">MONTH(B248)</f>
        <v>10</v>
      </c>
      <c r="D248" s="5" t="n">
        <f aca="false">IF(C248&lt;&gt;C247,1,0)</f>
        <v>0</v>
      </c>
      <c r="E248" s="5" t="n">
        <f aca="false">IF(L247=1,CantPedido,0)</f>
        <v>0</v>
      </c>
      <c r="F248" s="5" t="n">
        <f aca="false">J247+E248</f>
        <v>11</v>
      </c>
      <c r="G248" s="5" t="n">
        <f aca="true">VLOOKUP(RAND(),TablaEmpirica,2,TRUE())</f>
        <v>5</v>
      </c>
      <c r="H248" s="5" t="n">
        <f aca="false">MIN(F248,G248)</f>
        <v>5</v>
      </c>
      <c r="I248" s="5" t="n">
        <f aca="false">G248-H248</f>
        <v>0</v>
      </c>
      <c r="J248" s="5" t="n">
        <f aca="false">F248-H248</f>
        <v>6</v>
      </c>
      <c r="K248" s="5" t="n">
        <f aca="false">IF(I248&gt;0,1,0)</f>
        <v>0</v>
      </c>
      <c r="L248" s="5" t="n">
        <f aca="false">IF(J248&lt;PuntoReorden,1,0)</f>
        <v>1</v>
      </c>
      <c r="M248" s="18" t="n">
        <f aca="false">PrecioVenta*H248</f>
        <v>3400000</v>
      </c>
      <c r="N248" s="18" t="n">
        <f aca="false">CostoUnitario*E248</f>
        <v>0</v>
      </c>
      <c r="O248" s="18" t="n">
        <f aca="false">IF(E248&gt;0,CostoPedido,0)</f>
        <v>0</v>
      </c>
      <c r="P248" s="18" t="n">
        <f aca="false">CostoAlm*(F248+J248)/2</f>
        <v>680</v>
      </c>
      <c r="Q248" s="18" t="n">
        <f aca="false">CostoFijo*D248</f>
        <v>0</v>
      </c>
      <c r="R248" s="18" t="n">
        <f aca="false">M248-N248-O248-P248-Q248</f>
        <v>3399320</v>
      </c>
    </row>
    <row r="249" customFormat="false" ht="15" hidden="false" customHeight="true" outlineLevel="0" collapsed="false">
      <c r="A249" s="5" t="n">
        <f aca="false">A248+1</f>
        <v>244</v>
      </c>
      <c r="B249" s="16" t="n">
        <f aca="false">B248+IF(WEEKDAY(B248,2)=6,2,1)</f>
        <v>46307</v>
      </c>
      <c r="C249" s="5" t="n">
        <f aca="false">MONTH(B249)</f>
        <v>10</v>
      </c>
      <c r="D249" s="5" t="n">
        <f aca="false">IF(C249&lt;&gt;C248,1,0)</f>
        <v>0</v>
      </c>
      <c r="E249" s="17" t="n">
        <f aca="false">IF(L248=1,CantPedido,0)</f>
        <v>15</v>
      </c>
      <c r="F249" s="5" t="n">
        <f aca="false">J248+E249</f>
        <v>21</v>
      </c>
      <c r="G249" s="5" t="n">
        <f aca="true">VLOOKUP(RAND(),TablaEmpirica,2,TRUE())</f>
        <v>6</v>
      </c>
      <c r="H249" s="5" t="n">
        <f aca="false">MIN(F249,G249)</f>
        <v>6</v>
      </c>
      <c r="I249" s="5" t="n">
        <f aca="false">G249-H249</f>
        <v>0</v>
      </c>
      <c r="J249" s="5" t="n">
        <f aca="false">F249-H249</f>
        <v>15</v>
      </c>
      <c r="K249" s="5" t="n">
        <f aca="false">IF(I249&gt;0,1,0)</f>
        <v>0</v>
      </c>
      <c r="L249" s="5" t="n">
        <f aca="false">IF(J249&lt;PuntoReorden,1,0)</f>
        <v>0</v>
      </c>
      <c r="M249" s="18" t="n">
        <f aca="false">PrecioVenta*H249</f>
        <v>4080000</v>
      </c>
      <c r="N249" s="18" t="n">
        <f aca="false">CostoUnitario*E249</f>
        <v>9000000</v>
      </c>
      <c r="O249" s="18" t="n">
        <f aca="false">IF(E249&gt;0,CostoPedido,0)</f>
        <v>40000</v>
      </c>
      <c r="P249" s="18" t="n">
        <f aca="false">CostoAlm*(F249+J249)/2</f>
        <v>1440</v>
      </c>
      <c r="Q249" s="18" t="n">
        <f aca="false">CostoFijo*D249</f>
        <v>0</v>
      </c>
      <c r="R249" s="18" t="n">
        <f aca="false">M249-N249-O249-P249-Q249</f>
        <v>-4961440</v>
      </c>
    </row>
    <row r="250" customFormat="false" ht="15" hidden="false" customHeight="true" outlineLevel="0" collapsed="false">
      <c r="A250" s="5" t="n">
        <f aca="false">A249+1</f>
        <v>245</v>
      </c>
      <c r="B250" s="16" t="n">
        <f aca="false">B249+IF(WEEKDAY(B249,2)=6,2,1)</f>
        <v>46308</v>
      </c>
      <c r="C250" s="5" t="n">
        <f aca="false">MONTH(B250)</f>
        <v>10</v>
      </c>
      <c r="D250" s="5" t="n">
        <f aca="false">IF(C250&lt;&gt;C249,1,0)</f>
        <v>0</v>
      </c>
      <c r="E250" s="5" t="n">
        <f aca="false">IF(L249=1,CantPedido,0)</f>
        <v>0</v>
      </c>
      <c r="F250" s="5" t="n">
        <f aca="false">J249+E250</f>
        <v>15</v>
      </c>
      <c r="G250" s="5" t="n">
        <f aca="true">VLOOKUP(RAND(),TablaEmpirica,2,TRUE())</f>
        <v>6</v>
      </c>
      <c r="H250" s="5" t="n">
        <f aca="false">MIN(F250,G250)</f>
        <v>6</v>
      </c>
      <c r="I250" s="5" t="n">
        <f aca="false">G250-H250</f>
        <v>0</v>
      </c>
      <c r="J250" s="5" t="n">
        <f aca="false">F250-H250</f>
        <v>9</v>
      </c>
      <c r="K250" s="5" t="n">
        <f aca="false">IF(I250&gt;0,1,0)</f>
        <v>0</v>
      </c>
      <c r="L250" s="5" t="n">
        <f aca="false">IF(J250&lt;PuntoReorden,1,0)</f>
        <v>0</v>
      </c>
      <c r="M250" s="18" t="n">
        <f aca="false">PrecioVenta*H250</f>
        <v>4080000</v>
      </c>
      <c r="N250" s="18" t="n">
        <f aca="false">CostoUnitario*E250</f>
        <v>0</v>
      </c>
      <c r="O250" s="18" t="n">
        <f aca="false">IF(E250&gt;0,CostoPedido,0)</f>
        <v>0</v>
      </c>
      <c r="P250" s="18" t="n">
        <f aca="false">CostoAlm*(F250+J250)/2</f>
        <v>960</v>
      </c>
      <c r="Q250" s="18" t="n">
        <f aca="false">CostoFijo*D250</f>
        <v>0</v>
      </c>
      <c r="R250" s="18" t="n">
        <f aca="false">M250-N250-O250-P250-Q250</f>
        <v>4079040</v>
      </c>
    </row>
    <row r="251" customFormat="false" ht="15" hidden="false" customHeight="true" outlineLevel="0" collapsed="false">
      <c r="A251" s="5" t="n">
        <f aca="false">A250+1</f>
        <v>246</v>
      </c>
      <c r="B251" s="16" t="n">
        <f aca="false">B250+IF(WEEKDAY(B250,2)=6,2,1)</f>
        <v>46309</v>
      </c>
      <c r="C251" s="5" t="n">
        <f aca="false">MONTH(B251)</f>
        <v>10</v>
      </c>
      <c r="D251" s="5" t="n">
        <f aca="false">IF(C251&lt;&gt;C250,1,0)</f>
        <v>0</v>
      </c>
      <c r="E251" s="5" t="n">
        <f aca="false">IF(L250=1,CantPedido,0)</f>
        <v>0</v>
      </c>
      <c r="F251" s="5" t="n">
        <f aca="false">J250+E251</f>
        <v>9</v>
      </c>
      <c r="G251" s="5" t="n">
        <f aca="true">VLOOKUP(RAND(),TablaEmpirica,2,TRUE())</f>
        <v>5</v>
      </c>
      <c r="H251" s="5" t="n">
        <f aca="false">MIN(F251,G251)</f>
        <v>5</v>
      </c>
      <c r="I251" s="5" t="n">
        <f aca="false">G251-H251</f>
        <v>0</v>
      </c>
      <c r="J251" s="5" t="n">
        <f aca="false">F251-H251</f>
        <v>4</v>
      </c>
      <c r="K251" s="5" t="n">
        <f aca="false">IF(I251&gt;0,1,0)</f>
        <v>0</v>
      </c>
      <c r="L251" s="5" t="n">
        <f aca="false">IF(J251&lt;PuntoReorden,1,0)</f>
        <v>1</v>
      </c>
      <c r="M251" s="18" t="n">
        <f aca="false">PrecioVenta*H251</f>
        <v>3400000</v>
      </c>
      <c r="N251" s="18" t="n">
        <f aca="false">CostoUnitario*E251</f>
        <v>0</v>
      </c>
      <c r="O251" s="18" t="n">
        <f aca="false">IF(E251&gt;0,CostoPedido,0)</f>
        <v>0</v>
      </c>
      <c r="P251" s="18" t="n">
        <f aca="false">CostoAlm*(F251+J251)/2</f>
        <v>520</v>
      </c>
      <c r="Q251" s="18" t="n">
        <f aca="false">CostoFijo*D251</f>
        <v>0</v>
      </c>
      <c r="R251" s="18" t="n">
        <f aca="false">M251-N251-O251-P251-Q251</f>
        <v>3399480</v>
      </c>
    </row>
    <row r="252" customFormat="false" ht="15" hidden="false" customHeight="true" outlineLevel="0" collapsed="false">
      <c r="A252" s="5" t="n">
        <f aca="false">A251+1</f>
        <v>247</v>
      </c>
      <c r="B252" s="16" t="n">
        <f aca="false">B251+IF(WEEKDAY(B251,2)=6,2,1)</f>
        <v>46310</v>
      </c>
      <c r="C252" s="5" t="n">
        <f aca="false">MONTH(B252)</f>
        <v>10</v>
      </c>
      <c r="D252" s="5" t="n">
        <f aca="false">IF(C252&lt;&gt;C251,1,0)</f>
        <v>0</v>
      </c>
      <c r="E252" s="17" t="n">
        <f aca="false">IF(L251=1,CantPedido,0)</f>
        <v>15</v>
      </c>
      <c r="F252" s="5" t="n">
        <f aca="false">J251+E252</f>
        <v>19</v>
      </c>
      <c r="G252" s="5" t="n">
        <f aca="true">VLOOKUP(RAND(),TablaEmpirica,2,TRUE())</f>
        <v>6</v>
      </c>
      <c r="H252" s="5" t="n">
        <f aca="false">MIN(F252,G252)</f>
        <v>6</v>
      </c>
      <c r="I252" s="5" t="n">
        <f aca="false">G252-H252</f>
        <v>0</v>
      </c>
      <c r="J252" s="5" t="n">
        <f aca="false">F252-H252</f>
        <v>13</v>
      </c>
      <c r="K252" s="5" t="n">
        <f aca="false">IF(I252&gt;0,1,0)</f>
        <v>0</v>
      </c>
      <c r="L252" s="5" t="n">
        <f aca="false">IF(J252&lt;PuntoReorden,1,0)</f>
        <v>0</v>
      </c>
      <c r="M252" s="18" t="n">
        <f aca="false">PrecioVenta*H252</f>
        <v>4080000</v>
      </c>
      <c r="N252" s="18" t="n">
        <f aca="false">CostoUnitario*E252</f>
        <v>9000000</v>
      </c>
      <c r="O252" s="18" t="n">
        <f aca="false">IF(E252&gt;0,CostoPedido,0)</f>
        <v>40000</v>
      </c>
      <c r="P252" s="18" t="n">
        <f aca="false">CostoAlm*(F252+J252)/2</f>
        <v>1280</v>
      </c>
      <c r="Q252" s="18" t="n">
        <f aca="false">CostoFijo*D252</f>
        <v>0</v>
      </c>
      <c r="R252" s="18" t="n">
        <f aca="false">M252-N252-O252-P252-Q252</f>
        <v>-4961280</v>
      </c>
    </row>
    <row r="253" customFormat="false" ht="15" hidden="false" customHeight="true" outlineLevel="0" collapsed="false">
      <c r="A253" s="5" t="n">
        <f aca="false">A252+1</f>
        <v>248</v>
      </c>
      <c r="B253" s="16" t="n">
        <f aca="false">B252+IF(WEEKDAY(B252,2)=6,2,1)</f>
        <v>46311</v>
      </c>
      <c r="C253" s="5" t="n">
        <f aca="false">MONTH(B253)</f>
        <v>10</v>
      </c>
      <c r="D253" s="5" t="n">
        <f aca="false">IF(C253&lt;&gt;C252,1,0)</f>
        <v>0</v>
      </c>
      <c r="E253" s="5" t="n">
        <f aca="false">IF(L252=1,CantPedido,0)</f>
        <v>0</v>
      </c>
      <c r="F253" s="5" t="n">
        <f aca="false">J252+E253</f>
        <v>13</v>
      </c>
      <c r="G253" s="5" t="n">
        <f aca="true">VLOOKUP(RAND(),TablaEmpirica,2,TRUE())</f>
        <v>6</v>
      </c>
      <c r="H253" s="5" t="n">
        <f aca="false">MIN(F253,G253)</f>
        <v>6</v>
      </c>
      <c r="I253" s="5" t="n">
        <f aca="false">G253-H253</f>
        <v>0</v>
      </c>
      <c r="J253" s="5" t="n">
        <f aca="false">F253-H253</f>
        <v>7</v>
      </c>
      <c r="K253" s="5" t="n">
        <f aca="false">IF(I253&gt;0,1,0)</f>
        <v>0</v>
      </c>
      <c r="L253" s="5" t="n">
        <f aca="false">IF(J253&lt;PuntoReorden,1,0)</f>
        <v>0</v>
      </c>
      <c r="M253" s="18" t="n">
        <f aca="false">PrecioVenta*H253</f>
        <v>4080000</v>
      </c>
      <c r="N253" s="18" t="n">
        <f aca="false">CostoUnitario*E253</f>
        <v>0</v>
      </c>
      <c r="O253" s="18" t="n">
        <f aca="false">IF(E253&gt;0,CostoPedido,0)</f>
        <v>0</v>
      </c>
      <c r="P253" s="18" t="n">
        <f aca="false">CostoAlm*(F253+J253)/2</f>
        <v>800</v>
      </c>
      <c r="Q253" s="18" t="n">
        <f aca="false">CostoFijo*D253</f>
        <v>0</v>
      </c>
      <c r="R253" s="18" t="n">
        <f aca="false">M253-N253-O253-P253-Q253</f>
        <v>4079200</v>
      </c>
    </row>
    <row r="254" customFormat="false" ht="15" hidden="false" customHeight="true" outlineLevel="0" collapsed="false">
      <c r="A254" s="5" t="n">
        <f aca="false">A253+1</f>
        <v>249</v>
      </c>
      <c r="B254" s="16" t="n">
        <f aca="false">B253+IF(WEEKDAY(B253,2)=6,2,1)</f>
        <v>46312</v>
      </c>
      <c r="C254" s="5" t="n">
        <f aca="false">MONTH(B254)</f>
        <v>10</v>
      </c>
      <c r="D254" s="5" t="n">
        <f aca="false">IF(C254&lt;&gt;C253,1,0)</f>
        <v>0</v>
      </c>
      <c r="E254" s="5" t="n">
        <f aca="false">IF(L253=1,CantPedido,0)</f>
        <v>0</v>
      </c>
      <c r="F254" s="5" t="n">
        <f aca="false">J253+E254</f>
        <v>7</v>
      </c>
      <c r="G254" s="5" t="n">
        <f aca="true">VLOOKUP(RAND(),TablaEmpirica,2,TRUE())</f>
        <v>6</v>
      </c>
      <c r="H254" s="5" t="n">
        <f aca="false">MIN(F254,G254)</f>
        <v>6</v>
      </c>
      <c r="I254" s="5" t="n">
        <f aca="false">G254-H254</f>
        <v>0</v>
      </c>
      <c r="J254" s="5" t="n">
        <f aca="false">F254-H254</f>
        <v>1</v>
      </c>
      <c r="K254" s="5" t="n">
        <f aca="false">IF(I254&gt;0,1,0)</f>
        <v>0</v>
      </c>
      <c r="L254" s="5" t="n">
        <f aca="false">IF(J254&lt;PuntoReorden,1,0)</f>
        <v>1</v>
      </c>
      <c r="M254" s="18" t="n">
        <f aca="false">PrecioVenta*H254</f>
        <v>4080000</v>
      </c>
      <c r="N254" s="18" t="n">
        <f aca="false">CostoUnitario*E254</f>
        <v>0</v>
      </c>
      <c r="O254" s="18" t="n">
        <f aca="false">IF(E254&gt;0,CostoPedido,0)</f>
        <v>0</v>
      </c>
      <c r="P254" s="18" t="n">
        <f aca="false">CostoAlm*(F254+J254)/2</f>
        <v>320</v>
      </c>
      <c r="Q254" s="18" t="n">
        <f aca="false">CostoFijo*D254</f>
        <v>0</v>
      </c>
      <c r="R254" s="18" t="n">
        <f aca="false">M254-N254-O254-P254-Q254</f>
        <v>4079680</v>
      </c>
    </row>
    <row r="255" customFormat="false" ht="15" hidden="false" customHeight="true" outlineLevel="0" collapsed="false">
      <c r="A255" s="5" t="n">
        <f aca="false">A254+1</f>
        <v>250</v>
      </c>
      <c r="B255" s="16" t="n">
        <f aca="false">B254+IF(WEEKDAY(B254,2)=6,2,1)</f>
        <v>46314</v>
      </c>
      <c r="C255" s="5" t="n">
        <f aca="false">MONTH(B255)</f>
        <v>10</v>
      </c>
      <c r="D255" s="5" t="n">
        <f aca="false">IF(C255&lt;&gt;C254,1,0)</f>
        <v>0</v>
      </c>
      <c r="E255" s="17" t="n">
        <f aca="false">IF(L254=1,CantPedido,0)</f>
        <v>15</v>
      </c>
      <c r="F255" s="5" t="n">
        <f aca="false">J254+E255</f>
        <v>16</v>
      </c>
      <c r="G255" s="5" t="n">
        <f aca="true">VLOOKUP(RAND(),TablaEmpirica,2,TRUE())</f>
        <v>3</v>
      </c>
      <c r="H255" s="5" t="n">
        <f aca="false">MIN(F255,G255)</f>
        <v>3</v>
      </c>
      <c r="I255" s="5" t="n">
        <f aca="false">G255-H255</f>
        <v>0</v>
      </c>
      <c r="J255" s="5" t="n">
        <f aca="false">F255-H255</f>
        <v>13</v>
      </c>
      <c r="K255" s="5" t="n">
        <f aca="false">IF(I255&gt;0,1,0)</f>
        <v>0</v>
      </c>
      <c r="L255" s="5" t="n">
        <f aca="false">IF(J255&lt;PuntoReorden,1,0)</f>
        <v>0</v>
      </c>
      <c r="M255" s="18" t="n">
        <f aca="false">PrecioVenta*H255</f>
        <v>2040000</v>
      </c>
      <c r="N255" s="18" t="n">
        <f aca="false">CostoUnitario*E255</f>
        <v>9000000</v>
      </c>
      <c r="O255" s="18" t="n">
        <f aca="false">IF(E255&gt;0,CostoPedido,0)</f>
        <v>40000</v>
      </c>
      <c r="P255" s="18" t="n">
        <f aca="false">CostoAlm*(F255+J255)/2</f>
        <v>1160</v>
      </c>
      <c r="Q255" s="18" t="n">
        <f aca="false">CostoFijo*D255</f>
        <v>0</v>
      </c>
      <c r="R255" s="18" t="n">
        <f aca="false">M255-N255-O255-P255-Q255</f>
        <v>-7001160</v>
      </c>
    </row>
    <row r="256" customFormat="false" ht="15" hidden="false" customHeight="true" outlineLevel="0" collapsed="false">
      <c r="A256" s="5" t="n">
        <f aca="false">A255+1</f>
        <v>251</v>
      </c>
      <c r="B256" s="16" t="n">
        <f aca="false">B255+IF(WEEKDAY(B255,2)=6,2,1)</f>
        <v>46315</v>
      </c>
      <c r="C256" s="5" t="n">
        <f aca="false">MONTH(B256)</f>
        <v>10</v>
      </c>
      <c r="D256" s="5" t="n">
        <f aca="false">IF(C256&lt;&gt;C255,1,0)</f>
        <v>0</v>
      </c>
      <c r="E256" s="5" t="n">
        <f aca="false">IF(L255=1,CantPedido,0)</f>
        <v>0</v>
      </c>
      <c r="F256" s="5" t="n">
        <f aca="false">J255+E256</f>
        <v>13</v>
      </c>
      <c r="G256" s="5" t="n">
        <f aca="true">VLOOKUP(RAND(),TablaEmpirica,2,TRUE())</f>
        <v>3</v>
      </c>
      <c r="H256" s="5" t="n">
        <f aca="false">MIN(F256,G256)</f>
        <v>3</v>
      </c>
      <c r="I256" s="5" t="n">
        <f aca="false">G256-H256</f>
        <v>0</v>
      </c>
      <c r="J256" s="5" t="n">
        <f aca="false">F256-H256</f>
        <v>10</v>
      </c>
      <c r="K256" s="5" t="n">
        <f aca="false">IF(I256&gt;0,1,0)</f>
        <v>0</v>
      </c>
      <c r="L256" s="5" t="n">
        <f aca="false">IF(J256&lt;PuntoReorden,1,0)</f>
        <v>0</v>
      </c>
      <c r="M256" s="18" t="n">
        <f aca="false">PrecioVenta*H256</f>
        <v>2040000</v>
      </c>
      <c r="N256" s="18" t="n">
        <f aca="false">CostoUnitario*E256</f>
        <v>0</v>
      </c>
      <c r="O256" s="18" t="n">
        <f aca="false">IF(E256&gt;0,CostoPedido,0)</f>
        <v>0</v>
      </c>
      <c r="P256" s="18" t="n">
        <f aca="false">CostoAlm*(F256+J256)/2</f>
        <v>920</v>
      </c>
      <c r="Q256" s="18" t="n">
        <f aca="false">CostoFijo*D256</f>
        <v>0</v>
      </c>
      <c r="R256" s="18" t="n">
        <f aca="false">M256-N256-O256-P256-Q256</f>
        <v>2039080</v>
      </c>
    </row>
    <row r="257" customFormat="false" ht="15" hidden="false" customHeight="true" outlineLevel="0" collapsed="false">
      <c r="A257" s="5" t="n">
        <f aca="false">A256+1</f>
        <v>252</v>
      </c>
      <c r="B257" s="16" t="n">
        <f aca="false">B256+IF(WEEKDAY(B256,2)=6,2,1)</f>
        <v>46316</v>
      </c>
      <c r="C257" s="5" t="n">
        <f aca="false">MONTH(B257)</f>
        <v>10</v>
      </c>
      <c r="D257" s="5" t="n">
        <f aca="false">IF(C257&lt;&gt;C256,1,0)</f>
        <v>0</v>
      </c>
      <c r="E257" s="5" t="n">
        <f aca="false">IF(L256=1,CantPedido,0)</f>
        <v>0</v>
      </c>
      <c r="F257" s="5" t="n">
        <f aca="false">J256+E257</f>
        <v>10</v>
      </c>
      <c r="G257" s="5" t="n">
        <f aca="true">VLOOKUP(RAND(),TablaEmpirica,2,TRUE())</f>
        <v>6</v>
      </c>
      <c r="H257" s="5" t="n">
        <f aca="false">MIN(F257,G257)</f>
        <v>6</v>
      </c>
      <c r="I257" s="5" t="n">
        <f aca="false">G257-H257</f>
        <v>0</v>
      </c>
      <c r="J257" s="5" t="n">
        <f aca="false">F257-H257</f>
        <v>4</v>
      </c>
      <c r="K257" s="5" t="n">
        <f aca="false">IF(I257&gt;0,1,0)</f>
        <v>0</v>
      </c>
      <c r="L257" s="5" t="n">
        <f aca="false">IF(J257&lt;PuntoReorden,1,0)</f>
        <v>1</v>
      </c>
      <c r="M257" s="18" t="n">
        <f aca="false">PrecioVenta*H257</f>
        <v>4080000</v>
      </c>
      <c r="N257" s="18" t="n">
        <f aca="false">CostoUnitario*E257</f>
        <v>0</v>
      </c>
      <c r="O257" s="18" t="n">
        <f aca="false">IF(E257&gt;0,CostoPedido,0)</f>
        <v>0</v>
      </c>
      <c r="P257" s="18" t="n">
        <f aca="false">CostoAlm*(F257+J257)/2</f>
        <v>560</v>
      </c>
      <c r="Q257" s="18" t="n">
        <f aca="false">CostoFijo*D257</f>
        <v>0</v>
      </c>
      <c r="R257" s="18" t="n">
        <f aca="false">M257-N257-O257-P257-Q257</f>
        <v>4079440</v>
      </c>
    </row>
    <row r="258" customFormat="false" ht="15" hidden="false" customHeight="true" outlineLevel="0" collapsed="false">
      <c r="A258" s="5" t="n">
        <f aca="false">A257+1</f>
        <v>253</v>
      </c>
      <c r="B258" s="16" t="n">
        <f aca="false">B257+IF(WEEKDAY(B257,2)=6,2,1)</f>
        <v>46317</v>
      </c>
      <c r="C258" s="5" t="n">
        <f aca="false">MONTH(B258)</f>
        <v>10</v>
      </c>
      <c r="D258" s="5" t="n">
        <f aca="false">IF(C258&lt;&gt;C257,1,0)</f>
        <v>0</v>
      </c>
      <c r="E258" s="17" t="n">
        <f aca="false">IF(L257=1,CantPedido,0)</f>
        <v>15</v>
      </c>
      <c r="F258" s="5" t="n">
        <f aca="false">J257+E258</f>
        <v>19</v>
      </c>
      <c r="G258" s="5" t="n">
        <f aca="true">VLOOKUP(RAND(),TablaEmpirica,2,TRUE())</f>
        <v>5</v>
      </c>
      <c r="H258" s="5" t="n">
        <f aca="false">MIN(F258,G258)</f>
        <v>5</v>
      </c>
      <c r="I258" s="5" t="n">
        <f aca="false">G258-H258</f>
        <v>0</v>
      </c>
      <c r="J258" s="5" t="n">
        <f aca="false">F258-H258</f>
        <v>14</v>
      </c>
      <c r="K258" s="5" t="n">
        <f aca="false">IF(I258&gt;0,1,0)</f>
        <v>0</v>
      </c>
      <c r="L258" s="5" t="n">
        <f aca="false">IF(J258&lt;PuntoReorden,1,0)</f>
        <v>0</v>
      </c>
      <c r="M258" s="18" t="n">
        <f aca="false">PrecioVenta*H258</f>
        <v>3400000</v>
      </c>
      <c r="N258" s="18" t="n">
        <f aca="false">CostoUnitario*E258</f>
        <v>9000000</v>
      </c>
      <c r="O258" s="18" t="n">
        <f aca="false">IF(E258&gt;0,CostoPedido,0)</f>
        <v>40000</v>
      </c>
      <c r="P258" s="18" t="n">
        <f aca="false">CostoAlm*(F258+J258)/2</f>
        <v>1320</v>
      </c>
      <c r="Q258" s="18" t="n">
        <f aca="false">CostoFijo*D258</f>
        <v>0</v>
      </c>
      <c r="R258" s="18" t="n">
        <f aca="false">M258-N258-O258-P258-Q258</f>
        <v>-5641320</v>
      </c>
    </row>
    <row r="259" customFormat="false" ht="15" hidden="false" customHeight="true" outlineLevel="0" collapsed="false">
      <c r="A259" s="5" t="n">
        <f aca="false">A258+1</f>
        <v>254</v>
      </c>
      <c r="B259" s="16" t="n">
        <f aca="false">B258+IF(WEEKDAY(B258,2)=6,2,1)</f>
        <v>46318</v>
      </c>
      <c r="C259" s="5" t="n">
        <f aca="false">MONTH(B259)</f>
        <v>10</v>
      </c>
      <c r="D259" s="5" t="n">
        <f aca="false">IF(C259&lt;&gt;C258,1,0)</f>
        <v>0</v>
      </c>
      <c r="E259" s="5" t="n">
        <f aca="false">IF(L258=1,CantPedido,0)</f>
        <v>0</v>
      </c>
      <c r="F259" s="5" t="n">
        <f aca="false">J258+E259</f>
        <v>14</v>
      </c>
      <c r="G259" s="5" t="n">
        <f aca="true">VLOOKUP(RAND(),TablaEmpirica,2,TRUE())</f>
        <v>6</v>
      </c>
      <c r="H259" s="5" t="n">
        <f aca="false">MIN(F259,G259)</f>
        <v>6</v>
      </c>
      <c r="I259" s="5" t="n">
        <f aca="false">G259-H259</f>
        <v>0</v>
      </c>
      <c r="J259" s="5" t="n">
        <f aca="false">F259-H259</f>
        <v>8</v>
      </c>
      <c r="K259" s="5" t="n">
        <f aca="false">IF(I259&gt;0,1,0)</f>
        <v>0</v>
      </c>
      <c r="L259" s="5" t="n">
        <f aca="false">IF(J259&lt;PuntoReorden,1,0)</f>
        <v>0</v>
      </c>
      <c r="M259" s="18" t="n">
        <f aca="false">PrecioVenta*H259</f>
        <v>4080000</v>
      </c>
      <c r="N259" s="18" t="n">
        <f aca="false">CostoUnitario*E259</f>
        <v>0</v>
      </c>
      <c r="O259" s="18" t="n">
        <f aca="false">IF(E259&gt;0,CostoPedido,0)</f>
        <v>0</v>
      </c>
      <c r="P259" s="18" t="n">
        <f aca="false">CostoAlm*(F259+J259)/2</f>
        <v>880</v>
      </c>
      <c r="Q259" s="18" t="n">
        <f aca="false">CostoFijo*D259</f>
        <v>0</v>
      </c>
      <c r="R259" s="18" t="n">
        <f aca="false">M259-N259-O259-P259-Q259</f>
        <v>4079120</v>
      </c>
    </row>
    <row r="260" customFormat="false" ht="15" hidden="false" customHeight="true" outlineLevel="0" collapsed="false">
      <c r="A260" s="5" t="n">
        <f aca="false">A259+1</f>
        <v>255</v>
      </c>
      <c r="B260" s="16" t="n">
        <f aca="false">B259+IF(WEEKDAY(B259,2)=6,2,1)</f>
        <v>46319</v>
      </c>
      <c r="C260" s="5" t="n">
        <f aca="false">MONTH(B260)</f>
        <v>10</v>
      </c>
      <c r="D260" s="5" t="n">
        <f aca="false">IF(C260&lt;&gt;C259,1,0)</f>
        <v>0</v>
      </c>
      <c r="E260" s="5" t="n">
        <f aca="false">IF(L259=1,CantPedido,0)</f>
        <v>0</v>
      </c>
      <c r="F260" s="5" t="n">
        <f aca="false">J259+E260</f>
        <v>8</v>
      </c>
      <c r="G260" s="5" t="n">
        <f aca="true">VLOOKUP(RAND(),TablaEmpirica,2,TRUE())</f>
        <v>5</v>
      </c>
      <c r="H260" s="5" t="n">
        <f aca="false">MIN(F260,G260)</f>
        <v>5</v>
      </c>
      <c r="I260" s="5" t="n">
        <f aca="false">G260-H260</f>
        <v>0</v>
      </c>
      <c r="J260" s="5" t="n">
        <f aca="false">F260-H260</f>
        <v>3</v>
      </c>
      <c r="K260" s="5" t="n">
        <f aca="false">IF(I260&gt;0,1,0)</f>
        <v>0</v>
      </c>
      <c r="L260" s="5" t="n">
        <f aca="false">IF(J260&lt;PuntoReorden,1,0)</f>
        <v>1</v>
      </c>
      <c r="M260" s="18" t="n">
        <f aca="false">PrecioVenta*H260</f>
        <v>3400000</v>
      </c>
      <c r="N260" s="18" t="n">
        <f aca="false">CostoUnitario*E260</f>
        <v>0</v>
      </c>
      <c r="O260" s="18" t="n">
        <f aca="false">IF(E260&gt;0,CostoPedido,0)</f>
        <v>0</v>
      </c>
      <c r="P260" s="18" t="n">
        <f aca="false">CostoAlm*(F260+J260)/2</f>
        <v>440</v>
      </c>
      <c r="Q260" s="18" t="n">
        <f aca="false">CostoFijo*D260</f>
        <v>0</v>
      </c>
      <c r="R260" s="18" t="n">
        <f aca="false">M260-N260-O260-P260-Q260</f>
        <v>3399560</v>
      </c>
    </row>
    <row r="261" customFormat="false" ht="15" hidden="false" customHeight="true" outlineLevel="0" collapsed="false">
      <c r="A261" s="5" t="n">
        <f aca="false">A260+1</f>
        <v>256</v>
      </c>
      <c r="B261" s="16" t="n">
        <f aca="false">B260+IF(WEEKDAY(B260,2)=6,2,1)</f>
        <v>46321</v>
      </c>
      <c r="C261" s="5" t="n">
        <f aca="false">MONTH(B261)</f>
        <v>10</v>
      </c>
      <c r="D261" s="5" t="n">
        <f aca="false">IF(C261&lt;&gt;C260,1,0)</f>
        <v>0</v>
      </c>
      <c r="E261" s="17" t="n">
        <f aca="false">IF(L260=1,CantPedido,0)</f>
        <v>15</v>
      </c>
      <c r="F261" s="5" t="n">
        <f aca="false">J260+E261</f>
        <v>18</v>
      </c>
      <c r="G261" s="5" t="n">
        <f aca="true">VLOOKUP(RAND(),TablaEmpirica,2,TRUE())</f>
        <v>3</v>
      </c>
      <c r="H261" s="5" t="n">
        <f aca="false">MIN(F261,G261)</f>
        <v>3</v>
      </c>
      <c r="I261" s="5" t="n">
        <f aca="false">G261-H261</f>
        <v>0</v>
      </c>
      <c r="J261" s="5" t="n">
        <f aca="false">F261-H261</f>
        <v>15</v>
      </c>
      <c r="K261" s="5" t="n">
        <f aca="false">IF(I261&gt;0,1,0)</f>
        <v>0</v>
      </c>
      <c r="L261" s="5" t="n">
        <f aca="false">IF(J261&lt;PuntoReorden,1,0)</f>
        <v>0</v>
      </c>
      <c r="M261" s="18" t="n">
        <f aca="false">PrecioVenta*H261</f>
        <v>2040000</v>
      </c>
      <c r="N261" s="18" t="n">
        <f aca="false">CostoUnitario*E261</f>
        <v>9000000</v>
      </c>
      <c r="O261" s="18" t="n">
        <f aca="false">IF(E261&gt;0,CostoPedido,0)</f>
        <v>40000</v>
      </c>
      <c r="P261" s="18" t="n">
        <f aca="false">CostoAlm*(F261+J261)/2</f>
        <v>1320</v>
      </c>
      <c r="Q261" s="18" t="n">
        <f aca="false">CostoFijo*D261</f>
        <v>0</v>
      </c>
      <c r="R261" s="18" t="n">
        <f aca="false">M261-N261-O261-P261-Q261</f>
        <v>-7001320</v>
      </c>
    </row>
    <row r="262" customFormat="false" ht="15" hidden="false" customHeight="true" outlineLevel="0" collapsed="false">
      <c r="A262" s="5" t="n">
        <f aca="false">A261+1</f>
        <v>257</v>
      </c>
      <c r="B262" s="16" t="n">
        <f aca="false">B261+IF(WEEKDAY(B261,2)=6,2,1)</f>
        <v>46322</v>
      </c>
      <c r="C262" s="5" t="n">
        <f aca="false">MONTH(B262)</f>
        <v>10</v>
      </c>
      <c r="D262" s="5" t="n">
        <f aca="false">IF(C262&lt;&gt;C261,1,0)</f>
        <v>0</v>
      </c>
      <c r="E262" s="5" t="n">
        <f aca="false">IF(L261=1,CantPedido,0)</f>
        <v>0</v>
      </c>
      <c r="F262" s="5" t="n">
        <f aca="false">J261+E262</f>
        <v>15</v>
      </c>
      <c r="G262" s="5" t="n">
        <f aca="true">VLOOKUP(RAND(),TablaEmpirica,2,TRUE())</f>
        <v>6</v>
      </c>
      <c r="H262" s="5" t="n">
        <f aca="false">MIN(F262,G262)</f>
        <v>6</v>
      </c>
      <c r="I262" s="5" t="n">
        <f aca="false">G262-H262</f>
        <v>0</v>
      </c>
      <c r="J262" s="5" t="n">
        <f aca="false">F262-H262</f>
        <v>9</v>
      </c>
      <c r="K262" s="5" t="n">
        <f aca="false">IF(I262&gt;0,1,0)</f>
        <v>0</v>
      </c>
      <c r="L262" s="5" t="n">
        <f aca="false">IF(J262&lt;PuntoReorden,1,0)</f>
        <v>0</v>
      </c>
      <c r="M262" s="18" t="n">
        <f aca="false">PrecioVenta*H262</f>
        <v>4080000</v>
      </c>
      <c r="N262" s="18" t="n">
        <f aca="false">CostoUnitario*E262</f>
        <v>0</v>
      </c>
      <c r="O262" s="18" t="n">
        <f aca="false">IF(E262&gt;0,CostoPedido,0)</f>
        <v>0</v>
      </c>
      <c r="P262" s="18" t="n">
        <f aca="false">CostoAlm*(F262+J262)/2</f>
        <v>960</v>
      </c>
      <c r="Q262" s="18" t="n">
        <f aca="false">CostoFijo*D262</f>
        <v>0</v>
      </c>
      <c r="R262" s="18" t="n">
        <f aca="false">M262-N262-O262-P262-Q262</f>
        <v>4079040</v>
      </c>
    </row>
    <row r="263" customFormat="false" ht="15" hidden="false" customHeight="true" outlineLevel="0" collapsed="false">
      <c r="A263" s="5" t="n">
        <f aca="false">A262+1</f>
        <v>258</v>
      </c>
      <c r="B263" s="16" t="n">
        <f aca="false">B262+IF(WEEKDAY(B262,2)=6,2,1)</f>
        <v>46323</v>
      </c>
      <c r="C263" s="5" t="n">
        <f aca="false">MONTH(B263)</f>
        <v>10</v>
      </c>
      <c r="D263" s="5" t="n">
        <f aca="false">IF(C263&lt;&gt;C262,1,0)</f>
        <v>0</v>
      </c>
      <c r="E263" s="17" t="n">
        <f aca="false">IF(L262=1,CantPedido,0)</f>
        <v>0</v>
      </c>
      <c r="F263" s="5" t="n">
        <f aca="false">J262+E263</f>
        <v>9</v>
      </c>
      <c r="G263" s="5" t="n">
        <f aca="true">VLOOKUP(RAND(),TablaEmpirica,2,TRUE())</f>
        <v>6</v>
      </c>
      <c r="H263" s="5" t="n">
        <f aca="false">MIN(F263,G263)</f>
        <v>6</v>
      </c>
      <c r="I263" s="5" t="n">
        <f aca="false">G263-H263</f>
        <v>0</v>
      </c>
      <c r="J263" s="5" t="n">
        <f aca="false">F263-H263</f>
        <v>3</v>
      </c>
      <c r="K263" s="5" t="n">
        <f aca="false">IF(I263&gt;0,1,0)</f>
        <v>0</v>
      </c>
      <c r="L263" s="5" t="n">
        <f aca="false">IF(J263&lt;PuntoReorden,1,0)</f>
        <v>1</v>
      </c>
      <c r="M263" s="18" t="n">
        <f aca="false">PrecioVenta*H263</f>
        <v>4080000</v>
      </c>
      <c r="N263" s="18" t="n">
        <f aca="false">CostoUnitario*E263</f>
        <v>0</v>
      </c>
      <c r="O263" s="18" t="n">
        <f aca="false">IF(E263&gt;0,CostoPedido,0)</f>
        <v>0</v>
      </c>
      <c r="P263" s="18" t="n">
        <f aca="false">CostoAlm*(F263+J263)/2</f>
        <v>480</v>
      </c>
      <c r="Q263" s="18" t="n">
        <f aca="false">CostoFijo*D263</f>
        <v>0</v>
      </c>
      <c r="R263" s="18" t="n">
        <f aca="false">M263-N263-O263-P263-Q263</f>
        <v>4079520</v>
      </c>
    </row>
    <row r="264" customFormat="false" ht="15" hidden="false" customHeight="true" outlineLevel="0" collapsed="false">
      <c r="A264" s="5" t="n">
        <f aca="false">A263+1</f>
        <v>259</v>
      </c>
      <c r="B264" s="16" t="n">
        <f aca="false">B263+IF(WEEKDAY(B263,2)=6,2,1)</f>
        <v>46324</v>
      </c>
      <c r="C264" s="5" t="n">
        <f aca="false">MONTH(B264)</f>
        <v>10</v>
      </c>
      <c r="D264" s="5" t="n">
        <f aca="false">IF(C264&lt;&gt;C263,1,0)</f>
        <v>0</v>
      </c>
      <c r="E264" s="17" t="n">
        <f aca="false">IF(L263=1,CantPedido,0)</f>
        <v>15</v>
      </c>
      <c r="F264" s="5" t="n">
        <f aca="false">J263+E264</f>
        <v>18</v>
      </c>
      <c r="G264" s="5" t="n">
        <f aca="true">VLOOKUP(RAND(),TablaEmpirica,2,TRUE())</f>
        <v>7</v>
      </c>
      <c r="H264" s="5" t="n">
        <f aca="false">MIN(F264,G264)</f>
        <v>7</v>
      </c>
      <c r="I264" s="5" t="n">
        <f aca="false">G264-H264</f>
        <v>0</v>
      </c>
      <c r="J264" s="5" t="n">
        <f aca="false">F264-H264</f>
        <v>11</v>
      </c>
      <c r="K264" s="5" t="n">
        <f aca="false">IF(I264&gt;0,1,0)</f>
        <v>0</v>
      </c>
      <c r="L264" s="5" t="n">
        <f aca="false">IF(J264&lt;PuntoReorden,1,0)</f>
        <v>0</v>
      </c>
      <c r="M264" s="18" t="n">
        <f aca="false">PrecioVenta*H264</f>
        <v>4760000</v>
      </c>
      <c r="N264" s="18" t="n">
        <f aca="false">CostoUnitario*E264</f>
        <v>9000000</v>
      </c>
      <c r="O264" s="18" t="n">
        <f aca="false">IF(E264&gt;0,CostoPedido,0)</f>
        <v>40000</v>
      </c>
      <c r="P264" s="18" t="n">
        <f aca="false">CostoAlm*(F264+J264)/2</f>
        <v>1160</v>
      </c>
      <c r="Q264" s="18" t="n">
        <f aca="false">CostoFijo*D264</f>
        <v>0</v>
      </c>
      <c r="R264" s="18" t="n">
        <f aca="false">M264-N264-O264-P264-Q264</f>
        <v>-4281160</v>
      </c>
    </row>
    <row r="265" customFormat="false" ht="15" hidden="false" customHeight="true" outlineLevel="0" collapsed="false">
      <c r="A265" s="5" t="n">
        <f aca="false">A264+1</f>
        <v>260</v>
      </c>
      <c r="B265" s="16" t="n">
        <f aca="false">B264+IF(WEEKDAY(B264,2)=6,2,1)</f>
        <v>46325</v>
      </c>
      <c r="C265" s="5" t="n">
        <f aca="false">MONTH(B265)</f>
        <v>10</v>
      </c>
      <c r="D265" s="5" t="n">
        <f aca="false">IF(C265&lt;&gt;C264,1,0)</f>
        <v>0</v>
      </c>
      <c r="E265" s="5" t="n">
        <f aca="false">IF(L264=1,CantPedido,0)</f>
        <v>0</v>
      </c>
      <c r="F265" s="5" t="n">
        <f aca="false">J264+E265</f>
        <v>11</v>
      </c>
      <c r="G265" s="5" t="n">
        <f aca="true">VLOOKUP(RAND(),TablaEmpirica,2,TRUE())</f>
        <v>7</v>
      </c>
      <c r="H265" s="5" t="n">
        <f aca="false">MIN(F265,G265)</f>
        <v>7</v>
      </c>
      <c r="I265" s="5" t="n">
        <f aca="false">G265-H265</f>
        <v>0</v>
      </c>
      <c r="J265" s="5" t="n">
        <f aca="false">F265-H265</f>
        <v>4</v>
      </c>
      <c r="K265" s="5" t="n">
        <f aca="false">IF(I265&gt;0,1,0)</f>
        <v>0</v>
      </c>
      <c r="L265" s="5" t="n">
        <f aca="false">IF(J265&lt;PuntoReorden,1,0)</f>
        <v>1</v>
      </c>
      <c r="M265" s="18" t="n">
        <f aca="false">PrecioVenta*H265</f>
        <v>4760000</v>
      </c>
      <c r="N265" s="18" t="n">
        <f aca="false">CostoUnitario*E265</f>
        <v>0</v>
      </c>
      <c r="O265" s="18" t="n">
        <f aca="false">IF(E265&gt;0,CostoPedido,0)</f>
        <v>0</v>
      </c>
      <c r="P265" s="18" t="n">
        <f aca="false">CostoAlm*(F265+J265)/2</f>
        <v>600</v>
      </c>
      <c r="Q265" s="18" t="n">
        <f aca="false">CostoFijo*D265</f>
        <v>0</v>
      </c>
      <c r="R265" s="18" t="n">
        <f aca="false">M265-N265-O265-P265-Q265</f>
        <v>4759400</v>
      </c>
    </row>
    <row r="266" customFormat="false" ht="15" hidden="false" customHeight="true" outlineLevel="0" collapsed="false">
      <c r="A266" s="5" t="n">
        <f aca="false">A265+1</f>
        <v>261</v>
      </c>
      <c r="B266" s="16" t="n">
        <f aca="false">B265+IF(WEEKDAY(B265,2)=6,2,1)</f>
        <v>46326</v>
      </c>
      <c r="C266" s="5" t="n">
        <f aca="false">MONTH(B266)</f>
        <v>10</v>
      </c>
      <c r="D266" s="5" t="n">
        <f aca="false">IF(C266&lt;&gt;C265,1,0)</f>
        <v>0</v>
      </c>
      <c r="E266" s="17" t="n">
        <f aca="false">IF(L265=1,CantPedido,0)</f>
        <v>15</v>
      </c>
      <c r="F266" s="5" t="n">
        <f aca="false">J265+E266</f>
        <v>19</v>
      </c>
      <c r="G266" s="5" t="n">
        <f aca="true">VLOOKUP(RAND(),TablaEmpirica,2,TRUE())</f>
        <v>5</v>
      </c>
      <c r="H266" s="5" t="n">
        <f aca="false">MIN(F266,G266)</f>
        <v>5</v>
      </c>
      <c r="I266" s="5" t="n">
        <f aca="false">G266-H266</f>
        <v>0</v>
      </c>
      <c r="J266" s="5" t="n">
        <f aca="false">F266-H266</f>
        <v>14</v>
      </c>
      <c r="K266" s="5" t="n">
        <f aca="false">IF(I266&gt;0,1,0)</f>
        <v>0</v>
      </c>
      <c r="L266" s="5" t="n">
        <f aca="false">IF(J266&lt;PuntoReorden,1,0)</f>
        <v>0</v>
      </c>
      <c r="M266" s="18" t="n">
        <f aca="false">PrecioVenta*H266</f>
        <v>3400000</v>
      </c>
      <c r="N266" s="18" t="n">
        <f aca="false">CostoUnitario*E266</f>
        <v>9000000</v>
      </c>
      <c r="O266" s="18" t="n">
        <f aca="false">IF(E266&gt;0,CostoPedido,0)</f>
        <v>40000</v>
      </c>
      <c r="P266" s="18" t="n">
        <f aca="false">CostoAlm*(F266+J266)/2</f>
        <v>1320</v>
      </c>
      <c r="Q266" s="18" t="n">
        <f aca="false">CostoFijo*D266</f>
        <v>0</v>
      </c>
      <c r="R266" s="18" t="n">
        <f aca="false">M266-N266-O266-P266-Q266</f>
        <v>-5641320</v>
      </c>
    </row>
    <row r="267" customFormat="false" ht="15" hidden="false" customHeight="true" outlineLevel="0" collapsed="false">
      <c r="A267" s="5" t="n">
        <f aca="false">A266+1</f>
        <v>262</v>
      </c>
      <c r="B267" s="16" t="n">
        <f aca="false">B266+IF(WEEKDAY(B266,2)=6,2,1)</f>
        <v>46328</v>
      </c>
      <c r="C267" s="5" t="n">
        <f aca="false">MONTH(B267)</f>
        <v>11</v>
      </c>
      <c r="D267" s="5" t="n">
        <f aca="false">IF(C267&lt;&gt;C266,1,0)</f>
        <v>1</v>
      </c>
      <c r="E267" s="5" t="n">
        <f aca="false">IF(L266=1,CantPedido,0)</f>
        <v>0</v>
      </c>
      <c r="F267" s="5" t="n">
        <f aca="false">J266+E267</f>
        <v>14</v>
      </c>
      <c r="G267" s="5" t="n">
        <f aca="true">VLOOKUP(RAND(),TablaEmpirica,2,TRUE())</f>
        <v>6</v>
      </c>
      <c r="H267" s="5" t="n">
        <f aca="false">MIN(F267,G267)</f>
        <v>6</v>
      </c>
      <c r="I267" s="5" t="n">
        <f aca="false">G267-H267</f>
        <v>0</v>
      </c>
      <c r="J267" s="5" t="n">
        <f aca="false">F267-H267</f>
        <v>8</v>
      </c>
      <c r="K267" s="5" t="n">
        <f aca="false">IF(I267&gt;0,1,0)</f>
        <v>0</v>
      </c>
      <c r="L267" s="5" t="n">
        <f aca="false">IF(J267&lt;PuntoReorden,1,0)</f>
        <v>0</v>
      </c>
      <c r="M267" s="18" t="n">
        <f aca="false">PrecioVenta*H267</f>
        <v>4080000</v>
      </c>
      <c r="N267" s="18" t="n">
        <f aca="false">CostoUnitario*E267</f>
        <v>0</v>
      </c>
      <c r="O267" s="18" t="n">
        <f aca="false">IF(E267&gt;0,CostoPedido,0)</f>
        <v>0</v>
      </c>
      <c r="P267" s="18" t="n">
        <f aca="false">CostoAlm*(F267+J267)/2</f>
        <v>880</v>
      </c>
      <c r="Q267" s="18" t="n">
        <f aca="false">CostoFijo*D267</f>
        <v>1000000</v>
      </c>
      <c r="R267" s="18" t="n">
        <f aca="false">M267-N267-O267-P267-Q267</f>
        <v>3079120</v>
      </c>
    </row>
    <row r="268" customFormat="false" ht="15" hidden="false" customHeight="true" outlineLevel="0" collapsed="false">
      <c r="A268" s="5" t="n">
        <f aca="false">A267+1</f>
        <v>263</v>
      </c>
      <c r="B268" s="16" t="n">
        <f aca="false">B267+IF(WEEKDAY(B267,2)=6,2,1)</f>
        <v>46329</v>
      </c>
      <c r="C268" s="5" t="n">
        <f aca="false">MONTH(B268)</f>
        <v>11</v>
      </c>
      <c r="D268" s="5" t="n">
        <f aca="false">IF(C268&lt;&gt;C267,1,0)</f>
        <v>0</v>
      </c>
      <c r="E268" s="5" t="n">
        <f aca="false">IF(L267=1,CantPedido,0)</f>
        <v>0</v>
      </c>
      <c r="F268" s="5" t="n">
        <f aca="false">J267+E268</f>
        <v>8</v>
      </c>
      <c r="G268" s="5" t="n">
        <f aca="true">VLOOKUP(RAND(),TablaEmpirica,2,TRUE())</f>
        <v>4</v>
      </c>
      <c r="H268" s="5" t="n">
        <f aca="false">MIN(F268,G268)</f>
        <v>4</v>
      </c>
      <c r="I268" s="5" t="n">
        <f aca="false">G268-H268</f>
        <v>0</v>
      </c>
      <c r="J268" s="5" t="n">
        <f aca="false">F268-H268</f>
        <v>4</v>
      </c>
      <c r="K268" s="5" t="n">
        <f aca="false">IF(I268&gt;0,1,0)</f>
        <v>0</v>
      </c>
      <c r="L268" s="5" t="n">
        <f aca="false">IF(J268&lt;PuntoReorden,1,0)</f>
        <v>1</v>
      </c>
      <c r="M268" s="18" t="n">
        <f aca="false">PrecioVenta*H268</f>
        <v>2720000</v>
      </c>
      <c r="N268" s="18" t="n">
        <f aca="false">CostoUnitario*E268</f>
        <v>0</v>
      </c>
      <c r="O268" s="18" t="n">
        <f aca="false">IF(E268&gt;0,CostoPedido,0)</f>
        <v>0</v>
      </c>
      <c r="P268" s="18" t="n">
        <f aca="false">CostoAlm*(F268+J268)/2</f>
        <v>480</v>
      </c>
      <c r="Q268" s="18" t="n">
        <f aca="false">CostoFijo*D268</f>
        <v>0</v>
      </c>
      <c r="R268" s="18" t="n">
        <f aca="false">M268-N268-O268-P268-Q268</f>
        <v>2719520</v>
      </c>
    </row>
    <row r="269" customFormat="false" ht="15" hidden="false" customHeight="true" outlineLevel="0" collapsed="false">
      <c r="A269" s="5" t="n">
        <f aca="false">A268+1</f>
        <v>264</v>
      </c>
      <c r="B269" s="16" t="n">
        <f aca="false">B268+IF(WEEKDAY(B268,2)=6,2,1)</f>
        <v>46330</v>
      </c>
      <c r="C269" s="5" t="n">
        <f aca="false">MONTH(B269)</f>
        <v>11</v>
      </c>
      <c r="D269" s="5" t="n">
        <f aca="false">IF(C269&lt;&gt;C268,1,0)</f>
        <v>0</v>
      </c>
      <c r="E269" s="17" t="n">
        <f aca="false">IF(L268=1,CantPedido,0)</f>
        <v>15</v>
      </c>
      <c r="F269" s="5" t="n">
        <f aca="false">J268+E269</f>
        <v>19</v>
      </c>
      <c r="G269" s="5" t="n">
        <f aca="true">VLOOKUP(RAND(),TablaEmpirica,2,TRUE())</f>
        <v>6</v>
      </c>
      <c r="H269" s="5" t="n">
        <f aca="false">MIN(F269,G269)</f>
        <v>6</v>
      </c>
      <c r="I269" s="5" t="n">
        <f aca="false">G269-H269</f>
        <v>0</v>
      </c>
      <c r="J269" s="5" t="n">
        <f aca="false">F269-H269</f>
        <v>13</v>
      </c>
      <c r="K269" s="5" t="n">
        <f aca="false">IF(I269&gt;0,1,0)</f>
        <v>0</v>
      </c>
      <c r="L269" s="5" t="n">
        <f aca="false">IF(J269&lt;PuntoReorden,1,0)</f>
        <v>0</v>
      </c>
      <c r="M269" s="18" t="n">
        <f aca="false">PrecioVenta*H269</f>
        <v>4080000</v>
      </c>
      <c r="N269" s="18" t="n">
        <f aca="false">CostoUnitario*E269</f>
        <v>9000000</v>
      </c>
      <c r="O269" s="18" t="n">
        <f aca="false">IF(E269&gt;0,CostoPedido,0)</f>
        <v>40000</v>
      </c>
      <c r="P269" s="18" t="n">
        <f aca="false">CostoAlm*(F269+J269)/2</f>
        <v>1280</v>
      </c>
      <c r="Q269" s="18" t="n">
        <f aca="false">CostoFijo*D269</f>
        <v>0</v>
      </c>
      <c r="R269" s="18" t="n">
        <f aca="false">M269-N269-O269-P269-Q269</f>
        <v>-4961280</v>
      </c>
    </row>
    <row r="270" customFormat="false" ht="15" hidden="false" customHeight="true" outlineLevel="0" collapsed="false">
      <c r="A270" s="5" t="n">
        <f aca="false">A269+1</f>
        <v>265</v>
      </c>
      <c r="B270" s="16" t="n">
        <f aca="false">B269+IF(WEEKDAY(B269,2)=6,2,1)</f>
        <v>46331</v>
      </c>
      <c r="C270" s="5" t="n">
        <f aca="false">MONTH(B270)</f>
        <v>11</v>
      </c>
      <c r="D270" s="5" t="n">
        <f aca="false">IF(C270&lt;&gt;C269,1,0)</f>
        <v>0</v>
      </c>
      <c r="E270" s="5" t="n">
        <f aca="false">IF(L269=1,CantPedido,0)</f>
        <v>0</v>
      </c>
      <c r="F270" s="5" t="n">
        <f aca="false">J269+E270</f>
        <v>13</v>
      </c>
      <c r="G270" s="5" t="n">
        <f aca="true">VLOOKUP(RAND(),TablaEmpirica,2,TRUE())</f>
        <v>5</v>
      </c>
      <c r="H270" s="5" t="n">
        <f aca="false">MIN(F270,G270)</f>
        <v>5</v>
      </c>
      <c r="I270" s="5" t="n">
        <f aca="false">G270-H270</f>
        <v>0</v>
      </c>
      <c r="J270" s="5" t="n">
        <f aca="false">F270-H270</f>
        <v>8</v>
      </c>
      <c r="K270" s="5" t="n">
        <f aca="false">IF(I270&gt;0,1,0)</f>
        <v>0</v>
      </c>
      <c r="L270" s="5" t="n">
        <f aca="false">IF(J270&lt;PuntoReorden,1,0)</f>
        <v>0</v>
      </c>
      <c r="M270" s="18" t="n">
        <f aca="false">PrecioVenta*H270</f>
        <v>3400000</v>
      </c>
      <c r="N270" s="18" t="n">
        <f aca="false">CostoUnitario*E270</f>
        <v>0</v>
      </c>
      <c r="O270" s="18" t="n">
        <f aca="false">IF(E270&gt;0,CostoPedido,0)</f>
        <v>0</v>
      </c>
      <c r="P270" s="18" t="n">
        <f aca="false">CostoAlm*(F270+J270)/2</f>
        <v>840</v>
      </c>
      <c r="Q270" s="18" t="n">
        <f aca="false">CostoFijo*D270</f>
        <v>0</v>
      </c>
      <c r="R270" s="18" t="n">
        <f aca="false">M270-N270-O270-P270-Q270</f>
        <v>3399160</v>
      </c>
    </row>
    <row r="271" customFormat="false" ht="15" hidden="false" customHeight="true" outlineLevel="0" collapsed="false">
      <c r="A271" s="5" t="n">
        <f aca="false">A270+1</f>
        <v>266</v>
      </c>
      <c r="B271" s="16" t="n">
        <f aca="false">B270+IF(WEEKDAY(B270,2)=6,2,1)</f>
        <v>46332</v>
      </c>
      <c r="C271" s="5" t="n">
        <f aca="false">MONTH(B271)</f>
        <v>11</v>
      </c>
      <c r="D271" s="5" t="n">
        <f aca="false">IF(C271&lt;&gt;C270,1,0)</f>
        <v>0</v>
      </c>
      <c r="E271" s="5" t="n">
        <f aca="false">IF(L270=1,CantPedido,0)</f>
        <v>0</v>
      </c>
      <c r="F271" s="5" t="n">
        <f aca="false">J270+E271</f>
        <v>8</v>
      </c>
      <c r="G271" s="5" t="n">
        <f aca="true">VLOOKUP(RAND(),TablaEmpirica,2,TRUE())</f>
        <v>3</v>
      </c>
      <c r="H271" s="5" t="n">
        <f aca="false">MIN(F271,G271)</f>
        <v>3</v>
      </c>
      <c r="I271" s="5" t="n">
        <f aca="false">G271-H271</f>
        <v>0</v>
      </c>
      <c r="J271" s="5" t="n">
        <f aca="false">F271-H271</f>
        <v>5</v>
      </c>
      <c r="K271" s="5" t="n">
        <f aca="false">IF(I271&gt;0,1,0)</f>
        <v>0</v>
      </c>
      <c r="L271" s="5" t="n">
        <f aca="false">IF(J271&lt;PuntoReorden,1,0)</f>
        <v>1</v>
      </c>
      <c r="M271" s="18" t="n">
        <f aca="false">PrecioVenta*H271</f>
        <v>2040000</v>
      </c>
      <c r="N271" s="18" t="n">
        <f aca="false">CostoUnitario*E271</f>
        <v>0</v>
      </c>
      <c r="O271" s="18" t="n">
        <f aca="false">IF(E271&gt;0,CostoPedido,0)</f>
        <v>0</v>
      </c>
      <c r="P271" s="18" t="n">
        <f aca="false">CostoAlm*(F271+J271)/2</f>
        <v>520</v>
      </c>
      <c r="Q271" s="18" t="n">
        <f aca="false">CostoFijo*D271</f>
        <v>0</v>
      </c>
      <c r="R271" s="18" t="n">
        <f aca="false">M271-N271-O271-P271-Q271</f>
        <v>2039480</v>
      </c>
    </row>
    <row r="272" customFormat="false" ht="15" hidden="false" customHeight="true" outlineLevel="0" collapsed="false">
      <c r="A272" s="5" t="n">
        <f aca="false">A271+1</f>
        <v>267</v>
      </c>
      <c r="B272" s="16" t="n">
        <f aca="false">B271+IF(WEEKDAY(B271,2)=6,2,1)</f>
        <v>46333</v>
      </c>
      <c r="C272" s="5" t="n">
        <f aca="false">MONTH(B272)</f>
        <v>11</v>
      </c>
      <c r="D272" s="5" t="n">
        <f aca="false">IF(C272&lt;&gt;C271,1,0)</f>
        <v>0</v>
      </c>
      <c r="E272" s="17" t="n">
        <f aca="false">IF(L271=1,CantPedido,0)</f>
        <v>15</v>
      </c>
      <c r="F272" s="5" t="n">
        <f aca="false">J271+E272</f>
        <v>20</v>
      </c>
      <c r="G272" s="5" t="n">
        <f aca="true">VLOOKUP(RAND(),TablaEmpirica,2,TRUE())</f>
        <v>5</v>
      </c>
      <c r="H272" s="5" t="n">
        <f aca="false">MIN(F272,G272)</f>
        <v>5</v>
      </c>
      <c r="I272" s="5" t="n">
        <f aca="false">G272-H272</f>
        <v>0</v>
      </c>
      <c r="J272" s="5" t="n">
        <f aca="false">F272-H272</f>
        <v>15</v>
      </c>
      <c r="K272" s="5" t="n">
        <f aca="false">IF(I272&gt;0,1,0)</f>
        <v>0</v>
      </c>
      <c r="L272" s="5" t="n">
        <f aca="false">IF(J272&lt;PuntoReorden,1,0)</f>
        <v>0</v>
      </c>
      <c r="M272" s="18" t="n">
        <f aca="false">PrecioVenta*H272</f>
        <v>3400000</v>
      </c>
      <c r="N272" s="18" t="n">
        <f aca="false">CostoUnitario*E272</f>
        <v>9000000</v>
      </c>
      <c r="O272" s="18" t="n">
        <f aca="false">IF(E272&gt;0,CostoPedido,0)</f>
        <v>40000</v>
      </c>
      <c r="P272" s="18" t="n">
        <f aca="false">CostoAlm*(F272+J272)/2</f>
        <v>1400</v>
      </c>
      <c r="Q272" s="18" t="n">
        <f aca="false">CostoFijo*D272</f>
        <v>0</v>
      </c>
      <c r="R272" s="18" t="n">
        <f aca="false">M272-N272-O272-P272-Q272</f>
        <v>-5641400</v>
      </c>
    </row>
    <row r="273" customFormat="false" ht="15" hidden="false" customHeight="true" outlineLevel="0" collapsed="false">
      <c r="A273" s="5" t="n">
        <f aca="false">A272+1</f>
        <v>268</v>
      </c>
      <c r="B273" s="16" t="n">
        <f aca="false">B272+IF(WEEKDAY(B272,2)=6,2,1)</f>
        <v>46335</v>
      </c>
      <c r="C273" s="5" t="n">
        <f aca="false">MONTH(B273)</f>
        <v>11</v>
      </c>
      <c r="D273" s="5" t="n">
        <f aca="false">IF(C273&lt;&gt;C272,1,0)</f>
        <v>0</v>
      </c>
      <c r="E273" s="5" t="n">
        <f aca="false">IF(L272=1,CantPedido,0)</f>
        <v>0</v>
      </c>
      <c r="F273" s="5" t="n">
        <f aca="false">J272+E273</f>
        <v>15</v>
      </c>
      <c r="G273" s="5" t="n">
        <f aca="true">VLOOKUP(RAND(),TablaEmpirica,2,TRUE())</f>
        <v>3</v>
      </c>
      <c r="H273" s="5" t="n">
        <f aca="false">MIN(F273,G273)</f>
        <v>3</v>
      </c>
      <c r="I273" s="5" t="n">
        <f aca="false">G273-H273</f>
        <v>0</v>
      </c>
      <c r="J273" s="5" t="n">
        <f aca="false">F273-H273</f>
        <v>12</v>
      </c>
      <c r="K273" s="5" t="n">
        <f aca="false">IF(I273&gt;0,1,0)</f>
        <v>0</v>
      </c>
      <c r="L273" s="5" t="n">
        <f aca="false">IF(J273&lt;PuntoReorden,1,0)</f>
        <v>0</v>
      </c>
      <c r="M273" s="18" t="n">
        <f aca="false">PrecioVenta*H273</f>
        <v>2040000</v>
      </c>
      <c r="N273" s="18" t="n">
        <f aca="false">CostoUnitario*E273</f>
        <v>0</v>
      </c>
      <c r="O273" s="18" t="n">
        <f aca="false">IF(E273&gt;0,CostoPedido,0)</f>
        <v>0</v>
      </c>
      <c r="P273" s="18" t="n">
        <f aca="false">CostoAlm*(F273+J273)/2</f>
        <v>1080</v>
      </c>
      <c r="Q273" s="18" t="n">
        <f aca="false">CostoFijo*D273</f>
        <v>0</v>
      </c>
      <c r="R273" s="18" t="n">
        <f aca="false">M273-N273-O273-P273-Q273</f>
        <v>2038920</v>
      </c>
    </row>
    <row r="274" customFormat="false" ht="15" hidden="false" customHeight="true" outlineLevel="0" collapsed="false">
      <c r="A274" s="5" t="n">
        <f aca="false">A273+1</f>
        <v>269</v>
      </c>
      <c r="B274" s="16" t="n">
        <f aca="false">B273+IF(WEEKDAY(B273,2)=6,2,1)</f>
        <v>46336</v>
      </c>
      <c r="C274" s="5" t="n">
        <f aca="false">MONTH(B274)</f>
        <v>11</v>
      </c>
      <c r="D274" s="5" t="n">
        <f aca="false">IF(C274&lt;&gt;C273,1,0)</f>
        <v>0</v>
      </c>
      <c r="E274" s="5" t="n">
        <f aca="false">IF(L273=1,CantPedido,0)</f>
        <v>0</v>
      </c>
      <c r="F274" s="5" t="n">
        <f aca="false">J273+E274</f>
        <v>12</v>
      </c>
      <c r="G274" s="5" t="n">
        <f aca="true">VLOOKUP(RAND(),TablaEmpirica,2,TRUE())</f>
        <v>5</v>
      </c>
      <c r="H274" s="5" t="n">
        <f aca="false">MIN(F274,G274)</f>
        <v>5</v>
      </c>
      <c r="I274" s="5" t="n">
        <f aca="false">G274-H274</f>
        <v>0</v>
      </c>
      <c r="J274" s="5" t="n">
        <f aca="false">F274-H274</f>
        <v>7</v>
      </c>
      <c r="K274" s="5" t="n">
        <f aca="false">IF(I274&gt;0,1,0)</f>
        <v>0</v>
      </c>
      <c r="L274" s="5" t="n">
        <f aca="false">IF(J274&lt;PuntoReorden,1,0)</f>
        <v>0</v>
      </c>
      <c r="M274" s="18" t="n">
        <f aca="false">PrecioVenta*H274</f>
        <v>3400000</v>
      </c>
      <c r="N274" s="18" t="n">
        <f aca="false">CostoUnitario*E274</f>
        <v>0</v>
      </c>
      <c r="O274" s="18" t="n">
        <f aca="false">IF(E274&gt;0,CostoPedido,0)</f>
        <v>0</v>
      </c>
      <c r="P274" s="18" t="n">
        <f aca="false">CostoAlm*(F274+J274)/2</f>
        <v>760</v>
      </c>
      <c r="Q274" s="18" t="n">
        <f aca="false">CostoFijo*D274</f>
        <v>0</v>
      </c>
      <c r="R274" s="18" t="n">
        <f aca="false">M274-N274-O274-P274-Q274</f>
        <v>3399240</v>
      </c>
    </row>
    <row r="275" customFormat="false" ht="15" hidden="false" customHeight="true" outlineLevel="0" collapsed="false">
      <c r="A275" s="5" t="n">
        <f aca="false">A274+1</f>
        <v>270</v>
      </c>
      <c r="B275" s="16" t="n">
        <f aca="false">B274+IF(WEEKDAY(B274,2)=6,2,1)</f>
        <v>46337</v>
      </c>
      <c r="C275" s="5" t="n">
        <f aca="false">MONTH(B275)</f>
        <v>11</v>
      </c>
      <c r="D275" s="5" t="n">
        <f aca="false">IF(C275&lt;&gt;C274,1,0)</f>
        <v>0</v>
      </c>
      <c r="E275" s="17" t="n">
        <f aca="false">IF(L274=1,CantPedido,0)</f>
        <v>0</v>
      </c>
      <c r="F275" s="5" t="n">
        <f aca="false">J274+E275</f>
        <v>7</v>
      </c>
      <c r="G275" s="5" t="n">
        <f aca="true">VLOOKUP(RAND(),TablaEmpirica,2,TRUE())</f>
        <v>6</v>
      </c>
      <c r="H275" s="5" t="n">
        <f aca="false">MIN(F275,G275)</f>
        <v>6</v>
      </c>
      <c r="I275" s="5" t="n">
        <f aca="false">G275-H275</f>
        <v>0</v>
      </c>
      <c r="J275" s="5" t="n">
        <f aca="false">F275-H275</f>
        <v>1</v>
      </c>
      <c r="K275" s="5" t="n">
        <f aca="false">IF(I275&gt;0,1,0)</f>
        <v>0</v>
      </c>
      <c r="L275" s="5" t="n">
        <f aca="false">IF(J275&lt;PuntoReorden,1,0)</f>
        <v>1</v>
      </c>
      <c r="M275" s="18" t="n">
        <f aca="false">PrecioVenta*H275</f>
        <v>4080000</v>
      </c>
      <c r="N275" s="18" t="n">
        <f aca="false">CostoUnitario*E275</f>
        <v>0</v>
      </c>
      <c r="O275" s="18" t="n">
        <f aca="false">IF(E275&gt;0,CostoPedido,0)</f>
        <v>0</v>
      </c>
      <c r="P275" s="18" t="n">
        <f aca="false">CostoAlm*(F275+J275)/2</f>
        <v>320</v>
      </c>
      <c r="Q275" s="18" t="n">
        <f aca="false">CostoFijo*D275</f>
        <v>0</v>
      </c>
      <c r="R275" s="18" t="n">
        <f aca="false">M275-N275-O275-P275-Q275</f>
        <v>4079680</v>
      </c>
    </row>
    <row r="276" customFormat="false" ht="15" hidden="false" customHeight="true" outlineLevel="0" collapsed="false">
      <c r="A276" s="5" t="n">
        <f aca="false">A275+1</f>
        <v>271</v>
      </c>
      <c r="B276" s="16" t="n">
        <f aca="false">B275+IF(WEEKDAY(B275,2)=6,2,1)</f>
        <v>46338</v>
      </c>
      <c r="C276" s="5" t="n">
        <f aca="false">MONTH(B276)</f>
        <v>11</v>
      </c>
      <c r="D276" s="5" t="n">
        <f aca="false">IF(C276&lt;&gt;C275,1,0)</f>
        <v>0</v>
      </c>
      <c r="E276" s="17" t="n">
        <f aca="false">IF(L275=1,CantPedido,0)</f>
        <v>15</v>
      </c>
      <c r="F276" s="5" t="n">
        <f aca="false">J275+E276</f>
        <v>16</v>
      </c>
      <c r="G276" s="5" t="n">
        <f aca="true">VLOOKUP(RAND(),TablaEmpirica,2,TRUE())</f>
        <v>4</v>
      </c>
      <c r="H276" s="5" t="n">
        <f aca="false">MIN(F276,G276)</f>
        <v>4</v>
      </c>
      <c r="I276" s="5" t="n">
        <f aca="false">G276-H276</f>
        <v>0</v>
      </c>
      <c r="J276" s="5" t="n">
        <f aca="false">F276-H276</f>
        <v>12</v>
      </c>
      <c r="K276" s="5" t="n">
        <f aca="false">IF(I276&gt;0,1,0)</f>
        <v>0</v>
      </c>
      <c r="L276" s="5" t="n">
        <f aca="false">IF(J276&lt;PuntoReorden,1,0)</f>
        <v>0</v>
      </c>
      <c r="M276" s="18" t="n">
        <f aca="false">PrecioVenta*H276</f>
        <v>2720000</v>
      </c>
      <c r="N276" s="18" t="n">
        <f aca="false">CostoUnitario*E276</f>
        <v>9000000</v>
      </c>
      <c r="O276" s="18" t="n">
        <f aca="false">IF(E276&gt;0,CostoPedido,0)</f>
        <v>40000</v>
      </c>
      <c r="P276" s="18" t="n">
        <f aca="false">CostoAlm*(F276+J276)/2</f>
        <v>1120</v>
      </c>
      <c r="Q276" s="18" t="n">
        <f aca="false">CostoFijo*D276</f>
        <v>0</v>
      </c>
      <c r="R276" s="18" t="n">
        <f aca="false">M276-N276-O276-P276-Q276</f>
        <v>-6321120</v>
      </c>
    </row>
    <row r="277" customFormat="false" ht="15" hidden="false" customHeight="true" outlineLevel="0" collapsed="false">
      <c r="A277" s="5" t="n">
        <f aca="false">A276+1</f>
        <v>272</v>
      </c>
      <c r="B277" s="16" t="n">
        <f aca="false">B276+IF(WEEKDAY(B276,2)=6,2,1)</f>
        <v>46339</v>
      </c>
      <c r="C277" s="5" t="n">
        <f aca="false">MONTH(B277)</f>
        <v>11</v>
      </c>
      <c r="D277" s="5" t="n">
        <f aca="false">IF(C277&lt;&gt;C276,1,0)</f>
        <v>0</v>
      </c>
      <c r="E277" s="5" t="n">
        <f aca="false">IF(L276=1,CantPedido,0)</f>
        <v>0</v>
      </c>
      <c r="F277" s="5" t="n">
        <f aca="false">J276+E277</f>
        <v>12</v>
      </c>
      <c r="G277" s="5" t="n">
        <f aca="true">VLOOKUP(RAND(),TablaEmpirica,2,TRUE())</f>
        <v>7</v>
      </c>
      <c r="H277" s="5" t="n">
        <f aca="false">MIN(F277,G277)</f>
        <v>7</v>
      </c>
      <c r="I277" s="5" t="n">
        <f aca="false">G277-H277</f>
        <v>0</v>
      </c>
      <c r="J277" s="5" t="n">
        <f aca="false">F277-H277</f>
        <v>5</v>
      </c>
      <c r="K277" s="5" t="n">
        <f aca="false">IF(I277&gt;0,1,0)</f>
        <v>0</v>
      </c>
      <c r="L277" s="5" t="n">
        <f aca="false">IF(J277&lt;PuntoReorden,1,0)</f>
        <v>1</v>
      </c>
      <c r="M277" s="18" t="n">
        <f aca="false">PrecioVenta*H277</f>
        <v>4760000</v>
      </c>
      <c r="N277" s="18" t="n">
        <f aca="false">CostoUnitario*E277</f>
        <v>0</v>
      </c>
      <c r="O277" s="18" t="n">
        <f aca="false">IF(E277&gt;0,CostoPedido,0)</f>
        <v>0</v>
      </c>
      <c r="P277" s="18" t="n">
        <f aca="false">CostoAlm*(F277+J277)/2</f>
        <v>680</v>
      </c>
      <c r="Q277" s="18" t="n">
        <f aca="false">CostoFijo*D277</f>
        <v>0</v>
      </c>
      <c r="R277" s="18" t="n">
        <f aca="false">M277-N277-O277-P277-Q277</f>
        <v>4759320</v>
      </c>
    </row>
    <row r="278" customFormat="false" ht="15" hidden="false" customHeight="true" outlineLevel="0" collapsed="false">
      <c r="A278" s="5" t="n">
        <f aca="false">A277+1</f>
        <v>273</v>
      </c>
      <c r="B278" s="16" t="n">
        <f aca="false">B277+IF(WEEKDAY(B277,2)=6,2,1)</f>
        <v>46340</v>
      </c>
      <c r="C278" s="5" t="n">
        <f aca="false">MONTH(B278)</f>
        <v>11</v>
      </c>
      <c r="D278" s="5" t="n">
        <f aca="false">IF(C278&lt;&gt;C277,1,0)</f>
        <v>0</v>
      </c>
      <c r="E278" s="17" t="n">
        <f aca="false">IF(L277=1,CantPedido,0)</f>
        <v>15</v>
      </c>
      <c r="F278" s="5" t="n">
        <f aca="false">J277+E278</f>
        <v>20</v>
      </c>
      <c r="G278" s="5" t="n">
        <f aca="true">VLOOKUP(RAND(),TablaEmpirica,2,TRUE())</f>
        <v>5</v>
      </c>
      <c r="H278" s="5" t="n">
        <f aca="false">MIN(F278,G278)</f>
        <v>5</v>
      </c>
      <c r="I278" s="5" t="n">
        <f aca="false">G278-H278</f>
        <v>0</v>
      </c>
      <c r="J278" s="5" t="n">
        <f aca="false">F278-H278</f>
        <v>15</v>
      </c>
      <c r="K278" s="5" t="n">
        <f aca="false">IF(I278&gt;0,1,0)</f>
        <v>0</v>
      </c>
      <c r="L278" s="5" t="n">
        <f aca="false">IF(J278&lt;PuntoReorden,1,0)</f>
        <v>0</v>
      </c>
      <c r="M278" s="18" t="n">
        <f aca="false">PrecioVenta*H278</f>
        <v>3400000</v>
      </c>
      <c r="N278" s="18" t="n">
        <f aca="false">CostoUnitario*E278</f>
        <v>9000000</v>
      </c>
      <c r="O278" s="18" t="n">
        <f aca="false">IF(E278&gt;0,CostoPedido,0)</f>
        <v>40000</v>
      </c>
      <c r="P278" s="18" t="n">
        <f aca="false">CostoAlm*(F278+J278)/2</f>
        <v>1400</v>
      </c>
      <c r="Q278" s="18" t="n">
        <f aca="false">CostoFijo*D278</f>
        <v>0</v>
      </c>
      <c r="R278" s="18" t="n">
        <f aca="false">M278-N278-O278-P278-Q278</f>
        <v>-5641400</v>
      </c>
    </row>
    <row r="279" customFormat="false" ht="15" hidden="false" customHeight="true" outlineLevel="0" collapsed="false">
      <c r="A279" s="5" t="n">
        <f aca="false">A278+1</f>
        <v>274</v>
      </c>
      <c r="B279" s="16" t="n">
        <f aca="false">B278+IF(WEEKDAY(B278,2)=6,2,1)</f>
        <v>46342</v>
      </c>
      <c r="C279" s="5" t="n">
        <f aca="false">MONTH(B279)</f>
        <v>11</v>
      </c>
      <c r="D279" s="5" t="n">
        <f aca="false">IF(C279&lt;&gt;C278,1,0)</f>
        <v>0</v>
      </c>
      <c r="E279" s="5" t="n">
        <f aca="false">IF(L278=1,CantPedido,0)</f>
        <v>0</v>
      </c>
      <c r="F279" s="5" t="n">
        <f aca="false">J278+E279</f>
        <v>15</v>
      </c>
      <c r="G279" s="5" t="n">
        <f aca="true">VLOOKUP(RAND(),TablaEmpirica,2,TRUE())</f>
        <v>3</v>
      </c>
      <c r="H279" s="5" t="n">
        <f aca="false">MIN(F279,G279)</f>
        <v>3</v>
      </c>
      <c r="I279" s="5" t="n">
        <f aca="false">G279-H279</f>
        <v>0</v>
      </c>
      <c r="J279" s="5" t="n">
        <f aca="false">F279-H279</f>
        <v>12</v>
      </c>
      <c r="K279" s="5" t="n">
        <f aca="false">IF(I279&gt;0,1,0)</f>
        <v>0</v>
      </c>
      <c r="L279" s="5" t="n">
        <f aca="false">IF(J279&lt;PuntoReorden,1,0)</f>
        <v>0</v>
      </c>
      <c r="M279" s="18" t="n">
        <f aca="false">PrecioVenta*H279</f>
        <v>2040000</v>
      </c>
      <c r="N279" s="18" t="n">
        <f aca="false">CostoUnitario*E279</f>
        <v>0</v>
      </c>
      <c r="O279" s="18" t="n">
        <f aca="false">IF(E279&gt;0,CostoPedido,0)</f>
        <v>0</v>
      </c>
      <c r="P279" s="18" t="n">
        <f aca="false">CostoAlm*(F279+J279)/2</f>
        <v>1080</v>
      </c>
      <c r="Q279" s="18" t="n">
        <f aca="false">CostoFijo*D279</f>
        <v>0</v>
      </c>
      <c r="R279" s="18" t="n">
        <f aca="false">M279-N279-O279-P279-Q279</f>
        <v>2038920</v>
      </c>
    </row>
    <row r="280" customFormat="false" ht="15" hidden="false" customHeight="true" outlineLevel="0" collapsed="false">
      <c r="A280" s="5" t="n">
        <f aca="false">A279+1</f>
        <v>275</v>
      </c>
      <c r="B280" s="16" t="n">
        <f aca="false">B279+IF(WEEKDAY(B279,2)=6,2,1)</f>
        <v>46343</v>
      </c>
      <c r="C280" s="5" t="n">
        <f aca="false">MONTH(B280)</f>
        <v>11</v>
      </c>
      <c r="D280" s="5" t="n">
        <f aca="false">IF(C280&lt;&gt;C279,1,0)</f>
        <v>0</v>
      </c>
      <c r="E280" s="5" t="n">
        <f aca="false">IF(L279=1,CantPedido,0)</f>
        <v>0</v>
      </c>
      <c r="F280" s="5" t="n">
        <f aca="false">J279+E280</f>
        <v>12</v>
      </c>
      <c r="G280" s="5" t="n">
        <f aca="true">VLOOKUP(RAND(),TablaEmpirica,2,TRUE())</f>
        <v>5</v>
      </c>
      <c r="H280" s="5" t="n">
        <f aca="false">MIN(F280,G280)</f>
        <v>5</v>
      </c>
      <c r="I280" s="5" t="n">
        <f aca="false">G280-H280</f>
        <v>0</v>
      </c>
      <c r="J280" s="5" t="n">
        <f aca="false">F280-H280</f>
        <v>7</v>
      </c>
      <c r="K280" s="5" t="n">
        <f aca="false">IF(I280&gt;0,1,0)</f>
        <v>0</v>
      </c>
      <c r="L280" s="5" t="n">
        <f aca="false">IF(J280&lt;PuntoReorden,1,0)</f>
        <v>0</v>
      </c>
      <c r="M280" s="18" t="n">
        <f aca="false">PrecioVenta*H280</f>
        <v>3400000</v>
      </c>
      <c r="N280" s="18" t="n">
        <f aca="false">CostoUnitario*E280</f>
        <v>0</v>
      </c>
      <c r="O280" s="18" t="n">
        <f aca="false">IF(E280&gt;0,CostoPedido,0)</f>
        <v>0</v>
      </c>
      <c r="P280" s="18" t="n">
        <f aca="false">CostoAlm*(F280+J280)/2</f>
        <v>760</v>
      </c>
      <c r="Q280" s="18" t="n">
        <f aca="false">CostoFijo*D280</f>
        <v>0</v>
      </c>
      <c r="R280" s="18" t="n">
        <f aca="false">M280-N280-O280-P280-Q280</f>
        <v>3399240</v>
      </c>
    </row>
    <row r="281" customFormat="false" ht="15" hidden="false" customHeight="true" outlineLevel="0" collapsed="false">
      <c r="A281" s="5" t="n">
        <f aca="false">A280+1</f>
        <v>276</v>
      </c>
      <c r="B281" s="16" t="n">
        <f aca="false">B280+IF(WEEKDAY(B280,2)=6,2,1)</f>
        <v>46344</v>
      </c>
      <c r="C281" s="5" t="n">
        <f aca="false">MONTH(B281)</f>
        <v>11</v>
      </c>
      <c r="D281" s="5" t="n">
        <f aca="false">IF(C281&lt;&gt;C280,1,0)</f>
        <v>0</v>
      </c>
      <c r="E281" s="5" t="n">
        <f aca="false">IF(L280=1,CantPedido,0)</f>
        <v>0</v>
      </c>
      <c r="F281" s="5" t="n">
        <f aca="false">J280+E281</f>
        <v>7</v>
      </c>
      <c r="G281" s="5" t="n">
        <f aca="true">VLOOKUP(RAND(),TablaEmpirica,2,TRUE())</f>
        <v>5</v>
      </c>
      <c r="H281" s="5" t="n">
        <f aca="false">MIN(F281,G281)</f>
        <v>5</v>
      </c>
      <c r="I281" s="5" t="n">
        <f aca="false">G281-H281</f>
        <v>0</v>
      </c>
      <c r="J281" s="5" t="n">
        <f aca="false">F281-H281</f>
        <v>2</v>
      </c>
      <c r="K281" s="5" t="n">
        <f aca="false">IF(I281&gt;0,1,0)</f>
        <v>0</v>
      </c>
      <c r="L281" s="5" t="n">
        <f aca="false">IF(J281&lt;PuntoReorden,1,0)</f>
        <v>1</v>
      </c>
      <c r="M281" s="18" t="n">
        <f aca="false">PrecioVenta*H281</f>
        <v>3400000</v>
      </c>
      <c r="N281" s="18" t="n">
        <f aca="false">CostoUnitario*E281</f>
        <v>0</v>
      </c>
      <c r="O281" s="18" t="n">
        <f aca="false">IF(E281&gt;0,CostoPedido,0)</f>
        <v>0</v>
      </c>
      <c r="P281" s="18" t="n">
        <f aca="false">CostoAlm*(F281+J281)/2</f>
        <v>360</v>
      </c>
      <c r="Q281" s="18" t="n">
        <f aca="false">CostoFijo*D281</f>
        <v>0</v>
      </c>
      <c r="R281" s="18" t="n">
        <f aca="false">M281-N281-O281-P281-Q281</f>
        <v>3399640</v>
      </c>
    </row>
    <row r="282" customFormat="false" ht="15" hidden="false" customHeight="true" outlineLevel="0" collapsed="false">
      <c r="A282" s="5" t="n">
        <f aca="false">A281+1</f>
        <v>277</v>
      </c>
      <c r="B282" s="16" t="n">
        <f aca="false">B281+IF(WEEKDAY(B281,2)=6,2,1)</f>
        <v>46345</v>
      </c>
      <c r="C282" s="5" t="n">
        <f aca="false">MONTH(B282)</f>
        <v>11</v>
      </c>
      <c r="D282" s="5" t="n">
        <f aca="false">IF(C282&lt;&gt;C281,1,0)</f>
        <v>0</v>
      </c>
      <c r="E282" s="17" t="n">
        <f aca="false">IF(L281=1,CantPedido,0)</f>
        <v>15</v>
      </c>
      <c r="F282" s="5" t="n">
        <f aca="false">J281+E282</f>
        <v>17</v>
      </c>
      <c r="G282" s="5" t="n">
        <f aca="true">VLOOKUP(RAND(),TablaEmpirica,2,TRUE())</f>
        <v>3</v>
      </c>
      <c r="H282" s="5" t="n">
        <f aca="false">MIN(F282,G282)</f>
        <v>3</v>
      </c>
      <c r="I282" s="5" t="n">
        <f aca="false">G282-H282</f>
        <v>0</v>
      </c>
      <c r="J282" s="5" t="n">
        <f aca="false">F282-H282</f>
        <v>14</v>
      </c>
      <c r="K282" s="5" t="n">
        <f aca="false">IF(I282&gt;0,1,0)</f>
        <v>0</v>
      </c>
      <c r="L282" s="5" t="n">
        <f aca="false">IF(J282&lt;PuntoReorden,1,0)</f>
        <v>0</v>
      </c>
      <c r="M282" s="18" t="n">
        <f aca="false">PrecioVenta*H282</f>
        <v>2040000</v>
      </c>
      <c r="N282" s="18" t="n">
        <f aca="false">CostoUnitario*E282</f>
        <v>9000000</v>
      </c>
      <c r="O282" s="18" t="n">
        <f aca="false">IF(E282&gt;0,CostoPedido,0)</f>
        <v>40000</v>
      </c>
      <c r="P282" s="18" t="n">
        <f aca="false">CostoAlm*(F282+J282)/2</f>
        <v>1240</v>
      </c>
      <c r="Q282" s="18" t="n">
        <f aca="false">CostoFijo*D282</f>
        <v>0</v>
      </c>
      <c r="R282" s="18" t="n">
        <f aca="false">M282-N282-O282-P282-Q282</f>
        <v>-7001240</v>
      </c>
    </row>
    <row r="283" customFormat="false" ht="15" hidden="false" customHeight="true" outlineLevel="0" collapsed="false">
      <c r="A283" s="5" t="n">
        <f aca="false">A282+1</f>
        <v>278</v>
      </c>
      <c r="B283" s="16" t="n">
        <f aca="false">B282+IF(WEEKDAY(B282,2)=6,2,1)</f>
        <v>46346</v>
      </c>
      <c r="C283" s="5" t="n">
        <f aca="false">MONTH(B283)</f>
        <v>11</v>
      </c>
      <c r="D283" s="5" t="n">
        <f aca="false">IF(C283&lt;&gt;C282,1,0)</f>
        <v>0</v>
      </c>
      <c r="E283" s="5" t="n">
        <f aca="false">IF(L282=1,CantPedido,0)</f>
        <v>0</v>
      </c>
      <c r="F283" s="5" t="n">
        <f aca="false">J282+E283</f>
        <v>14</v>
      </c>
      <c r="G283" s="5" t="n">
        <f aca="true">VLOOKUP(RAND(),TablaEmpirica,2,TRUE())</f>
        <v>5</v>
      </c>
      <c r="H283" s="5" t="n">
        <f aca="false">MIN(F283,G283)</f>
        <v>5</v>
      </c>
      <c r="I283" s="5" t="n">
        <f aca="false">G283-H283</f>
        <v>0</v>
      </c>
      <c r="J283" s="5" t="n">
        <f aca="false">F283-H283</f>
        <v>9</v>
      </c>
      <c r="K283" s="5" t="n">
        <f aca="false">IF(I283&gt;0,1,0)</f>
        <v>0</v>
      </c>
      <c r="L283" s="5" t="n">
        <f aca="false">IF(J283&lt;PuntoReorden,1,0)</f>
        <v>0</v>
      </c>
      <c r="M283" s="18" t="n">
        <f aca="false">PrecioVenta*H283</f>
        <v>3400000</v>
      </c>
      <c r="N283" s="18" t="n">
        <f aca="false">CostoUnitario*E283</f>
        <v>0</v>
      </c>
      <c r="O283" s="18" t="n">
        <f aca="false">IF(E283&gt;0,CostoPedido,0)</f>
        <v>0</v>
      </c>
      <c r="P283" s="18" t="n">
        <f aca="false">CostoAlm*(F283+J283)/2</f>
        <v>920</v>
      </c>
      <c r="Q283" s="18" t="n">
        <f aca="false">CostoFijo*D283</f>
        <v>0</v>
      </c>
      <c r="R283" s="18" t="n">
        <f aca="false">M283-N283-O283-P283-Q283</f>
        <v>3399080</v>
      </c>
    </row>
    <row r="284" customFormat="false" ht="15" hidden="false" customHeight="true" outlineLevel="0" collapsed="false">
      <c r="A284" s="5" t="n">
        <f aca="false">A283+1</f>
        <v>279</v>
      </c>
      <c r="B284" s="16" t="n">
        <f aca="false">B283+IF(WEEKDAY(B283,2)=6,2,1)</f>
        <v>46347</v>
      </c>
      <c r="C284" s="5" t="n">
        <f aca="false">MONTH(B284)</f>
        <v>11</v>
      </c>
      <c r="D284" s="5" t="n">
        <f aca="false">IF(C284&lt;&gt;C283,1,0)</f>
        <v>0</v>
      </c>
      <c r="E284" s="5" t="n">
        <f aca="false">IF(L283=1,CantPedido,0)</f>
        <v>0</v>
      </c>
      <c r="F284" s="5" t="n">
        <f aca="false">J283+E284</f>
        <v>9</v>
      </c>
      <c r="G284" s="5" t="n">
        <f aca="true">VLOOKUP(RAND(),TablaEmpirica,2,TRUE())</f>
        <v>4</v>
      </c>
      <c r="H284" s="5" t="n">
        <f aca="false">MIN(F284,G284)</f>
        <v>4</v>
      </c>
      <c r="I284" s="5" t="n">
        <f aca="false">G284-H284</f>
        <v>0</v>
      </c>
      <c r="J284" s="5" t="n">
        <f aca="false">F284-H284</f>
        <v>5</v>
      </c>
      <c r="K284" s="5" t="n">
        <f aca="false">IF(I284&gt;0,1,0)</f>
        <v>0</v>
      </c>
      <c r="L284" s="5" t="n">
        <f aca="false">IF(J284&lt;PuntoReorden,1,0)</f>
        <v>1</v>
      </c>
      <c r="M284" s="18" t="n">
        <f aca="false">PrecioVenta*H284</f>
        <v>2720000</v>
      </c>
      <c r="N284" s="18" t="n">
        <f aca="false">CostoUnitario*E284</f>
        <v>0</v>
      </c>
      <c r="O284" s="18" t="n">
        <f aca="false">IF(E284&gt;0,CostoPedido,0)</f>
        <v>0</v>
      </c>
      <c r="P284" s="18" t="n">
        <f aca="false">CostoAlm*(F284+J284)/2</f>
        <v>560</v>
      </c>
      <c r="Q284" s="18" t="n">
        <f aca="false">CostoFijo*D284</f>
        <v>0</v>
      </c>
      <c r="R284" s="18" t="n">
        <f aca="false">M284-N284-O284-P284-Q284</f>
        <v>2719440</v>
      </c>
    </row>
    <row r="285" customFormat="false" ht="15" hidden="false" customHeight="true" outlineLevel="0" collapsed="false">
      <c r="A285" s="5" t="n">
        <f aca="false">A284+1</f>
        <v>280</v>
      </c>
      <c r="B285" s="16" t="n">
        <f aca="false">B284+IF(WEEKDAY(B284,2)=6,2,1)</f>
        <v>46349</v>
      </c>
      <c r="C285" s="5" t="n">
        <f aca="false">MONTH(B285)</f>
        <v>11</v>
      </c>
      <c r="D285" s="5" t="n">
        <f aca="false">IF(C285&lt;&gt;C284,1,0)</f>
        <v>0</v>
      </c>
      <c r="E285" s="17" t="n">
        <f aca="false">IF(L284=1,CantPedido,0)</f>
        <v>15</v>
      </c>
      <c r="F285" s="5" t="n">
        <f aca="false">J284+E285</f>
        <v>20</v>
      </c>
      <c r="G285" s="5" t="n">
        <f aca="true">VLOOKUP(RAND(),TablaEmpirica,2,TRUE())</f>
        <v>5</v>
      </c>
      <c r="H285" s="5" t="n">
        <f aca="false">MIN(F285,G285)</f>
        <v>5</v>
      </c>
      <c r="I285" s="5" t="n">
        <f aca="false">G285-H285</f>
        <v>0</v>
      </c>
      <c r="J285" s="5" t="n">
        <f aca="false">F285-H285</f>
        <v>15</v>
      </c>
      <c r="K285" s="5" t="n">
        <f aca="false">IF(I285&gt;0,1,0)</f>
        <v>0</v>
      </c>
      <c r="L285" s="5" t="n">
        <f aca="false">IF(J285&lt;PuntoReorden,1,0)</f>
        <v>0</v>
      </c>
      <c r="M285" s="18" t="n">
        <f aca="false">PrecioVenta*H285</f>
        <v>3400000</v>
      </c>
      <c r="N285" s="18" t="n">
        <f aca="false">CostoUnitario*E285</f>
        <v>9000000</v>
      </c>
      <c r="O285" s="18" t="n">
        <f aca="false">IF(E285&gt;0,CostoPedido,0)</f>
        <v>40000</v>
      </c>
      <c r="P285" s="18" t="n">
        <f aca="false">CostoAlm*(F285+J285)/2</f>
        <v>1400</v>
      </c>
      <c r="Q285" s="18" t="n">
        <f aca="false">CostoFijo*D285</f>
        <v>0</v>
      </c>
      <c r="R285" s="18" t="n">
        <f aca="false">M285-N285-O285-P285-Q285</f>
        <v>-5641400</v>
      </c>
    </row>
    <row r="286" customFormat="false" ht="15" hidden="false" customHeight="true" outlineLevel="0" collapsed="false">
      <c r="A286" s="5" t="n">
        <f aca="false">A285+1</f>
        <v>281</v>
      </c>
      <c r="B286" s="16" t="n">
        <f aca="false">B285+IF(WEEKDAY(B285,2)=6,2,1)</f>
        <v>46350</v>
      </c>
      <c r="C286" s="5" t="n">
        <f aca="false">MONTH(B286)</f>
        <v>11</v>
      </c>
      <c r="D286" s="5" t="n">
        <f aca="false">IF(C286&lt;&gt;C285,1,0)</f>
        <v>0</v>
      </c>
      <c r="E286" s="5" t="n">
        <f aca="false">IF(L285=1,CantPedido,0)</f>
        <v>0</v>
      </c>
      <c r="F286" s="5" t="n">
        <f aca="false">J285+E286</f>
        <v>15</v>
      </c>
      <c r="G286" s="5" t="n">
        <f aca="true">VLOOKUP(RAND(),TablaEmpirica,2,TRUE())</f>
        <v>6</v>
      </c>
      <c r="H286" s="5" t="n">
        <f aca="false">MIN(F286,G286)</f>
        <v>6</v>
      </c>
      <c r="I286" s="5" t="n">
        <f aca="false">G286-H286</f>
        <v>0</v>
      </c>
      <c r="J286" s="5" t="n">
        <f aca="false">F286-H286</f>
        <v>9</v>
      </c>
      <c r="K286" s="5" t="n">
        <f aca="false">IF(I286&gt;0,1,0)</f>
        <v>0</v>
      </c>
      <c r="L286" s="5" t="n">
        <f aca="false">IF(J286&lt;PuntoReorden,1,0)</f>
        <v>0</v>
      </c>
      <c r="M286" s="18" t="n">
        <f aca="false">PrecioVenta*H286</f>
        <v>4080000</v>
      </c>
      <c r="N286" s="18" t="n">
        <f aca="false">CostoUnitario*E286</f>
        <v>0</v>
      </c>
      <c r="O286" s="18" t="n">
        <f aca="false">IF(E286&gt;0,CostoPedido,0)</f>
        <v>0</v>
      </c>
      <c r="P286" s="18" t="n">
        <f aca="false">CostoAlm*(F286+J286)/2</f>
        <v>960</v>
      </c>
      <c r="Q286" s="18" t="n">
        <f aca="false">CostoFijo*D286</f>
        <v>0</v>
      </c>
      <c r="R286" s="18" t="n">
        <f aca="false">M286-N286-O286-P286-Q286</f>
        <v>4079040</v>
      </c>
    </row>
    <row r="287" customFormat="false" ht="15" hidden="false" customHeight="true" outlineLevel="0" collapsed="false">
      <c r="A287" s="5" t="n">
        <f aca="false">A286+1</f>
        <v>282</v>
      </c>
      <c r="B287" s="16" t="n">
        <f aca="false">B286+IF(WEEKDAY(B286,2)=6,2,1)</f>
        <v>46351</v>
      </c>
      <c r="C287" s="5" t="n">
        <f aca="false">MONTH(B287)</f>
        <v>11</v>
      </c>
      <c r="D287" s="5" t="n">
        <f aca="false">IF(C287&lt;&gt;C286,1,0)</f>
        <v>0</v>
      </c>
      <c r="E287" s="17" t="n">
        <f aca="false">IF(L286=1,CantPedido,0)</f>
        <v>0</v>
      </c>
      <c r="F287" s="5" t="n">
        <f aca="false">J286+E287</f>
        <v>9</v>
      </c>
      <c r="G287" s="5" t="n">
        <f aca="true">VLOOKUP(RAND(),TablaEmpirica,2,TRUE())</f>
        <v>5</v>
      </c>
      <c r="H287" s="5" t="n">
        <f aca="false">MIN(F287,G287)</f>
        <v>5</v>
      </c>
      <c r="I287" s="5" t="n">
        <f aca="false">G287-H287</f>
        <v>0</v>
      </c>
      <c r="J287" s="5" t="n">
        <f aca="false">F287-H287</f>
        <v>4</v>
      </c>
      <c r="K287" s="5" t="n">
        <f aca="false">IF(I287&gt;0,1,0)</f>
        <v>0</v>
      </c>
      <c r="L287" s="5" t="n">
        <f aca="false">IF(J287&lt;PuntoReorden,1,0)</f>
        <v>1</v>
      </c>
      <c r="M287" s="18" t="n">
        <f aca="false">PrecioVenta*H287</f>
        <v>3400000</v>
      </c>
      <c r="N287" s="18" t="n">
        <f aca="false">CostoUnitario*E287</f>
        <v>0</v>
      </c>
      <c r="O287" s="18" t="n">
        <f aca="false">IF(E287&gt;0,CostoPedido,0)</f>
        <v>0</v>
      </c>
      <c r="P287" s="18" t="n">
        <f aca="false">CostoAlm*(F287+J287)/2</f>
        <v>520</v>
      </c>
      <c r="Q287" s="18" t="n">
        <f aca="false">CostoFijo*D287</f>
        <v>0</v>
      </c>
      <c r="R287" s="18" t="n">
        <f aca="false">M287-N287-O287-P287-Q287</f>
        <v>3399480</v>
      </c>
    </row>
    <row r="288" customFormat="false" ht="15" hidden="false" customHeight="true" outlineLevel="0" collapsed="false">
      <c r="A288" s="5" t="n">
        <f aca="false">A287+1</f>
        <v>283</v>
      </c>
      <c r="B288" s="16" t="n">
        <f aca="false">B287+IF(WEEKDAY(B287,2)=6,2,1)</f>
        <v>46352</v>
      </c>
      <c r="C288" s="5" t="n">
        <f aca="false">MONTH(B288)</f>
        <v>11</v>
      </c>
      <c r="D288" s="5" t="n">
        <f aca="false">IF(C288&lt;&gt;C287,1,0)</f>
        <v>0</v>
      </c>
      <c r="E288" s="17" t="n">
        <f aca="false">IF(L287=1,CantPedido,0)</f>
        <v>15</v>
      </c>
      <c r="F288" s="5" t="n">
        <f aca="false">J287+E288</f>
        <v>19</v>
      </c>
      <c r="G288" s="5" t="n">
        <f aca="true">VLOOKUP(RAND(),TablaEmpirica,2,TRUE())</f>
        <v>3</v>
      </c>
      <c r="H288" s="5" t="n">
        <f aca="false">MIN(F288,G288)</f>
        <v>3</v>
      </c>
      <c r="I288" s="5" t="n">
        <f aca="false">G288-H288</f>
        <v>0</v>
      </c>
      <c r="J288" s="5" t="n">
        <f aca="false">F288-H288</f>
        <v>16</v>
      </c>
      <c r="K288" s="5" t="n">
        <f aca="false">IF(I288&gt;0,1,0)</f>
        <v>0</v>
      </c>
      <c r="L288" s="5" t="n">
        <f aca="false">IF(J288&lt;PuntoReorden,1,0)</f>
        <v>0</v>
      </c>
      <c r="M288" s="18" t="n">
        <f aca="false">PrecioVenta*H288</f>
        <v>2040000</v>
      </c>
      <c r="N288" s="18" t="n">
        <f aca="false">CostoUnitario*E288</f>
        <v>9000000</v>
      </c>
      <c r="O288" s="18" t="n">
        <f aca="false">IF(E288&gt;0,CostoPedido,0)</f>
        <v>40000</v>
      </c>
      <c r="P288" s="18" t="n">
        <f aca="false">CostoAlm*(F288+J288)/2</f>
        <v>1400</v>
      </c>
      <c r="Q288" s="18" t="n">
        <f aca="false">CostoFijo*D288</f>
        <v>0</v>
      </c>
      <c r="R288" s="18" t="n">
        <f aca="false">M288-N288-O288-P288-Q288</f>
        <v>-7001400</v>
      </c>
    </row>
    <row r="289" customFormat="false" ht="15" hidden="false" customHeight="true" outlineLevel="0" collapsed="false">
      <c r="A289" s="5" t="n">
        <f aca="false">A288+1</f>
        <v>284</v>
      </c>
      <c r="B289" s="16" t="n">
        <f aca="false">B288+IF(WEEKDAY(B288,2)=6,2,1)</f>
        <v>46353</v>
      </c>
      <c r="C289" s="5" t="n">
        <f aca="false">MONTH(B289)</f>
        <v>11</v>
      </c>
      <c r="D289" s="5" t="n">
        <f aca="false">IF(C289&lt;&gt;C288,1,0)</f>
        <v>0</v>
      </c>
      <c r="E289" s="5" t="n">
        <f aca="false">IF(L288=1,CantPedido,0)</f>
        <v>0</v>
      </c>
      <c r="F289" s="5" t="n">
        <f aca="false">J288+E289</f>
        <v>16</v>
      </c>
      <c r="G289" s="5" t="n">
        <f aca="true">VLOOKUP(RAND(),TablaEmpirica,2,TRUE())</f>
        <v>6</v>
      </c>
      <c r="H289" s="5" t="n">
        <f aca="false">MIN(F289,G289)</f>
        <v>6</v>
      </c>
      <c r="I289" s="5" t="n">
        <f aca="false">G289-H289</f>
        <v>0</v>
      </c>
      <c r="J289" s="5" t="n">
        <f aca="false">F289-H289</f>
        <v>10</v>
      </c>
      <c r="K289" s="5" t="n">
        <f aca="false">IF(I289&gt;0,1,0)</f>
        <v>0</v>
      </c>
      <c r="L289" s="5" t="n">
        <f aca="false">IF(J289&lt;PuntoReorden,1,0)</f>
        <v>0</v>
      </c>
      <c r="M289" s="18" t="n">
        <f aca="false">PrecioVenta*H289</f>
        <v>4080000</v>
      </c>
      <c r="N289" s="18" t="n">
        <f aca="false">CostoUnitario*E289</f>
        <v>0</v>
      </c>
      <c r="O289" s="18" t="n">
        <f aca="false">IF(E289&gt;0,CostoPedido,0)</f>
        <v>0</v>
      </c>
      <c r="P289" s="18" t="n">
        <f aca="false">CostoAlm*(F289+J289)/2</f>
        <v>1040</v>
      </c>
      <c r="Q289" s="18" t="n">
        <f aca="false">CostoFijo*D289</f>
        <v>0</v>
      </c>
      <c r="R289" s="18" t="n">
        <f aca="false">M289-N289-O289-P289-Q289</f>
        <v>4078960</v>
      </c>
    </row>
    <row r="290" customFormat="false" ht="15" hidden="false" customHeight="true" outlineLevel="0" collapsed="false">
      <c r="A290" s="5" t="n">
        <f aca="false">A289+1</f>
        <v>285</v>
      </c>
      <c r="B290" s="16" t="n">
        <f aca="false">B289+IF(WEEKDAY(B289,2)=6,2,1)</f>
        <v>46354</v>
      </c>
      <c r="C290" s="5" t="n">
        <f aca="false">MONTH(B290)</f>
        <v>11</v>
      </c>
      <c r="D290" s="5" t="n">
        <f aca="false">IF(C290&lt;&gt;C289,1,0)</f>
        <v>0</v>
      </c>
      <c r="E290" s="5" t="n">
        <f aca="false">IF(L289=1,CantPedido,0)</f>
        <v>0</v>
      </c>
      <c r="F290" s="5" t="n">
        <f aca="false">J289+E290</f>
        <v>10</v>
      </c>
      <c r="G290" s="5" t="n">
        <f aca="true">VLOOKUP(RAND(),TablaEmpirica,2,TRUE())</f>
        <v>5</v>
      </c>
      <c r="H290" s="5" t="n">
        <f aca="false">MIN(F290,G290)</f>
        <v>5</v>
      </c>
      <c r="I290" s="5" t="n">
        <f aca="false">G290-H290</f>
        <v>0</v>
      </c>
      <c r="J290" s="5" t="n">
        <f aca="false">F290-H290</f>
        <v>5</v>
      </c>
      <c r="K290" s="5" t="n">
        <f aca="false">IF(I290&gt;0,1,0)</f>
        <v>0</v>
      </c>
      <c r="L290" s="5" t="n">
        <f aca="false">IF(J290&lt;PuntoReorden,1,0)</f>
        <v>1</v>
      </c>
      <c r="M290" s="18" t="n">
        <f aca="false">PrecioVenta*H290</f>
        <v>3400000</v>
      </c>
      <c r="N290" s="18" t="n">
        <f aca="false">CostoUnitario*E290</f>
        <v>0</v>
      </c>
      <c r="O290" s="18" t="n">
        <f aca="false">IF(E290&gt;0,CostoPedido,0)</f>
        <v>0</v>
      </c>
      <c r="P290" s="18" t="n">
        <f aca="false">CostoAlm*(F290+J290)/2</f>
        <v>600</v>
      </c>
      <c r="Q290" s="18" t="n">
        <f aca="false">CostoFijo*D290</f>
        <v>0</v>
      </c>
      <c r="R290" s="18" t="n">
        <f aca="false">M290-N290-O290-P290-Q290</f>
        <v>3399400</v>
      </c>
    </row>
    <row r="291" customFormat="false" ht="15" hidden="false" customHeight="true" outlineLevel="0" collapsed="false">
      <c r="A291" s="5" t="n">
        <f aca="false">A290+1</f>
        <v>286</v>
      </c>
      <c r="B291" s="16" t="n">
        <f aca="false">B290+IF(WEEKDAY(B290,2)=6,2,1)</f>
        <v>46356</v>
      </c>
      <c r="C291" s="5" t="n">
        <f aca="false">MONTH(B291)</f>
        <v>11</v>
      </c>
      <c r="D291" s="5" t="n">
        <f aca="false">IF(C291&lt;&gt;C290,1,0)</f>
        <v>0</v>
      </c>
      <c r="E291" s="17" t="n">
        <f aca="false">IF(L290=1,CantPedido,0)</f>
        <v>15</v>
      </c>
      <c r="F291" s="5" t="n">
        <f aca="false">J290+E291</f>
        <v>20</v>
      </c>
      <c r="G291" s="5" t="n">
        <f aca="true">VLOOKUP(RAND(),TablaEmpirica,2,TRUE())</f>
        <v>5</v>
      </c>
      <c r="H291" s="5" t="n">
        <f aca="false">MIN(F291,G291)</f>
        <v>5</v>
      </c>
      <c r="I291" s="5" t="n">
        <f aca="false">G291-H291</f>
        <v>0</v>
      </c>
      <c r="J291" s="5" t="n">
        <f aca="false">F291-H291</f>
        <v>15</v>
      </c>
      <c r="K291" s="5" t="n">
        <f aca="false">IF(I291&gt;0,1,0)</f>
        <v>0</v>
      </c>
      <c r="L291" s="5" t="n">
        <f aca="false">IF(J291&lt;PuntoReorden,1,0)</f>
        <v>0</v>
      </c>
      <c r="M291" s="18" t="n">
        <f aca="false">PrecioVenta*H291</f>
        <v>3400000</v>
      </c>
      <c r="N291" s="18" t="n">
        <f aca="false">CostoUnitario*E291</f>
        <v>9000000</v>
      </c>
      <c r="O291" s="18" t="n">
        <f aca="false">IF(E291&gt;0,CostoPedido,0)</f>
        <v>40000</v>
      </c>
      <c r="P291" s="18" t="n">
        <f aca="false">CostoAlm*(F291+J291)/2</f>
        <v>1400</v>
      </c>
      <c r="Q291" s="18" t="n">
        <f aca="false">CostoFijo*D291</f>
        <v>0</v>
      </c>
      <c r="R291" s="18" t="n">
        <f aca="false">M291-N291-O291-P291-Q291</f>
        <v>-5641400</v>
      </c>
    </row>
    <row r="292" customFormat="false" ht="15" hidden="false" customHeight="true" outlineLevel="0" collapsed="false">
      <c r="A292" s="5" t="n">
        <f aca="false">A291+1</f>
        <v>287</v>
      </c>
      <c r="B292" s="16" t="n">
        <f aca="false">B291+IF(WEEKDAY(B291,2)=6,2,1)</f>
        <v>46357</v>
      </c>
      <c r="C292" s="5" t="n">
        <f aca="false">MONTH(B292)</f>
        <v>12</v>
      </c>
      <c r="D292" s="5" t="n">
        <f aca="false">IF(C292&lt;&gt;C291,1,0)</f>
        <v>1</v>
      </c>
      <c r="E292" s="5" t="n">
        <f aca="false">IF(L291=1,CantPedido,0)</f>
        <v>0</v>
      </c>
      <c r="F292" s="5" t="n">
        <f aca="false">J291+E292</f>
        <v>15</v>
      </c>
      <c r="G292" s="5" t="n">
        <f aca="true">VLOOKUP(RAND(),TablaEmpirica,2,TRUE())</f>
        <v>7</v>
      </c>
      <c r="H292" s="5" t="n">
        <f aca="false">MIN(F292,G292)</f>
        <v>7</v>
      </c>
      <c r="I292" s="5" t="n">
        <f aca="false">G292-H292</f>
        <v>0</v>
      </c>
      <c r="J292" s="5" t="n">
        <f aca="false">F292-H292</f>
        <v>8</v>
      </c>
      <c r="K292" s="5" t="n">
        <f aca="false">IF(I292&gt;0,1,0)</f>
        <v>0</v>
      </c>
      <c r="L292" s="5" t="n">
        <f aca="false">IF(J292&lt;PuntoReorden,1,0)</f>
        <v>0</v>
      </c>
      <c r="M292" s="18" t="n">
        <f aca="false">PrecioVenta*H292</f>
        <v>4760000</v>
      </c>
      <c r="N292" s="18" t="n">
        <f aca="false">CostoUnitario*E292</f>
        <v>0</v>
      </c>
      <c r="O292" s="18" t="n">
        <f aca="false">IF(E292&gt;0,CostoPedido,0)</f>
        <v>0</v>
      </c>
      <c r="P292" s="18" t="n">
        <f aca="false">CostoAlm*(F292+J292)/2</f>
        <v>920</v>
      </c>
      <c r="Q292" s="18" t="n">
        <f aca="false">CostoFijo*D292</f>
        <v>1000000</v>
      </c>
      <c r="R292" s="18" t="n">
        <f aca="false">M292-N292-O292-P292-Q292</f>
        <v>3759080</v>
      </c>
    </row>
    <row r="293" customFormat="false" ht="15" hidden="false" customHeight="true" outlineLevel="0" collapsed="false">
      <c r="A293" s="5" t="n">
        <f aca="false">A292+1</f>
        <v>288</v>
      </c>
      <c r="B293" s="16" t="n">
        <f aca="false">B292+IF(WEEKDAY(B292,2)=6,2,1)</f>
        <v>46358</v>
      </c>
      <c r="C293" s="5" t="n">
        <f aca="false">MONTH(B293)</f>
        <v>12</v>
      </c>
      <c r="D293" s="5" t="n">
        <f aca="false">IF(C293&lt;&gt;C292,1,0)</f>
        <v>0</v>
      </c>
      <c r="E293" s="17" t="n">
        <f aca="false">IF(L292=1,CantPedido,0)</f>
        <v>0</v>
      </c>
      <c r="F293" s="5" t="n">
        <f aca="false">J292+E293</f>
        <v>8</v>
      </c>
      <c r="G293" s="5" t="n">
        <f aca="true">VLOOKUP(RAND(),TablaEmpirica,2,TRUE())</f>
        <v>3</v>
      </c>
      <c r="H293" s="5" t="n">
        <f aca="false">MIN(F293,G293)</f>
        <v>3</v>
      </c>
      <c r="I293" s="5" t="n">
        <f aca="false">G293-H293</f>
        <v>0</v>
      </c>
      <c r="J293" s="5" t="n">
        <f aca="false">F293-H293</f>
        <v>5</v>
      </c>
      <c r="K293" s="5" t="n">
        <f aca="false">IF(I293&gt;0,1,0)</f>
        <v>0</v>
      </c>
      <c r="L293" s="5" t="n">
        <f aca="false">IF(J293&lt;PuntoReorden,1,0)</f>
        <v>1</v>
      </c>
      <c r="M293" s="18" t="n">
        <f aca="false">PrecioVenta*H293</f>
        <v>2040000</v>
      </c>
      <c r="N293" s="18" t="n">
        <f aca="false">CostoUnitario*E293</f>
        <v>0</v>
      </c>
      <c r="O293" s="18" t="n">
        <f aca="false">IF(E293&gt;0,CostoPedido,0)</f>
        <v>0</v>
      </c>
      <c r="P293" s="18" t="n">
        <f aca="false">CostoAlm*(F293+J293)/2</f>
        <v>520</v>
      </c>
      <c r="Q293" s="18" t="n">
        <f aca="false">CostoFijo*D293</f>
        <v>0</v>
      </c>
      <c r="R293" s="18" t="n">
        <f aca="false">M293-N293-O293-P293-Q293</f>
        <v>2039480</v>
      </c>
    </row>
    <row r="294" customFormat="false" ht="15" hidden="false" customHeight="true" outlineLevel="0" collapsed="false">
      <c r="A294" s="5" t="n">
        <f aca="false">A293+1</f>
        <v>289</v>
      </c>
      <c r="B294" s="16" t="n">
        <f aca="false">B293+IF(WEEKDAY(B293,2)=6,2,1)</f>
        <v>46359</v>
      </c>
      <c r="C294" s="5" t="n">
        <f aca="false">MONTH(B294)</f>
        <v>12</v>
      </c>
      <c r="D294" s="5" t="n">
        <f aca="false">IF(C294&lt;&gt;C293,1,0)</f>
        <v>0</v>
      </c>
      <c r="E294" s="17" t="n">
        <f aca="false">IF(L293=1,CantPedido,0)</f>
        <v>15</v>
      </c>
      <c r="F294" s="5" t="n">
        <f aca="false">J293+E294</f>
        <v>20</v>
      </c>
      <c r="G294" s="5" t="n">
        <f aca="true">VLOOKUP(RAND(),TablaEmpirica,2,TRUE())</f>
        <v>3</v>
      </c>
      <c r="H294" s="5" t="n">
        <f aca="false">MIN(F294,G294)</f>
        <v>3</v>
      </c>
      <c r="I294" s="5" t="n">
        <f aca="false">G294-H294</f>
        <v>0</v>
      </c>
      <c r="J294" s="5" t="n">
        <f aca="false">F294-H294</f>
        <v>17</v>
      </c>
      <c r="K294" s="5" t="n">
        <f aca="false">IF(I294&gt;0,1,0)</f>
        <v>0</v>
      </c>
      <c r="L294" s="5" t="n">
        <f aca="false">IF(J294&lt;PuntoReorden,1,0)</f>
        <v>0</v>
      </c>
      <c r="M294" s="18" t="n">
        <f aca="false">PrecioVenta*H294</f>
        <v>2040000</v>
      </c>
      <c r="N294" s="18" t="n">
        <f aca="false">CostoUnitario*E294</f>
        <v>9000000</v>
      </c>
      <c r="O294" s="18" t="n">
        <f aca="false">IF(E294&gt;0,CostoPedido,0)</f>
        <v>40000</v>
      </c>
      <c r="P294" s="18" t="n">
        <f aca="false">CostoAlm*(F294+J294)/2</f>
        <v>1480</v>
      </c>
      <c r="Q294" s="18" t="n">
        <f aca="false">CostoFijo*D294</f>
        <v>0</v>
      </c>
      <c r="R294" s="18" t="n">
        <f aca="false">M294-N294-O294-P294-Q294</f>
        <v>-7001480</v>
      </c>
    </row>
    <row r="295" customFormat="false" ht="15" hidden="false" customHeight="true" outlineLevel="0" collapsed="false">
      <c r="A295" s="5" t="n">
        <f aca="false">A294+1</f>
        <v>290</v>
      </c>
      <c r="B295" s="16" t="n">
        <f aca="false">B294+IF(WEEKDAY(B294,2)=6,2,1)</f>
        <v>46360</v>
      </c>
      <c r="C295" s="5" t="n">
        <f aca="false">MONTH(B295)</f>
        <v>12</v>
      </c>
      <c r="D295" s="5" t="n">
        <f aca="false">IF(C295&lt;&gt;C294,1,0)</f>
        <v>0</v>
      </c>
      <c r="E295" s="5" t="n">
        <f aca="false">IF(L294=1,CantPedido,0)</f>
        <v>0</v>
      </c>
      <c r="F295" s="5" t="n">
        <f aca="false">J294+E295</f>
        <v>17</v>
      </c>
      <c r="G295" s="5" t="n">
        <f aca="true">VLOOKUP(RAND(),TablaEmpirica,2,TRUE())</f>
        <v>3</v>
      </c>
      <c r="H295" s="5" t="n">
        <f aca="false">MIN(F295,G295)</f>
        <v>3</v>
      </c>
      <c r="I295" s="5" t="n">
        <f aca="false">G295-H295</f>
        <v>0</v>
      </c>
      <c r="J295" s="5" t="n">
        <f aca="false">F295-H295</f>
        <v>14</v>
      </c>
      <c r="K295" s="5" t="n">
        <f aca="false">IF(I295&gt;0,1,0)</f>
        <v>0</v>
      </c>
      <c r="L295" s="5" t="n">
        <f aca="false">IF(J295&lt;PuntoReorden,1,0)</f>
        <v>0</v>
      </c>
      <c r="M295" s="18" t="n">
        <f aca="false">PrecioVenta*H295</f>
        <v>2040000</v>
      </c>
      <c r="N295" s="18" t="n">
        <f aca="false">CostoUnitario*E295</f>
        <v>0</v>
      </c>
      <c r="O295" s="18" t="n">
        <f aca="false">IF(E295&gt;0,CostoPedido,0)</f>
        <v>0</v>
      </c>
      <c r="P295" s="18" t="n">
        <f aca="false">CostoAlm*(F295+J295)/2</f>
        <v>1240</v>
      </c>
      <c r="Q295" s="18" t="n">
        <f aca="false">CostoFijo*D295</f>
        <v>0</v>
      </c>
      <c r="R295" s="18" t="n">
        <f aca="false">M295-N295-O295-P295-Q295</f>
        <v>2038760</v>
      </c>
    </row>
    <row r="296" customFormat="false" ht="15" hidden="false" customHeight="true" outlineLevel="0" collapsed="false">
      <c r="A296" s="5" t="n">
        <f aca="false">A295+1</f>
        <v>291</v>
      </c>
      <c r="B296" s="16" t="n">
        <f aca="false">B295+IF(WEEKDAY(B295,2)=6,2,1)</f>
        <v>46361</v>
      </c>
      <c r="C296" s="5" t="n">
        <f aca="false">MONTH(B296)</f>
        <v>12</v>
      </c>
      <c r="D296" s="5" t="n">
        <f aca="false">IF(C296&lt;&gt;C295,1,0)</f>
        <v>0</v>
      </c>
      <c r="E296" s="17" t="n">
        <f aca="false">IF(L295=1,CantPedido,0)</f>
        <v>0</v>
      </c>
      <c r="F296" s="5" t="n">
        <f aca="false">J295+E296</f>
        <v>14</v>
      </c>
      <c r="G296" s="5" t="n">
        <f aca="true">VLOOKUP(RAND(),TablaEmpirica,2,TRUE())</f>
        <v>7</v>
      </c>
      <c r="H296" s="5" t="n">
        <f aca="false">MIN(F296,G296)</f>
        <v>7</v>
      </c>
      <c r="I296" s="5" t="n">
        <f aca="false">G296-H296</f>
        <v>0</v>
      </c>
      <c r="J296" s="5" t="n">
        <f aca="false">F296-H296</f>
        <v>7</v>
      </c>
      <c r="K296" s="5" t="n">
        <f aca="false">IF(I296&gt;0,1,0)</f>
        <v>0</v>
      </c>
      <c r="L296" s="5" t="n">
        <f aca="false">IF(J296&lt;PuntoReorden,1,0)</f>
        <v>0</v>
      </c>
      <c r="M296" s="18" t="n">
        <f aca="false">PrecioVenta*H296</f>
        <v>4760000</v>
      </c>
      <c r="N296" s="18" t="n">
        <f aca="false">CostoUnitario*E296</f>
        <v>0</v>
      </c>
      <c r="O296" s="18" t="n">
        <f aca="false">IF(E296&gt;0,CostoPedido,0)</f>
        <v>0</v>
      </c>
      <c r="P296" s="18" t="n">
        <f aca="false">CostoAlm*(F296+J296)/2</f>
        <v>840</v>
      </c>
      <c r="Q296" s="18" t="n">
        <f aca="false">CostoFijo*D296</f>
        <v>0</v>
      </c>
      <c r="R296" s="18" t="n">
        <f aca="false">M296-N296-O296-P296-Q296</f>
        <v>4759160</v>
      </c>
    </row>
    <row r="297" customFormat="false" ht="15" hidden="false" customHeight="true" outlineLevel="0" collapsed="false">
      <c r="A297" s="5" t="n">
        <f aca="false">A296+1</f>
        <v>292</v>
      </c>
      <c r="B297" s="16" t="n">
        <f aca="false">B296+IF(WEEKDAY(B296,2)=6,2,1)</f>
        <v>46363</v>
      </c>
      <c r="C297" s="5" t="n">
        <f aca="false">MONTH(B297)</f>
        <v>12</v>
      </c>
      <c r="D297" s="5" t="n">
        <f aca="false">IF(C297&lt;&gt;C296,1,0)</f>
        <v>0</v>
      </c>
      <c r="E297" s="5" t="n">
        <f aca="false">IF(L296=1,CantPedido,0)</f>
        <v>0</v>
      </c>
      <c r="F297" s="5" t="n">
        <f aca="false">J296+E297</f>
        <v>7</v>
      </c>
      <c r="G297" s="5" t="n">
        <f aca="true">VLOOKUP(RAND(),TablaEmpirica,2,TRUE())</f>
        <v>6</v>
      </c>
      <c r="H297" s="5" t="n">
        <f aca="false">MIN(F297,G297)</f>
        <v>6</v>
      </c>
      <c r="I297" s="5" t="n">
        <f aca="false">G297-H297</f>
        <v>0</v>
      </c>
      <c r="J297" s="5" t="n">
        <f aca="false">F297-H297</f>
        <v>1</v>
      </c>
      <c r="K297" s="5" t="n">
        <f aca="false">IF(I297&gt;0,1,0)</f>
        <v>0</v>
      </c>
      <c r="L297" s="5" t="n">
        <f aca="false">IF(J297&lt;PuntoReorden,1,0)</f>
        <v>1</v>
      </c>
      <c r="M297" s="18" t="n">
        <f aca="false">PrecioVenta*H297</f>
        <v>4080000</v>
      </c>
      <c r="N297" s="18" t="n">
        <f aca="false">CostoUnitario*E297</f>
        <v>0</v>
      </c>
      <c r="O297" s="18" t="n">
        <f aca="false">IF(E297&gt;0,CostoPedido,0)</f>
        <v>0</v>
      </c>
      <c r="P297" s="18" t="n">
        <f aca="false">CostoAlm*(F297+J297)/2</f>
        <v>320</v>
      </c>
      <c r="Q297" s="18" t="n">
        <f aca="false">CostoFijo*D297</f>
        <v>0</v>
      </c>
      <c r="R297" s="18" t="n">
        <f aca="false">M297-N297-O297-P297-Q297</f>
        <v>4079680</v>
      </c>
    </row>
    <row r="298" customFormat="false" ht="15" hidden="false" customHeight="true" outlineLevel="0" collapsed="false">
      <c r="A298" s="5" t="n">
        <f aca="false">A297+1</f>
        <v>293</v>
      </c>
      <c r="B298" s="16" t="n">
        <f aca="false">B297+IF(WEEKDAY(B297,2)=6,2,1)</f>
        <v>46364</v>
      </c>
      <c r="C298" s="5" t="n">
        <f aca="false">MONTH(B298)</f>
        <v>12</v>
      </c>
      <c r="D298" s="5" t="n">
        <f aca="false">IF(C298&lt;&gt;C297,1,0)</f>
        <v>0</v>
      </c>
      <c r="E298" s="17" t="n">
        <f aca="false">IF(L297=1,CantPedido,0)</f>
        <v>15</v>
      </c>
      <c r="F298" s="5" t="n">
        <f aca="false">J297+E298</f>
        <v>16</v>
      </c>
      <c r="G298" s="5" t="n">
        <f aca="true">VLOOKUP(RAND(),TablaEmpirica,2,TRUE())</f>
        <v>7</v>
      </c>
      <c r="H298" s="5" t="n">
        <f aca="false">MIN(F298,G298)</f>
        <v>7</v>
      </c>
      <c r="I298" s="5" t="n">
        <f aca="false">G298-H298</f>
        <v>0</v>
      </c>
      <c r="J298" s="5" t="n">
        <f aca="false">F298-H298</f>
        <v>9</v>
      </c>
      <c r="K298" s="5" t="n">
        <f aca="false">IF(I298&gt;0,1,0)</f>
        <v>0</v>
      </c>
      <c r="L298" s="5" t="n">
        <f aca="false">IF(J298&lt;PuntoReorden,1,0)</f>
        <v>0</v>
      </c>
      <c r="M298" s="18" t="n">
        <f aca="false">PrecioVenta*H298</f>
        <v>4760000</v>
      </c>
      <c r="N298" s="18" t="n">
        <f aca="false">CostoUnitario*E298</f>
        <v>9000000</v>
      </c>
      <c r="O298" s="18" t="n">
        <f aca="false">IF(E298&gt;0,CostoPedido,0)</f>
        <v>40000</v>
      </c>
      <c r="P298" s="18" t="n">
        <f aca="false">CostoAlm*(F298+J298)/2</f>
        <v>1000</v>
      </c>
      <c r="Q298" s="18" t="n">
        <f aca="false">CostoFijo*D298</f>
        <v>0</v>
      </c>
      <c r="R298" s="18" t="n">
        <f aca="false">M298-N298-O298-P298-Q298</f>
        <v>-4281000</v>
      </c>
    </row>
    <row r="299" customFormat="false" ht="15" hidden="false" customHeight="true" outlineLevel="0" collapsed="false">
      <c r="A299" s="5" t="n">
        <f aca="false">A298+1</f>
        <v>294</v>
      </c>
      <c r="B299" s="16" t="n">
        <f aca="false">B298+IF(WEEKDAY(B298,2)=6,2,1)</f>
        <v>46365</v>
      </c>
      <c r="C299" s="5" t="n">
        <f aca="false">MONTH(B299)</f>
        <v>12</v>
      </c>
      <c r="D299" s="5" t="n">
        <f aca="false">IF(C299&lt;&gt;C298,1,0)</f>
        <v>0</v>
      </c>
      <c r="E299" s="17" t="n">
        <f aca="false">IF(L298=1,CantPedido,0)</f>
        <v>0</v>
      </c>
      <c r="F299" s="5" t="n">
        <f aca="false">J298+E299</f>
        <v>9</v>
      </c>
      <c r="G299" s="5" t="n">
        <f aca="true">VLOOKUP(RAND(),TablaEmpirica,2,TRUE())</f>
        <v>4</v>
      </c>
      <c r="H299" s="5" t="n">
        <f aca="false">MIN(F299,G299)</f>
        <v>4</v>
      </c>
      <c r="I299" s="5" t="n">
        <f aca="false">G299-H299</f>
        <v>0</v>
      </c>
      <c r="J299" s="5" t="n">
        <f aca="false">F299-H299</f>
        <v>5</v>
      </c>
      <c r="K299" s="5" t="n">
        <f aca="false">IF(I299&gt;0,1,0)</f>
        <v>0</v>
      </c>
      <c r="L299" s="5" t="n">
        <f aca="false">IF(J299&lt;PuntoReorden,1,0)</f>
        <v>1</v>
      </c>
      <c r="M299" s="18" t="n">
        <f aca="false">PrecioVenta*H299</f>
        <v>2720000</v>
      </c>
      <c r="N299" s="18" t="n">
        <f aca="false">CostoUnitario*E299</f>
        <v>0</v>
      </c>
      <c r="O299" s="18" t="n">
        <f aca="false">IF(E299&gt;0,CostoPedido,0)</f>
        <v>0</v>
      </c>
      <c r="P299" s="18" t="n">
        <f aca="false">CostoAlm*(F299+J299)/2</f>
        <v>560</v>
      </c>
      <c r="Q299" s="18" t="n">
        <f aca="false">CostoFijo*D299</f>
        <v>0</v>
      </c>
      <c r="R299" s="18" t="n">
        <f aca="false">M299-N299-O299-P299-Q299</f>
        <v>2719440</v>
      </c>
    </row>
    <row r="300" customFormat="false" ht="15" hidden="false" customHeight="true" outlineLevel="0" collapsed="false">
      <c r="A300" s="5" t="n">
        <f aca="false">A299+1</f>
        <v>295</v>
      </c>
      <c r="B300" s="16" t="n">
        <f aca="false">B299+IF(WEEKDAY(B299,2)=6,2,1)</f>
        <v>46366</v>
      </c>
      <c r="C300" s="5" t="n">
        <f aca="false">MONTH(B300)</f>
        <v>12</v>
      </c>
      <c r="D300" s="5" t="n">
        <f aca="false">IF(C300&lt;&gt;C299,1,0)</f>
        <v>0</v>
      </c>
      <c r="E300" s="17" t="n">
        <f aca="false">IF(L299=1,CantPedido,0)</f>
        <v>15</v>
      </c>
      <c r="F300" s="5" t="n">
        <f aca="false">J299+E300</f>
        <v>20</v>
      </c>
      <c r="G300" s="5" t="n">
        <f aca="true">VLOOKUP(RAND(),TablaEmpirica,2,TRUE())</f>
        <v>5</v>
      </c>
      <c r="H300" s="5" t="n">
        <f aca="false">MIN(F300,G300)</f>
        <v>5</v>
      </c>
      <c r="I300" s="5" t="n">
        <f aca="false">G300-H300</f>
        <v>0</v>
      </c>
      <c r="J300" s="5" t="n">
        <f aca="false">F300-H300</f>
        <v>15</v>
      </c>
      <c r="K300" s="5" t="n">
        <f aca="false">IF(I300&gt;0,1,0)</f>
        <v>0</v>
      </c>
      <c r="L300" s="5" t="n">
        <f aca="false">IF(J300&lt;PuntoReorden,1,0)</f>
        <v>0</v>
      </c>
      <c r="M300" s="18" t="n">
        <f aca="false">PrecioVenta*H300</f>
        <v>3400000</v>
      </c>
      <c r="N300" s="18" t="n">
        <f aca="false">CostoUnitario*E300</f>
        <v>9000000</v>
      </c>
      <c r="O300" s="18" t="n">
        <f aca="false">IF(E300&gt;0,CostoPedido,0)</f>
        <v>40000</v>
      </c>
      <c r="P300" s="18" t="n">
        <f aca="false">CostoAlm*(F300+J300)/2</f>
        <v>1400</v>
      </c>
      <c r="Q300" s="18" t="n">
        <f aca="false">CostoFijo*D300</f>
        <v>0</v>
      </c>
      <c r="R300" s="18" t="n">
        <f aca="false">M300-N300-O300-P300-Q300</f>
        <v>-5641400</v>
      </c>
    </row>
    <row r="301" customFormat="false" ht="15" hidden="false" customHeight="true" outlineLevel="0" collapsed="false">
      <c r="A301" s="5" t="n">
        <f aca="false">A300+1</f>
        <v>296</v>
      </c>
      <c r="B301" s="16" t="n">
        <f aca="false">B300+IF(WEEKDAY(B300,2)=6,2,1)</f>
        <v>46367</v>
      </c>
      <c r="C301" s="5" t="n">
        <f aca="false">MONTH(B301)</f>
        <v>12</v>
      </c>
      <c r="D301" s="5" t="n">
        <f aca="false">IF(C301&lt;&gt;C300,1,0)</f>
        <v>0</v>
      </c>
      <c r="E301" s="5" t="n">
        <f aca="false">IF(L300=1,CantPedido,0)</f>
        <v>0</v>
      </c>
      <c r="F301" s="5" t="n">
        <f aca="false">J300+E301</f>
        <v>15</v>
      </c>
      <c r="G301" s="5" t="n">
        <f aca="true">VLOOKUP(RAND(),TablaEmpirica,2,TRUE())</f>
        <v>5</v>
      </c>
      <c r="H301" s="5" t="n">
        <f aca="false">MIN(F301,G301)</f>
        <v>5</v>
      </c>
      <c r="I301" s="5" t="n">
        <f aca="false">G301-H301</f>
        <v>0</v>
      </c>
      <c r="J301" s="5" t="n">
        <f aca="false">F301-H301</f>
        <v>10</v>
      </c>
      <c r="K301" s="5" t="n">
        <f aca="false">IF(I301&gt;0,1,0)</f>
        <v>0</v>
      </c>
      <c r="L301" s="5" t="n">
        <f aca="false">IF(J301&lt;PuntoReorden,1,0)</f>
        <v>0</v>
      </c>
      <c r="M301" s="18" t="n">
        <f aca="false">PrecioVenta*H301</f>
        <v>3400000</v>
      </c>
      <c r="N301" s="18" t="n">
        <f aca="false">CostoUnitario*E301</f>
        <v>0</v>
      </c>
      <c r="O301" s="18" t="n">
        <f aca="false">IF(E301&gt;0,CostoPedido,0)</f>
        <v>0</v>
      </c>
      <c r="P301" s="18" t="n">
        <f aca="false">CostoAlm*(F301+J301)/2</f>
        <v>1000</v>
      </c>
      <c r="Q301" s="18" t="n">
        <f aca="false">CostoFijo*D301</f>
        <v>0</v>
      </c>
      <c r="R301" s="18" t="n">
        <f aca="false">M301-N301-O301-P301-Q301</f>
        <v>3399000</v>
      </c>
    </row>
    <row r="302" customFormat="false" ht="15" hidden="false" customHeight="true" outlineLevel="0" collapsed="false">
      <c r="A302" s="5" t="n">
        <f aca="false">A301+1</f>
        <v>297</v>
      </c>
      <c r="B302" s="16" t="n">
        <f aca="false">B301+IF(WEEKDAY(B301,2)=6,2,1)</f>
        <v>46368</v>
      </c>
      <c r="C302" s="5" t="n">
        <f aca="false">MONTH(B302)</f>
        <v>12</v>
      </c>
      <c r="D302" s="5" t="n">
        <f aca="false">IF(C302&lt;&gt;C301,1,0)</f>
        <v>0</v>
      </c>
      <c r="E302" s="5" t="n">
        <f aca="false">IF(L301=1,CantPedido,0)</f>
        <v>0</v>
      </c>
      <c r="F302" s="5" t="n">
        <f aca="false">J301+E302</f>
        <v>10</v>
      </c>
      <c r="G302" s="5" t="n">
        <f aca="true">VLOOKUP(RAND(),TablaEmpirica,2,TRUE())</f>
        <v>6</v>
      </c>
      <c r="H302" s="5" t="n">
        <f aca="false">MIN(F302,G302)</f>
        <v>6</v>
      </c>
      <c r="I302" s="5" t="n">
        <f aca="false">G302-H302</f>
        <v>0</v>
      </c>
      <c r="J302" s="5" t="n">
        <f aca="false">F302-H302</f>
        <v>4</v>
      </c>
      <c r="K302" s="5" t="n">
        <f aca="false">IF(I302&gt;0,1,0)</f>
        <v>0</v>
      </c>
      <c r="L302" s="5" t="n">
        <f aca="false">IF(J302&lt;PuntoReorden,1,0)</f>
        <v>1</v>
      </c>
      <c r="M302" s="18" t="n">
        <f aca="false">PrecioVenta*H302</f>
        <v>4080000</v>
      </c>
      <c r="N302" s="18" t="n">
        <f aca="false">CostoUnitario*E302</f>
        <v>0</v>
      </c>
      <c r="O302" s="18" t="n">
        <f aca="false">IF(E302&gt;0,CostoPedido,0)</f>
        <v>0</v>
      </c>
      <c r="P302" s="18" t="n">
        <f aca="false">CostoAlm*(F302+J302)/2</f>
        <v>560</v>
      </c>
      <c r="Q302" s="18" t="n">
        <f aca="false">CostoFijo*D302</f>
        <v>0</v>
      </c>
      <c r="R302" s="18" t="n">
        <f aca="false">M302-N302-O302-P302-Q302</f>
        <v>4079440</v>
      </c>
    </row>
    <row r="303" customFormat="false" ht="15" hidden="false" customHeight="true" outlineLevel="0" collapsed="false">
      <c r="A303" s="5" t="n">
        <f aca="false">A302+1</f>
        <v>298</v>
      </c>
      <c r="B303" s="16" t="n">
        <f aca="false">B302+IF(WEEKDAY(B302,2)=6,2,1)</f>
        <v>46370</v>
      </c>
      <c r="C303" s="5" t="n">
        <f aca="false">MONTH(B303)</f>
        <v>12</v>
      </c>
      <c r="D303" s="5" t="n">
        <f aca="false">IF(C303&lt;&gt;C302,1,0)</f>
        <v>0</v>
      </c>
      <c r="E303" s="17" t="n">
        <f aca="false">IF(L302=1,CantPedido,0)</f>
        <v>15</v>
      </c>
      <c r="F303" s="5" t="n">
        <f aca="false">J302+E303</f>
        <v>19</v>
      </c>
      <c r="G303" s="5" t="n">
        <f aca="true">VLOOKUP(RAND(),TablaEmpirica,2,TRUE())</f>
        <v>5</v>
      </c>
      <c r="H303" s="5" t="n">
        <f aca="false">MIN(F303,G303)</f>
        <v>5</v>
      </c>
      <c r="I303" s="5" t="n">
        <f aca="false">G303-H303</f>
        <v>0</v>
      </c>
      <c r="J303" s="5" t="n">
        <f aca="false">F303-H303</f>
        <v>14</v>
      </c>
      <c r="K303" s="5" t="n">
        <f aca="false">IF(I303&gt;0,1,0)</f>
        <v>0</v>
      </c>
      <c r="L303" s="5" t="n">
        <f aca="false">IF(J303&lt;PuntoReorden,1,0)</f>
        <v>0</v>
      </c>
      <c r="M303" s="18" t="n">
        <f aca="false">PrecioVenta*H303</f>
        <v>3400000</v>
      </c>
      <c r="N303" s="18" t="n">
        <f aca="false">CostoUnitario*E303</f>
        <v>9000000</v>
      </c>
      <c r="O303" s="18" t="n">
        <f aca="false">IF(E303&gt;0,CostoPedido,0)</f>
        <v>40000</v>
      </c>
      <c r="P303" s="18" t="n">
        <f aca="false">CostoAlm*(F303+J303)/2</f>
        <v>1320</v>
      </c>
      <c r="Q303" s="18" t="n">
        <f aca="false">CostoFijo*D303</f>
        <v>0</v>
      </c>
      <c r="R303" s="18" t="n">
        <f aca="false">M303-N303-O303-P303-Q303</f>
        <v>-5641320</v>
      </c>
    </row>
    <row r="304" customFormat="false" ht="15" hidden="false" customHeight="true" outlineLevel="0" collapsed="false">
      <c r="A304" s="5" t="n">
        <f aca="false">A303+1</f>
        <v>299</v>
      </c>
      <c r="B304" s="16" t="n">
        <f aca="false">B303+IF(WEEKDAY(B303,2)=6,2,1)</f>
        <v>46371</v>
      </c>
      <c r="C304" s="5" t="n">
        <f aca="false">MONTH(B304)</f>
        <v>12</v>
      </c>
      <c r="D304" s="5" t="n">
        <f aca="false">IF(C304&lt;&gt;C303,1,0)</f>
        <v>0</v>
      </c>
      <c r="E304" s="5" t="n">
        <f aca="false">IF(L303=1,CantPedido,0)</f>
        <v>0</v>
      </c>
      <c r="F304" s="5" t="n">
        <f aca="false">J303+E304</f>
        <v>14</v>
      </c>
      <c r="G304" s="5" t="n">
        <f aca="true">VLOOKUP(RAND(),TablaEmpirica,2,TRUE())</f>
        <v>5</v>
      </c>
      <c r="H304" s="5" t="n">
        <f aca="false">MIN(F304,G304)</f>
        <v>5</v>
      </c>
      <c r="I304" s="5" t="n">
        <f aca="false">G304-H304</f>
        <v>0</v>
      </c>
      <c r="J304" s="5" t="n">
        <f aca="false">F304-H304</f>
        <v>9</v>
      </c>
      <c r="K304" s="5" t="n">
        <f aca="false">IF(I304&gt;0,1,0)</f>
        <v>0</v>
      </c>
      <c r="L304" s="5" t="n">
        <f aca="false">IF(J304&lt;PuntoReorden,1,0)</f>
        <v>0</v>
      </c>
      <c r="M304" s="18" t="n">
        <f aca="false">PrecioVenta*H304</f>
        <v>3400000</v>
      </c>
      <c r="N304" s="18" t="n">
        <f aca="false">CostoUnitario*E304</f>
        <v>0</v>
      </c>
      <c r="O304" s="18" t="n">
        <f aca="false">IF(E304&gt;0,CostoPedido,0)</f>
        <v>0</v>
      </c>
      <c r="P304" s="18" t="n">
        <f aca="false">CostoAlm*(F304+J304)/2</f>
        <v>920</v>
      </c>
      <c r="Q304" s="18" t="n">
        <f aca="false">CostoFijo*D304</f>
        <v>0</v>
      </c>
      <c r="R304" s="18" t="n">
        <f aca="false">M304-N304-O304-P304-Q304</f>
        <v>3399080</v>
      </c>
    </row>
    <row r="305" customFormat="false" ht="15" hidden="false" customHeight="true" outlineLevel="0" collapsed="false">
      <c r="A305" s="5" t="n">
        <f aca="false">A304+1</f>
        <v>300</v>
      </c>
      <c r="B305" s="16" t="n">
        <f aca="false">B304+IF(WEEKDAY(B304,2)=6,2,1)</f>
        <v>46372</v>
      </c>
      <c r="C305" s="5" t="n">
        <f aca="false">MONTH(B305)</f>
        <v>12</v>
      </c>
      <c r="D305" s="5" t="n">
        <f aca="false">IF(C305&lt;&gt;C304,1,0)</f>
        <v>0</v>
      </c>
      <c r="E305" s="17" t="n">
        <f aca="false">IF(L304=1,CantPedido,0)</f>
        <v>0</v>
      </c>
      <c r="F305" s="5" t="n">
        <f aca="false">J304+E305</f>
        <v>9</v>
      </c>
      <c r="G305" s="5" t="n">
        <f aca="true">VLOOKUP(RAND(),TablaEmpirica,2,TRUE())</f>
        <v>5</v>
      </c>
      <c r="H305" s="5" t="n">
        <f aca="false">MIN(F305,G305)</f>
        <v>5</v>
      </c>
      <c r="I305" s="5" t="n">
        <f aca="false">G305-H305</f>
        <v>0</v>
      </c>
      <c r="J305" s="5" t="n">
        <f aca="false">F305-H305</f>
        <v>4</v>
      </c>
      <c r="K305" s="5" t="n">
        <f aca="false">IF(I305&gt;0,1,0)</f>
        <v>0</v>
      </c>
      <c r="L305" s="5" t="n">
        <f aca="false">IF(J305&lt;PuntoReorden,1,0)</f>
        <v>1</v>
      </c>
      <c r="M305" s="18" t="n">
        <f aca="false">PrecioVenta*H305</f>
        <v>3400000</v>
      </c>
      <c r="N305" s="18" t="n">
        <f aca="false">CostoUnitario*E305</f>
        <v>0</v>
      </c>
      <c r="O305" s="18" t="n">
        <f aca="false">IF(E305&gt;0,CostoPedido,0)</f>
        <v>0</v>
      </c>
      <c r="P305" s="18" t="n">
        <f aca="false">CostoAlm*(F305+J305)/2</f>
        <v>520</v>
      </c>
      <c r="Q305" s="18" t="n">
        <f aca="false">CostoFijo*D305</f>
        <v>0</v>
      </c>
      <c r="R305" s="18" t="n">
        <f aca="false">M305-N305-O305-P305-Q305</f>
        <v>3399480</v>
      </c>
    </row>
    <row r="306" customFormat="false" ht="15" hidden="false" customHeight="true" outlineLevel="0" collapsed="false">
      <c r="A306" s="5" t="n">
        <f aca="false">A305+1</f>
        <v>301</v>
      </c>
      <c r="B306" s="16" t="n">
        <f aca="false">B305+IF(WEEKDAY(B305,2)=6,2,1)</f>
        <v>46373</v>
      </c>
      <c r="C306" s="5" t="n">
        <f aca="false">MONTH(B306)</f>
        <v>12</v>
      </c>
      <c r="D306" s="5" t="n">
        <f aca="false">IF(C306&lt;&gt;C305,1,0)</f>
        <v>0</v>
      </c>
      <c r="E306" s="17" t="n">
        <f aca="false">IF(L305=1,CantPedido,0)</f>
        <v>15</v>
      </c>
      <c r="F306" s="5" t="n">
        <f aca="false">J305+E306</f>
        <v>19</v>
      </c>
      <c r="G306" s="5" t="n">
        <f aca="true">VLOOKUP(RAND(),TablaEmpirica,2,TRUE())</f>
        <v>5</v>
      </c>
      <c r="H306" s="5" t="n">
        <f aca="false">MIN(F306,G306)</f>
        <v>5</v>
      </c>
      <c r="I306" s="5" t="n">
        <f aca="false">G306-H306</f>
        <v>0</v>
      </c>
      <c r="J306" s="5" t="n">
        <f aca="false">F306-H306</f>
        <v>14</v>
      </c>
      <c r="K306" s="5" t="n">
        <f aca="false">IF(I306&gt;0,1,0)</f>
        <v>0</v>
      </c>
      <c r="L306" s="5" t="n">
        <f aca="false">IF(J306&lt;PuntoReorden,1,0)</f>
        <v>0</v>
      </c>
      <c r="M306" s="18" t="n">
        <f aca="false">PrecioVenta*H306</f>
        <v>3400000</v>
      </c>
      <c r="N306" s="18" t="n">
        <f aca="false">CostoUnitario*E306</f>
        <v>9000000</v>
      </c>
      <c r="O306" s="18" t="n">
        <f aca="false">IF(E306&gt;0,CostoPedido,0)</f>
        <v>40000</v>
      </c>
      <c r="P306" s="18" t="n">
        <f aca="false">CostoAlm*(F306+J306)/2</f>
        <v>1320</v>
      </c>
      <c r="Q306" s="18" t="n">
        <f aca="false">CostoFijo*D306</f>
        <v>0</v>
      </c>
      <c r="R306" s="18" t="n">
        <f aca="false">M306-N306-O306-P306-Q306</f>
        <v>-5641320</v>
      </c>
    </row>
    <row r="307" customFormat="false" ht="15" hidden="false" customHeight="true" outlineLevel="0" collapsed="false">
      <c r="A307" s="5" t="n">
        <f aca="false">A306+1</f>
        <v>302</v>
      </c>
      <c r="B307" s="16" t="n">
        <f aca="false">B306+IF(WEEKDAY(B306,2)=6,2,1)</f>
        <v>46374</v>
      </c>
      <c r="C307" s="5" t="n">
        <f aca="false">MONTH(B307)</f>
        <v>12</v>
      </c>
      <c r="D307" s="5" t="n">
        <f aca="false">IF(C307&lt;&gt;C306,1,0)</f>
        <v>0</v>
      </c>
      <c r="E307" s="5" t="n">
        <f aca="false">IF(L306=1,CantPedido,0)</f>
        <v>0</v>
      </c>
      <c r="F307" s="5" t="n">
        <f aca="false">J306+E307</f>
        <v>14</v>
      </c>
      <c r="G307" s="5" t="n">
        <f aca="true">VLOOKUP(RAND(),TablaEmpirica,2,TRUE())</f>
        <v>5</v>
      </c>
      <c r="H307" s="5" t="n">
        <f aca="false">MIN(F307,G307)</f>
        <v>5</v>
      </c>
      <c r="I307" s="5" t="n">
        <f aca="false">G307-H307</f>
        <v>0</v>
      </c>
      <c r="J307" s="5" t="n">
        <f aca="false">F307-H307</f>
        <v>9</v>
      </c>
      <c r="K307" s="5" t="n">
        <f aca="false">IF(I307&gt;0,1,0)</f>
        <v>0</v>
      </c>
      <c r="L307" s="5" t="n">
        <f aca="false">IF(J307&lt;PuntoReorden,1,0)</f>
        <v>0</v>
      </c>
      <c r="M307" s="18" t="n">
        <f aca="false">PrecioVenta*H307</f>
        <v>3400000</v>
      </c>
      <c r="N307" s="18" t="n">
        <f aca="false">CostoUnitario*E307</f>
        <v>0</v>
      </c>
      <c r="O307" s="18" t="n">
        <f aca="false">IF(E307&gt;0,CostoPedido,0)</f>
        <v>0</v>
      </c>
      <c r="P307" s="18" t="n">
        <f aca="false">CostoAlm*(F307+J307)/2</f>
        <v>920</v>
      </c>
      <c r="Q307" s="18" t="n">
        <f aca="false">CostoFijo*D307</f>
        <v>0</v>
      </c>
      <c r="R307" s="18" t="n">
        <f aca="false">M307-N307-O307-P307-Q307</f>
        <v>3399080</v>
      </c>
    </row>
    <row r="308" customFormat="false" ht="15" hidden="false" customHeight="true" outlineLevel="0" collapsed="false">
      <c r="A308" s="5" t="n">
        <f aca="false">A307+1</f>
        <v>303</v>
      </c>
      <c r="B308" s="16" t="n">
        <f aca="false">B307+IF(WEEKDAY(B307,2)=6,2,1)</f>
        <v>46375</v>
      </c>
      <c r="C308" s="5" t="n">
        <f aca="false">MONTH(B308)</f>
        <v>12</v>
      </c>
      <c r="D308" s="5" t="n">
        <f aca="false">IF(C308&lt;&gt;C307,1,0)</f>
        <v>0</v>
      </c>
      <c r="E308" s="17" t="n">
        <f aca="false">IF(L307=1,CantPedido,0)</f>
        <v>0</v>
      </c>
      <c r="F308" s="5" t="n">
        <f aca="false">J307+E308</f>
        <v>9</v>
      </c>
      <c r="G308" s="5" t="n">
        <f aca="true">VLOOKUP(RAND(),TablaEmpirica,2,TRUE())</f>
        <v>6</v>
      </c>
      <c r="H308" s="5" t="n">
        <f aca="false">MIN(F308,G308)</f>
        <v>6</v>
      </c>
      <c r="I308" s="5" t="n">
        <f aca="false">G308-H308</f>
        <v>0</v>
      </c>
      <c r="J308" s="5" t="n">
        <f aca="false">F308-H308</f>
        <v>3</v>
      </c>
      <c r="K308" s="5" t="n">
        <f aca="false">IF(I308&gt;0,1,0)</f>
        <v>0</v>
      </c>
      <c r="L308" s="5" t="n">
        <f aca="false">IF(J308&lt;PuntoReorden,1,0)</f>
        <v>1</v>
      </c>
      <c r="M308" s="18" t="n">
        <f aca="false">PrecioVenta*H308</f>
        <v>4080000</v>
      </c>
      <c r="N308" s="18" t="n">
        <f aca="false">CostoUnitario*E308</f>
        <v>0</v>
      </c>
      <c r="O308" s="18" t="n">
        <f aca="false">IF(E308&gt;0,CostoPedido,0)</f>
        <v>0</v>
      </c>
      <c r="P308" s="18" t="n">
        <f aca="false">CostoAlm*(F308+J308)/2</f>
        <v>480</v>
      </c>
      <c r="Q308" s="18" t="n">
        <f aca="false">CostoFijo*D308</f>
        <v>0</v>
      </c>
      <c r="R308" s="18" t="n">
        <f aca="false">M308-N308-O308-P308-Q308</f>
        <v>4079520</v>
      </c>
    </row>
    <row r="309" customFormat="false" ht="15" hidden="false" customHeight="true" outlineLevel="0" collapsed="false">
      <c r="A309" s="5" t="n">
        <f aca="false">A308+1</f>
        <v>304</v>
      </c>
      <c r="B309" s="16" t="n">
        <f aca="false">B308+IF(WEEKDAY(B308,2)=6,2,1)</f>
        <v>46377</v>
      </c>
      <c r="C309" s="5" t="n">
        <f aca="false">MONTH(B309)</f>
        <v>12</v>
      </c>
      <c r="D309" s="5" t="n">
        <f aca="false">IF(C309&lt;&gt;C308,1,0)</f>
        <v>0</v>
      </c>
      <c r="E309" s="17" t="n">
        <f aca="false">IF(L308=1,CantPedido,0)</f>
        <v>15</v>
      </c>
      <c r="F309" s="5" t="n">
        <f aca="false">J308+E309</f>
        <v>18</v>
      </c>
      <c r="G309" s="5" t="n">
        <f aca="true">VLOOKUP(RAND(),TablaEmpirica,2,TRUE())</f>
        <v>5</v>
      </c>
      <c r="H309" s="5" t="n">
        <f aca="false">MIN(F309,G309)</f>
        <v>5</v>
      </c>
      <c r="I309" s="5" t="n">
        <f aca="false">G309-H309</f>
        <v>0</v>
      </c>
      <c r="J309" s="5" t="n">
        <f aca="false">F309-H309</f>
        <v>13</v>
      </c>
      <c r="K309" s="5" t="n">
        <f aca="false">IF(I309&gt;0,1,0)</f>
        <v>0</v>
      </c>
      <c r="L309" s="5" t="n">
        <f aca="false">IF(J309&lt;PuntoReorden,1,0)</f>
        <v>0</v>
      </c>
      <c r="M309" s="18" t="n">
        <f aca="false">PrecioVenta*H309</f>
        <v>3400000</v>
      </c>
      <c r="N309" s="18" t="n">
        <f aca="false">CostoUnitario*E309</f>
        <v>9000000</v>
      </c>
      <c r="O309" s="18" t="n">
        <f aca="false">IF(E309&gt;0,CostoPedido,0)</f>
        <v>40000</v>
      </c>
      <c r="P309" s="18" t="n">
        <f aca="false">CostoAlm*(F309+J309)/2</f>
        <v>1240</v>
      </c>
      <c r="Q309" s="18" t="n">
        <f aca="false">CostoFijo*D309</f>
        <v>0</v>
      </c>
      <c r="R309" s="18" t="n">
        <f aca="false">M309-N309-O309-P309-Q309</f>
        <v>-5641240</v>
      </c>
    </row>
    <row r="310" customFormat="false" ht="15" hidden="false" customHeight="true" outlineLevel="0" collapsed="false">
      <c r="A310" s="5" t="n">
        <f aca="false">A309+1</f>
        <v>305</v>
      </c>
      <c r="B310" s="16" t="n">
        <f aca="false">B309+IF(WEEKDAY(B309,2)=6,2,1)</f>
        <v>46378</v>
      </c>
      <c r="C310" s="5" t="n">
        <f aca="false">MONTH(B310)</f>
        <v>12</v>
      </c>
      <c r="D310" s="5" t="n">
        <f aca="false">IF(C310&lt;&gt;C309,1,0)</f>
        <v>0</v>
      </c>
      <c r="E310" s="5" t="n">
        <f aca="false">IF(L309=1,CantPedido,0)</f>
        <v>0</v>
      </c>
      <c r="F310" s="5" t="n">
        <f aca="false">J309+E310</f>
        <v>13</v>
      </c>
      <c r="G310" s="5" t="n">
        <f aca="true">VLOOKUP(RAND(),TablaEmpirica,2,TRUE())</f>
        <v>5</v>
      </c>
      <c r="H310" s="5" t="n">
        <f aca="false">MIN(F310,G310)</f>
        <v>5</v>
      </c>
      <c r="I310" s="5" t="n">
        <f aca="false">G310-H310</f>
        <v>0</v>
      </c>
      <c r="J310" s="5" t="n">
        <f aca="false">F310-H310</f>
        <v>8</v>
      </c>
      <c r="K310" s="5" t="n">
        <f aca="false">IF(I310&gt;0,1,0)</f>
        <v>0</v>
      </c>
      <c r="L310" s="5" t="n">
        <f aca="false">IF(J310&lt;PuntoReorden,1,0)</f>
        <v>0</v>
      </c>
      <c r="M310" s="18" t="n">
        <f aca="false">PrecioVenta*H310</f>
        <v>3400000</v>
      </c>
      <c r="N310" s="18" t="n">
        <f aca="false">CostoUnitario*E310</f>
        <v>0</v>
      </c>
      <c r="O310" s="18" t="n">
        <f aca="false">IF(E310&gt;0,CostoPedido,0)</f>
        <v>0</v>
      </c>
      <c r="P310" s="18" t="n">
        <f aca="false">CostoAlm*(F310+J310)/2</f>
        <v>840</v>
      </c>
      <c r="Q310" s="18" t="n">
        <f aca="false">CostoFijo*D310</f>
        <v>0</v>
      </c>
      <c r="R310" s="18" t="n">
        <f aca="false">M310-N310-O310-P310-Q310</f>
        <v>3399160</v>
      </c>
    </row>
    <row r="311" customFormat="false" ht="15" hidden="false" customHeight="true" outlineLevel="0" collapsed="false">
      <c r="A311" s="5" t="n">
        <f aca="false">A310+1</f>
        <v>306</v>
      </c>
      <c r="B311" s="16" t="n">
        <f aca="false">B310+IF(WEEKDAY(B310,2)=6,2,1)</f>
        <v>46379</v>
      </c>
      <c r="C311" s="5" t="n">
        <f aca="false">MONTH(B311)</f>
        <v>12</v>
      </c>
      <c r="D311" s="5" t="n">
        <f aca="false">IF(C311&lt;&gt;C310,1,0)</f>
        <v>0</v>
      </c>
      <c r="E311" s="17" t="n">
        <f aca="false">IF(L310=1,CantPedido,0)</f>
        <v>0</v>
      </c>
      <c r="F311" s="5" t="n">
        <f aca="false">J310+E311</f>
        <v>8</v>
      </c>
      <c r="G311" s="5" t="n">
        <f aca="true">VLOOKUP(RAND(),TablaEmpirica,2,TRUE())</f>
        <v>5</v>
      </c>
      <c r="H311" s="5" t="n">
        <f aca="false">MIN(F311,G311)</f>
        <v>5</v>
      </c>
      <c r="I311" s="5" t="n">
        <f aca="false">G311-H311</f>
        <v>0</v>
      </c>
      <c r="J311" s="5" t="n">
        <f aca="false">F311-H311</f>
        <v>3</v>
      </c>
      <c r="K311" s="5" t="n">
        <f aca="false">IF(I311&gt;0,1,0)</f>
        <v>0</v>
      </c>
      <c r="L311" s="5" t="n">
        <f aca="false">IF(J311&lt;PuntoReorden,1,0)</f>
        <v>1</v>
      </c>
      <c r="M311" s="18" t="n">
        <f aca="false">PrecioVenta*H311</f>
        <v>3400000</v>
      </c>
      <c r="N311" s="18" t="n">
        <f aca="false">CostoUnitario*E311</f>
        <v>0</v>
      </c>
      <c r="O311" s="18" t="n">
        <f aca="false">IF(E311&gt;0,CostoPedido,0)</f>
        <v>0</v>
      </c>
      <c r="P311" s="18" t="n">
        <f aca="false">CostoAlm*(F311+J311)/2</f>
        <v>440</v>
      </c>
      <c r="Q311" s="18" t="n">
        <f aca="false">CostoFijo*D311</f>
        <v>0</v>
      </c>
      <c r="R311" s="18" t="n">
        <f aca="false">M311-N311-O311-P311-Q311</f>
        <v>3399560</v>
      </c>
    </row>
    <row r="312" customFormat="false" ht="15" hidden="false" customHeight="true" outlineLevel="0" collapsed="false">
      <c r="A312" s="5" t="n">
        <f aca="false">A311+1</f>
        <v>307</v>
      </c>
      <c r="B312" s="16" t="n">
        <f aca="false">B311+IF(WEEKDAY(B311,2)=6,2,1)</f>
        <v>46380</v>
      </c>
      <c r="C312" s="5" t="n">
        <f aca="false">MONTH(B312)</f>
        <v>12</v>
      </c>
      <c r="D312" s="5" t="n">
        <f aca="false">IF(C312&lt;&gt;C311,1,0)</f>
        <v>0</v>
      </c>
      <c r="E312" s="17" t="n">
        <f aca="false">IF(L311=1,CantPedido,0)</f>
        <v>15</v>
      </c>
      <c r="F312" s="5" t="n">
        <f aca="false">J311+E312</f>
        <v>18</v>
      </c>
      <c r="G312" s="5" t="n">
        <f aca="true">VLOOKUP(RAND(),TablaEmpirica,2,TRUE())</f>
        <v>5</v>
      </c>
      <c r="H312" s="5" t="n">
        <f aca="false">MIN(F312,G312)</f>
        <v>5</v>
      </c>
      <c r="I312" s="5" t="n">
        <f aca="false">G312-H312</f>
        <v>0</v>
      </c>
      <c r="J312" s="5" t="n">
        <f aca="false">F312-H312</f>
        <v>13</v>
      </c>
      <c r="K312" s="5" t="n">
        <f aca="false">IF(I312&gt;0,1,0)</f>
        <v>0</v>
      </c>
      <c r="L312" s="5" t="n">
        <f aca="false">IF(J312&lt;PuntoReorden,1,0)</f>
        <v>0</v>
      </c>
      <c r="M312" s="18" t="n">
        <f aca="false">PrecioVenta*H312</f>
        <v>3400000</v>
      </c>
      <c r="N312" s="18" t="n">
        <f aca="false">CostoUnitario*E312</f>
        <v>9000000</v>
      </c>
      <c r="O312" s="18" t="n">
        <f aca="false">IF(E312&gt;0,CostoPedido,0)</f>
        <v>40000</v>
      </c>
      <c r="P312" s="18" t="n">
        <f aca="false">CostoAlm*(F312+J312)/2</f>
        <v>1240</v>
      </c>
      <c r="Q312" s="18" t="n">
        <f aca="false">CostoFijo*D312</f>
        <v>0</v>
      </c>
      <c r="R312" s="18" t="n">
        <f aca="false">M312-N312-O312-P312-Q312</f>
        <v>-5641240</v>
      </c>
    </row>
    <row r="313" customFormat="false" ht="15" hidden="false" customHeight="true" outlineLevel="0" collapsed="false">
      <c r="A313" s="5" t="n">
        <f aca="false">A312+1</f>
        <v>308</v>
      </c>
      <c r="B313" s="16" t="n">
        <f aca="false">B312+IF(WEEKDAY(B312,2)=6,2,1)</f>
        <v>46381</v>
      </c>
      <c r="C313" s="5" t="n">
        <f aca="false">MONTH(B313)</f>
        <v>12</v>
      </c>
      <c r="D313" s="5" t="n">
        <f aca="false">IF(C313&lt;&gt;C312,1,0)</f>
        <v>0</v>
      </c>
      <c r="E313" s="5" t="n">
        <f aca="false">IF(L312=1,CantPedido,0)</f>
        <v>0</v>
      </c>
      <c r="F313" s="5" t="n">
        <f aca="false">J312+E313</f>
        <v>13</v>
      </c>
      <c r="G313" s="5" t="n">
        <f aca="true">VLOOKUP(RAND(),TablaEmpirica,2,TRUE())</f>
        <v>3</v>
      </c>
      <c r="H313" s="5" t="n">
        <f aca="false">MIN(F313,G313)</f>
        <v>3</v>
      </c>
      <c r="I313" s="5" t="n">
        <f aca="false">G313-H313</f>
        <v>0</v>
      </c>
      <c r="J313" s="5" t="n">
        <f aca="false">F313-H313</f>
        <v>10</v>
      </c>
      <c r="K313" s="5" t="n">
        <f aca="false">IF(I313&gt;0,1,0)</f>
        <v>0</v>
      </c>
      <c r="L313" s="5" t="n">
        <f aca="false">IF(J313&lt;PuntoReorden,1,0)</f>
        <v>0</v>
      </c>
      <c r="M313" s="18" t="n">
        <f aca="false">PrecioVenta*H313</f>
        <v>2040000</v>
      </c>
      <c r="N313" s="18" t="n">
        <f aca="false">CostoUnitario*E313</f>
        <v>0</v>
      </c>
      <c r="O313" s="18" t="n">
        <f aca="false">IF(E313&gt;0,CostoPedido,0)</f>
        <v>0</v>
      </c>
      <c r="P313" s="18" t="n">
        <f aca="false">CostoAlm*(F313+J313)/2</f>
        <v>920</v>
      </c>
      <c r="Q313" s="18" t="n">
        <f aca="false">CostoFijo*D313</f>
        <v>0</v>
      </c>
      <c r="R313" s="18" t="n">
        <f aca="false">M313-N313-O313-P313-Q313</f>
        <v>2039080</v>
      </c>
    </row>
    <row r="314" customFormat="false" ht="15" hidden="false" customHeight="true" outlineLevel="0" collapsed="false">
      <c r="A314" s="5" t="n">
        <f aca="false">A313+1</f>
        <v>309</v>
      </c>
      <c r="B314" s="16" t="n">
        <f aca="false">B313+IF(WEEKDAY(B313,2)=6,2,1)</f>
        <v>46382</v>
      </c>
      <c r="C314" s="5" t="n">
        <f aca="false">MONTH(B314)</f>
        <v>12</v>
      </c>
      <c r="D314" s="5" t="n">
        <f aca="false">IF(C314&lt;&gt;C313,1,0)</f>
        <v>0</v>
      </c>
      <c r="E314" s="17" t="n">
        <f aca="false">IF(L313=1,CantPedido,0)</f>
        <v>0</v>
      </c>
      <c r="F314" s="5" t="n">
        <f aca="false">J313+E314</f>
        <v>10</v>
      </c>
      <c r="G314" s="5" t="n">
        <f aca="true">VLOOKUP(RAND(),TablaEmpirica,2,TRUE())</f>
        <v>7</v>
      </c>
      <c r="H314" s="5" t="n">
        <f aca="false">MIN(F314,G314)</f>
        <v>7</v>
      </c>
      <c r="I314" s="5" t="n">
        <f aca="false">G314-H314</f>
        <v>0</v>
      </c>
      <c r="J314" s="5" t="n">
        <f aca="false">F314-H314</f>
        <v>3</v>
      </c>
      <c r="K314" s="5" t="n">
        <f aca="false">IF(I314&gt;0,1,0)</f>
        <v>0</v>
      </c>
      <c r="L314" s="5" t="n">
        <f aca="false">IF(J314&lt;PuntoReorden,1,0)</f>
        <v>1</v>
      </c>
      <c r="M314" s="18" t="n">
        <f aca="false">PrecioVenta*H314</f>
        <v>4760000</v>
      </c>
      <c r="N314" s="18" t="n">
        <f aca="false">CostoUnitario*E314</f>
        <v>0</v>
      </c>
      <c r="O314" s="18" t="n">
        <f aca="false">IF(E314&gt;0,CostoPedido,0)</f>
        <v>0</v>
      </c>
      <c r="P314" s="18" t="n">
        <f aca="false">CostoAlm*(F314+J314)/2</f>
        <v>520</v>
      </c>
      <c r="Q314" s="18" t="n">
        <f aca="false">CostoFijo*D314</f>
        <v>0</v>
      </c>
      <c r="R314" s="18" t="n">
        <f aca="false">M314-N314-O314-P314-Q314</f>
        <v>4759480</v>
      </c>
    </row>
    <row r="315" customFormat="false" ht="15" hidden="false" customHeight="true" outlineLevel="0" collapsed="false">
      <c r="A315" s="5" t="n">
        <f aca="false">A314+1</f>
        <v>310</v>
      </c>
      <c r="B315" s="16" t="n">
        <f aca="false">B314+IF(WEEKDAY(B314,2)=6,2,1)</f>
        <v>46384</v>
      </c>
      <c r="C315" s="5" t="n">
        <f aca="false">MONTH(B315)</f>
        <v>12</v>
      </c>
      <c r="D315" s="5" t="n">
        <f aca="false">IF(C315&lt;&gt;C314,1,0)</f>
        <v>0</v>
      </c>
      <c r="E315" s="17" t="n">
        <f aca="false">IF(L314=1,CantPedido,0)</f>
        <v>15</v>
      </c>
      <c r="F315" s="5" t="n">
        <f aca="false">J314+E315</f>
        <v>18</v>
      </c>
      <c r="G315" s="5" t="n">
        <f aca="true">VLOOKUP(RAND(),TablaEmpirica,2,TRUE())</f>
        <v>5</v>
      </c>
      <c r="H315" s="5" t="n">
        <f aca="false">MIN(F315,G315)</f>
        <v>5</v>
      </c>
      <c r="I315" s="5" t="n">
        <f aca="false">G315-H315</f>
        <v>0</v>
      </c>
      <c r="J315" s="5" t="n">
        <f aca="false">F315-H315</f>
        <v>13</v>
      </c>
      <c r="K315" s="5" t="n">
        <f aca="false">IF(I315&gt;0,1,0)</f>
        <v>0</v>
      </c>
      <c r="L315" s="5" t="n">
        <f aca="false">IF(J315&lt;PuntoReorden,1,0)</f>
        <v>0</v>
      </c>
      <c r="M315" s="18" t="n">
        <f aca="false">PrecioVenta*H315</f>
        <v>3400000</v>
      </c>
      <c r="N315" s="18" t="n">
        <f aca="false">CostoUnitario*E315</f>
        <v>9000000</v>
      </c>
      <c r="O315" s="18" t="n">
        <f aca="false">IF(E315&gt;0,CostoPedido,0)</f>
        <v>40000</v>
      </c>
      <c r="P315" s="18" t="n">
        <f aca="false">CostoAlm*(F315+J315)/2</f>
        <v>1240</v>
      </c>
      <c r="Q315" s="18" t="n">
        <f aca="false">CostoFijo*D315</f>
        <v>0</v>
      </c>
      <c r="R315" s="18" t="n">
        <f aca="false">M315-N315-O315-P315-Q315</f>
        <v>-5641240</v>
      </c>
    </row>
    <row r="316" customFormat="false" ht="15" hidden="false" customHeight="true" outlineLevel="0" collapsed="false">
      <c r="A316" s="5" t="n">
        <f aca="false">A315+1</f>
        <v>311</v>
      </c>
      <c r="B316" s="16" t="n">
        <f aca="false">B315+IF(WEEKDAY(B315,2)=6,2,1)</f>
        <v>46385</v>
      </c>
      <c r="C316" s="5" t="n">
        <f aca="false">MONTH(B316)</f>
        <v>12</v>
      </c>
      <c r="D316" s="5" t="n">
        <f aca="false">IF(C316&lt;&gt;C315,1,0)</f>
        <v>0</v>
      </c>
      <c r="E316" s="5" t="n">
        <f aca="false">IF(L315=1,CantPedido,0)</f>
        <v>0</v>
      </c>
      <c r="F316" s="5" t="n">
        <f aca="false">J315+E316</f>
        <v>13</v>
      </c>
      <c r="G316" s="5" t="n">
        <f aca="true">VLOOKUP(RAND(),TablaEmpirica,2,TRUE())</f>
        <v>5</v>
      </c>
      <c r="H316" s="5" t="n">
        <f aca="false">MIN(F316,G316)</f>
        <v>5</v>
      </c>
      <c r="I316" s="5" t="n">
        <f aca="false">G316-H316</f>
        <v>0</v>
      </c>
      <c r="J316" s="5" t="n">
        <f aca="false">F316-H316</f>
        <v>8</v>
      </c>
      <c r="K316" s="5" t="n">
        <f aca="false">IF(I316&gt;0,1,0)</f>
        <v>0</v>
      </c>
      <c r="L316" s="5" t="n">
        <f aca="false">IF(J316&lt;PuntoReorden,1,0)</f>
        <v>0</v>
      </c>
      <c r="M316" s="18" t="n">
        <f aca="false">PrecioVenta*H316</f>
        <v>3400000</v>
      </c>
      <c r="N316" s="18" t="n">
        <f aca="false">CostoUnitario*E316</f>
        <v>0</v>
      </c>
      <c r="O316" s="18" t="n">
        <f aca="false">IF(E316&gt;0,CostoPedido,0)</f>
        <v>0</v>
      </c>
      <c r="P316" s="18" t="n">
        <f aca="false">CostoAlm*(F316+J316)/2</f>
        <v>840</v>
      </c>
      <c r="Q316" s="18" t="n">
        <f aca="false">CostoFijo*D316</f>
        <v>0</v>
      </c>
      <c r="R316" s="18" t="n">
        <f aca="false">M316-N316-O316-P316-Q316</f>
        <v>3399160</v>
      </c>
    </row>
    <row r="317" customFormat="false" ht="15" hidden="false" customHeight="true" outlineLevel="0" collapsed="false">
      <c r="A317" s="5" t="n">
        <f aca="false">A316+1</f>
        <v>312</v>
      </c>
      <c r="B317" s="16" t="n">
        <f aca="false">B316+IF(WEEKDAY(B316,2)=6,2,1)</f>
        <v>46386</v>
      </c>
      <c r="C317" s="5" t="n">
        <f aca="false">MONTH(B317)</f>
        <v>12</v>
      </c>
      <c r="D317" s="5" t="n">
        <f aca="false">IF(C317&lt;&gt;C316,1,0)</f>
        <v>0</v>
      </c>
      <c r="E317" s="17" t="n">
        <f aca="false">IF(L316=1,CantPedido,0)</f>
        <v>0</v>
      </c>
      <c r="F317" s="5" t="n">
        <f aca="false">J316+E317</f>
        <v>8</v>
      </c>
      <c r="G317" s="5" t="n">
        <f aca="true">VLOOKUP(RAND(),TablaEmpirica,2,TRUE())</f>
        <v>3</v>
      </c>
      <c r="H317" s="5" t="n">
        <f aca="false">MIN(F317,G317)</f>
        <v>3</v>
      </c>
      <c r="I317" s="5" t="n">
        <f aca="false">G317-H317</f>
        <v>0</v>
      </c>
      <c r="J317" s="5" t="n">
        <f aca="false">F317-H317</f>
        <v>5</v>
      </c>
      <c r="K317" s="5" t="n">
        <f aca="false">IF(I317&gt;0,1,0)</f>
        <v>0</v>
      </c>
      <c r="L317" s="5" t="n">
        <f aca="false">IF(J317&lt;PuntoReorden,1,0)</f>
        <v>1</v>
      </c>
      <c r="M317" s="18" t="n">
        <f aca="false">PrecioVenta*H317</f>
        <v>2040000</v>
      </c>
      <c r="N317" s="18" t="n">
        <f aca="false">CostoUnitario*E317</f>
        <v>0</v>
      </c>
      <c r="O317" s="18" t="n">
        <f aca="false">IF(E317&gt;0,CostoPedido,0)</f>
        <v>0</v>
      </c>
      <c r="P317" s="18" t="n">
        <f aca="false">CostoAlm*(F317+J317)/2</f>
        <v>520</v>
      </c>
      <c r="Q317" s="18" t="n">
        <f aca="false">CostoFijo*D317</f>
        <v>0</v>
      </c>
      <c r="R317" s="18" t="n">
        <f aca="false">M317-N317-O317-P317-Q317</f>
        <v>2039480</v>
      </c>
    </row>
    <row r="318" customFormat="false" ht="15" hidden="false" customHeight="true" outlineLevel="0" collapsed="false">
      <c r="A318" s="5" t="n">
        <f aca="false">A317+1</f>
        <v>313</v>
      </c>
      <c r="B318" s="16" t="n">
        <f aca="false">B317+IF(WEEKDAY(B317,2)=6,2,1)</f>
        <v>46387</v>
      </c>
      <c r="C318" s="5" t="n">
        <f aca="false">MONTH(B318)</f>
        <v>12</v>
      </c>
      <c r="D318" s="5" t="n">
        <f aca="false">IF(C318&lt;&gt;C317,1,0)</f>
        <v>0</v>
      </c>
      <c r="E318" s="17" t="n">
        <f aca="false">IF(L317=1,CantPedido,0)</f>
        <v>15</v>
      </c>
      <c r="F318" s="5" t="n">
        <f aca="false">J317+E318</f>
        <v>20</v>
      </c>
      <c r="G318" s="5" t="n">
        <f aca="true">VLOOKUP(RAND(),TablaEmpirica,2,TRUE())</f>
        <v>3</v>
      </c>
      <c r="H318" s="5" t="n">
        <f aca="false">MIN(F318,G318)</f>
        <v>3</v>
      </c>
      <c r="I318" s="5" t="n">
        <f aca="false">G318-H318</f>
        <v>0</v>
      </c>
      <c r="J318" s="5" t="n">
        <f aca="false">F318-H318</f>
        <v>17</v>
      </c>
      <c r="K318" s="5" t="n">
        <f aca="false">IF(I318&gt;0,1,0)</f>
        <v>0</v>
      </c>
      <c r="L318" s="5" t="n">
        <f aca="false">IF(J318&lt;PuntoReorden,1,0)</f>
        <v>0</v>
      </c>
      <c r="M318" s="18" t="n">
        <f aca="false">PrecioVenta*H318</f>
        <v>2040000</v>
      </c>
      <c r="N318" s="18" t="n">
        <f aca="false">CostoUnitario*E318</f>
        <v>9000000</v>
      </c>
      <c r="O318" s="18" t="n">
        <f aca="false">IF(E318&gt;0,CostoPedido,0)</f>
        <v>40000</v>
      </c>
      <c r="P318" s="18" t="n">
        <f aca="false">CostoAlm*(F318+J318)/2</f>
        <v>1480</v>
      </c>
      <c r="Q318" s="18" t="n">
        <f aca="false">CostoFijo*D318</f>
        <v>0</v>
      </c>
      <c r="R318" s="18" t="n">
        <f aca="false">M318-N318-O318-P318-Q318</f>
        <v>-7001480</v>
      </c>
    </row>
  </sheetData>
  <autoFilter ref="A5:R3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3" min="2" style="1" width="9"/>
    <col collapsed="false" customWidth="true" hidden="false" outlineLevel="0" max="4" min="4" style="1" width="22"/>
    <col collapsed="false" customWidth="true" hidden="false" outlineLevel="0" max="5" min="5" style="1" width="20"/>
    <col collapsed="false" customWidth="true" hidden="false" outlineLevel="0" max="6" min="6" style="1" width="21"/>
    <col collapsed="false" customWidth="true" hidden="false" outlineLevel="0" max="7" min="7" style="1" width="20"/>
  </cols>
  <sheetData>
    <row r="1" customFormat="false" ht="15" hidden="false" customHeight="true" outlineLevel="0" collapsed="false">
      <c r="A1" s="2" t="s">
        <v>78</v>
      </c>
    </row>
    <row r="2" customFormat="false" ht="15" hidden="false" customHeight="true" outlineLevel="0" collapsed="false">
      <c r="A2" s="3" t="s">
        <v>79</v>
      </c>
    </row>
    <row r="4" customFormat="false" ht="15" hidden="false" customHeight="true" outlineLevel="0" collapsed="false">
      <c r="A4" s="4" t="s">
        <v>6</v>
      </c>
      <c r="B4" s="4" t="s">
        <v>80</v>
      </c>
      <c r="C4" s="4" t="s">
        <v>81</v>
      </c>
      <c r="D4" s="4" t="s">
        <v>61</v>
      </c>
      <c r="E4" s="4" t="s">
        <v>32</v>
      </c>
      <c r="F4" s="4" t="s">
        <v>82</v>
      </c>
      <c r="G4" s="4" t="s">
        <v>60</v>
      </c>
    </row>
    <row r="5" customFormat="false" ht="15" hidden="false" customHeight="true" outlineLevel="0" collapsed="false">
      <c r="A5" s="24" t="s">
        <v>33</v>
      </c>
      <c r="B5" s="24" t="n">
        <v>5</v>
      </c>
      <c r="C5" s="24" t="n">
        <v>10</v>
      </c>
      <c r="D5" s="25" t="n">
        <v>101595509</v>
      </c>
      <c r="E5" s="25" t="n">
        <v>2452615</v>
      </c>
      <c r="F5" s="26" t="n">
        <v>0.0576038338658147</v>
      </c>
      <c r="G5" s="27" t="n">
        <v>0.0767092651757188</v>
      </c>
    </row>
    <row r="6" customFormat="false" ht="15" hidden="false" customHeight="true" outlineLevel="0" collapsed="false">
      <c r="A6" s="24" t="s">
        <v>33</v>
      </c>
      <c r="B6" s="24" t="n">
        <v>6</v>
      </c>
      <c r="C6" s="24" t="n">
        <v>10</v>
      </c>
      <c r="D6" s="25" t="n">
        <v>102492708</v>
      </c>
      <c r="E6" s="25" t="n">
        <v>2673911</v>
      </c>
      <c r="F6" s="26" t="n">
        <v>0.0213099041533546</v>
      </c>
      <c r="G6" s="27" t="n">
        <v>0.0213099041533546</v>
      </c>
    </row>
    <row r="7" customFormat="false" ht="15" hidden="false" customHeight="true" outlineLevel="0" collapsed="false">
      <c r="A7" s="24" t="s">
        <v>33</v>
      </c>
      <c r="B7" s="24" t="n">
        <v>7</v>
      </c>
      <c r="C7" s="24" t="n">
        <v>10</v>
      </c>
      <c r="D7" s="25" t="n">
        <v>102352071</v>
      </c>
      <c r="E7" s="25" t="n">
        <v>2609883</v>
      </c>
      <c r="F7" s="26" t="n">
        <v>0</v>
      </c>
      <c r="G7" s="27" t="n">
        <v>0</v>
      </c>
    </row>
    <row r="8" customFormat="false" ht="15" hidden="false" customHeight="true" outlineLevel="0" collapsed="false">
      <c r="A8" s="24" t="s">
        <v>33</v>
      </c>
      <c r="B8" s="24" t="n">
        <v>5</v>
      </c>
      <c r="C8" s="24" t="n">
        <v>15</v>
      </c>
      <c r="D8" s="25" t="n">
        <v>102981003</v>
      </c>
      <c r="E8" s="25" t="n">
        <v>3049139</v>
      </c>
      <c r="F8" s="26" t="n">
        <v>0.0423642172523962</v>
      </c>
      <c r="G8" s="27" t="n">
        <v>0.0569009584664537</v>
      </c>
    </row>
    <row r="9" customFormat="false" ht="15" hidden="false" customHeight="true" outlineLevel="0" collapsed="false">
      <c r="A9" s="24" t="s">
        <v>33</v>
      </c>
      <c r="B9" s="24" t="n">
        <v>6</v>
      </c>
      <c r="C9" s="24" t="n">
        <v>15</v>
      </c>
      <c r="D9" s="25" t="n">
        <v>102824207</v>
      </c>
      <c r="E9" s="25" t="n">
        <v>3436174</v>
      </c>
      <c r="F9" s="26" t="n">
        <v>0.0133546325878594</v>
      </c>
      <c r="G9" s="27" t="n">
        <v>0.0133546325878594</v>
      </c>
    </row>
    <row r="10" customFormat="false" ht="15" hidden="false" customHeight="true" outlineLevel="0" collapsed="false">
      <c r="A10" s="28" t="s">
        <v>33</v>
      </c>
      <c r="B10" s="28" t="n">
        <v>7</v>
      </c>
      <c r="C10" s="28" t="n">
        <v>15</v>
      </c>
      <c r="D10" s="29" t="n">
        <v>103111235</v>
      </c>
      <c r="E10" s="29" t="n">
        <v>3235782</v>
      </c>
      <c r="F10" s="30" t="n">
        <v>0</v>
      </c>
      <c r="G10" s="31" t="n">
        <v>0</v>
      </c>
    </row>
    <row r="11" customFormat="false" ht="15" hidden="false" customHeight="true" outlineLevel="0" collapsed="false">
      <c r="A11" s="24" t="s">
        <v>33</v>
      </c>
      <c r="B11" s="24" t="n">
        <v>7</v>
      </c>
      <c r="C11" s="24" t="n">
        <v>20</v>
      </c>
      <c r="D11" s="25" t="n">
        <v>102467975</v>
      </c>
      <c r="E11" s="25" t="n">
        <v>4165807</v>
      </c>
      <c r="F11" s="26" t="n">
        <v>0</v>
      </c>
      <c r="G11" s="27" t="n">
        <v>0</v>
      </c>
    </row>
    <row r="12" customFormat="false" ht="15" hidden="false" customHeight="true" outlineLevel="0" collapsed="false">
      <c r="A12" s="24" t="s">
        <v>33</v>
      </c>
      <c r="B12" s="24" t="n">
        <v>8</v>
      </c>
      <c r="C12" s="24" t="n">
        <v>15</v>
      </c>
      <c r="D12" s="25" t="n">
        <v>102182455</v>
      </c>
      <c r="E12" s="25" t="n">
        <v>3388528</v>
      </c>
      <c r="F12" s="26" t="n">
        <v>0</v>
      </c>
      <c r="G12" s="27" t="n">
        <v>0</v>
      </c>
    </row>
    <row r="13" customFormat="false" ht="15" hidden="false" customHeight="true" outlineLevel="0" collapsed="false">
      <c r="A13" s="24" t="s">
        <v>34</v>
      </c>
      <c r="B13" s="24" t="n">
        <v>5</v>
      </c>
      <c r="C13" s="24" t="n">
        <v>10</v>
      </c>
      <c r="D13" s="25" t="n">
        <v>102366645</v>
      </c>
      <c r="E13" s="25" t="n">
        <v>2373139</v>
      </c>
      <c r="F13" s="26" t="n">
        <v>0.0488498402555911</v>
      </c>
      <c r="G13" s="27" t="n">
        <v>0.0606709265175719</v>
      </c>
    </row>
    <row r="14" customFormat="false" ht="15" hidden="false" customHeight="true" outlineLevel="0" collapsed="false">
      <c r="A14" s="24" t="s">
        <v>34</v>
      </c>
      <c r="B14" s="24" t="n">
        <v>6</v>
      </c>
      <c r="C14" s="24" t="n">
        <v>10</v>
      </c>
      <c r="D14" s="25" t="n">
        <v>102909826</v>
      </c>
      <c r="E14" s="25" t="n">
        <v>2576958</v>
      </c>
      <c r="F14" s="26" t="n">
        <v>0.0103194888178914</v>
      </c>
      <c r="G14" s="27" t="n">
        <v>0.0103194888178914</v>
      </c>
    </row>
    <row r="15" customFormat="false" ht="15" hidden="false" customHeight="true" outlineLevel="0" collapsed="false">
      <c r="A15" s="24" t="s">
        <v>34</v>
      </c>
      <c r="B15" s="24" t="n">
        <v>7</v>
      </c>
      <c r="C15" s="24" t="n">
        <v>10</v>
      </c>
      <c r="D15" s="25" t="n">
        <v>102544634</v>
      </c>
      <c r="E15" s="25" t="n">
        <v>2329795</v>
      </c>
      <c r="F15" s="26" t="n">
        <v>0</v>
      </c>
      <c r="G15" s="27" t="n">
        <v>0</v>
      </c>
    </row>
    <row r="16" customFormat="false" ht="15" hidden="false" customHeight="true" outlineLevel="0" collapsed="false">
      <c r="A16" s="24" t="s">
        <v>34</v>
      </c>
      <c r="B16" s="24" t="n">
        <v>5</v>
      </c>
      <c r="C16" s="24" t="n">
        <v>15</v>
      </c>
      <c r="D16" s="25" t="n">
        <v>103094658</v>
      </c>
      <c r="E16" s="25" t="n">
        <v>3099914</v>
      </c>
      <c r="F16" s="26" t="n">
        <v>0.0305111821086262</v>
      </c>
      <c r="G16" s="27" t="n">
        <v>0.0367731629392971</v>
      </c>
    </row>
    <row r="17" customFormat="false" ht="15" hidden="false" customHeight="true" outlineLevel="0" collapsed="false">
      <c r="A17" s="24" t="s">
        <v>34</v>
      </c>
      <c r="B17" s="24" t="n">
        <v>6</v>
      </c>
      <c r="C17" s="24" t="n">
        <v>15</v>
      </c>
      <c r="D17" s="25" t="n">
        <v>103362812</v>
      </c>
      <c r="E17" s="25" t="n">
        <v>3327393</v>
      </c>
      <c r="F17" s="26" t="n">
        <v>0.00651757188498403</v>
      </c>
      <c r="G17" s="27" t="n">
        <v>0.00651757188498403</v>
      </c>
    </row>
    <row r="18" customFormat="false" ht="15" hidden="false" customHeight="true" outlineLevel="0" collapsed="false">
      <c r="A18" s="28" t="s">
        <v>34</v>
      </c>
      <c r="B18" s="28" t="n">
        <v>7</v>
      </c>
      <c r="C18" s="28" t="n">
        <v>15</v>
      </c>
      <c r="D18" s="29" t="n">
        <v>103097462</v>
      </c>
      <c r="E18" s="29" t="n">
        <v>3025032</v>
      </c>
      <c r="F18" s="30" t="n">
        <v>0</v>
      </c>
      <c r="G18" s="31" t="n">
        <v>0</v>
      </c>
    </row>
    <row r="19" customFormat="false" ht="15" hidden="false" customHeight="true" outlineLevel="0" collapsed="false">
      <c r="A19" s="24" t="s">
        <v>34</v>
      </c>
      <c r="B19" s="24" t="n">
        <v>7</v>
      </c>
      <c r="C19" s="24" t="n">
        <v>20</v>
      </c>
      <c r="D19" s="25" t="n">
        <v>102727626</v>
      </c>
      <c r="E19" s="25" t="n">
        <v>3922172</v>
      </c>
      <c r="F19" s="26" t="n">
        <v>0</v>
      </c>
      <c r="G19" s="27" t="n">
        <v>0</v>
      </c>
    </row>
    <row r="20" customFormat="false" ht="15" hidden="false" customHeight="true" outlineLevel="0" collapsed="false">
      <c r="A20" s="24" t="s">
        <v>34</v>
      </c>
      <c r="B20" s="24" t="n">
        <v>8</v>
      </c>
      <c r="C20" s="24" t="n">
        <v>15</v>
      </c>
      <c r="D20" s="25" t="n">
        <v>102710914</v>
      </c>
      <c r="E20" s="25" t="n">
        <v>3075748</v>
      </c>
      <c r="F20" s="26" t="n">
        <v>0</v>
      </c>
      <c r="G20" s="27" t="n">
        <v>0</v>
      </c>
    </row>
    <row r="22" customFormat="false" ht="15" hidden="false" customHeight="true" outlineLevel="0" collapsed="false">
      <c r="A22" s="3" t="s">
        <v>83</v>
      </c>
    </row>
  </sheetData>
  <autoFilter ref="A4:G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2026-10-24T19:13:08Z</dcterms:created>
  <dc:creator>openpyxl</dc:creator>
  <dc:description/>
  <dc:language>en-US</dc:language>
  <cp:lastModifiedBy/>
  <dcterms:modified xsi:type="dcterms:W3CDTF">2026-10-24T19:17:19Z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